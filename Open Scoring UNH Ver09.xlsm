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julia\Desktop\Fall 2019\FSD\labs\3-julian-alex\"/>
    </mc:Choice>
  </mc:AlternateContent>
  <xr:revisionPtr revIDLastSave="0" documentId="13_ncr:1_{7BBB082E-D7BA-43FF-8632-C69F1822431F}" xr6:coauthVersionLast="41" xr6:coauthVersionMax="43" xr10:uidLastSave="{00000000-0000-0000-0000-000000000000}"/>
  <bookViews>
    <workbookView xWindow="-108" yWindow="-108" windowWidth="23256" windowHeight="12576" tabRatio="751" xr2:uid="{00000000-000D-0000-FFFF-FFFF00000000}"/>
  </bookViews>
  <sheets>
    <sheet name="Student Open Competition Regist" sheetId="1" r:id="rId1"/>
    <sheet name="Results" sheetId="78" r:id="rId2"/>
    <sheet name="Results Sorted" sheetId="306" r:id="rId3"/>
    <sheet name="Results Sorted Top 2" sheetId="307" r:id="rId4"/>
    <sheet name="PIVOT" sheetId="308" r:id="rId5"/>
  </sheets>
  <definedNames>
    <definedName name="_xlnm._FilterDatabase" localSheetId="0" hidden="1">'Student Open Competition Regist'!$C$4:$K$4</definedName>
    <definedName name="_xlnm.Print_Area" localSheetId="4">PIVOT!$A$2:$D$15</definedName>
    <definedName name="Student_Open_Competition_Registration" localSheetId="0">'Student Open Competition Regist'!$C$4:$FV$83</definedName>
    <definedName name="Student_Open_Competition_Registration_1" localSheetId="0">'Student Open Competition Regist'!$C$4:$FV$83</definedName>
  </definedNames>
  <calcPr calcId="191029"/>
  <pivotCaches>
    <pivotCache cacheId="1" r:id="rId6"/>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B5" i="1" l="1"/>
  <c r="K4" i="1" l="1"/>
  <c r="CI24" i="1" l="1"/>
  <c r="BK4" i="1" l="1"/>
  <c r="GW4" i="1" l="1"/>
  <c r="GV4" i="1"/>
  <c r="GT4" i="1"/>
  <c r="GS4" i="1"/>
  <c r="GQ4" i="1"/>
  <c r="GP4" i="1"/>
  <c r="GN4" i="1"/>
  <c r="GM4" i="1"/>
  <c r="GK4" i="1"/>
  <c r="GJ4" i="1"/>
  <c r="GH4" i="1"/>
  <c r="GG4" i="1"/>
  <c r="GE4" i="1"/>
  <c r="GD4" i="1"/>
  <c r="GB4" i="1"/>
  <c r="GA4" i="1"/>
  <c r="FY4" i="1"/>
  <c r="FX4" i="1"/>
  <c r="FV4" i="1"/>
  <c r="FU4" i="1"/>
  <c r="FS4" i="1"/>
  <c r="FR4" i="1"/>
  <c r="FP4" i="1"/>
  <c r="FO4" i="1"/>
  <c r="FM4" i="1"/>
  <c r="FL4" i="1"/>
  <c r="FJ4" i="1"/>
  <c r="FI4" i="1"/>
  <c r="FG4" i="1"/>
  <c r="FF4" i="1"/>
  <c r="FD4" i="1"/>
  <c r="FC4" i="1"/>
  <c r="FA4" i="1"/>
  <c r="EZ4" i="1"/>
  <c r="EX4" i="1"/>
  <c r="EW4" i="1"/>
  <c r="EU4" i="1"/>
  <c r="ET4" i="1"/>
  <c r="ER4" i="1"/>
  <c r="EQ4" i="1"/>
  <c r="EO4" i="1"/>
  <c r="EN4" i="1"/>
  <c r="EL4" i="1"/>
  <c r="EK4" i="1"/>
  <c r="EI4" i="1"/>
  <c r="EH4" i="1"/>
  <c r="EF4" i="1"/>
  <c r="EE4" i="1"/>
  <c r="EC4" i="1"/>
  <c r="EB4" i="1"/>
  <c r="DZ4" i="1"/>
  <c r="DY4" i="1"/>
  <c r="DW4" i="1"/>
  <c r="DV4" i="1"/>
  <c r="DT4" i="1"/>
  <c r="DS4" i="1"/>
  <c r="DQ4" i="1"/>
  <c r="DP4" i="1"/>
  <c r="DN4" i="1"/>
  <c r="DM4" i="1"/>
  <c r="DK4" i="1"/>
  <c r="DJ4" i="1"/>
  <c r="DH4" i="1"/>
  <c r="DG4" i="1"/>
  <c r="DE4" i="1"/>
  <c r="DD4" i="1"/>
  <c r="DB4" i="1"/>
  <c r="DA4" i="1"/>
  <c r="CY4" i="1"/>
  <c r="CX4" i="1"/>
  <c r="CV4" i="1"/>
  <c r="CU4" i="1"/>
  <c r="CS4" i="1"/>
  <c r="CR4" i="1"/>
  <c r="CP4" i="1"/>
  <c r="CO4" i="1"/>
  <c r="CM4" i="1"/>
  <c r="CL4" i="1"/>
  <c r="CJ4" i="1"/>
  <c r="CI4" i="1"/>
  <c r="CG4" i="1"/>
  <c r="CF4" i="1"/>
  <c r="CD4" i="1"/>
  <c r="CC4" i="1"/>
  <c r="CA4" i="1"/>
  <c r="BZ4" i="1"/>
  <c r="BX4" i="1"/>
  <c r="BW4" i="1"/>
  <c r="BU4" i="1"/>
  <c r="BT4" i="1"/>
  <c r="BR4" i="1"/>
  <c r="BQ4" i="1"/>
  <c r="KY107" i="1" l="1"/>
  <c r="KV107" i="1"/>
  <c r="KS107" i="1"/>
  <c r="KP107" i="1"/>
  <c r="KM107" i="1"/>
  <c r="KJ107" i="1"/>
  <c r="KG107" i="1"/>
  <c r="KD107" i="1"/>
  <c r="KA107" i="1"/>
  <c r="KC85" i="1" s="1"/>
  <c r="JX107" i="1"/>
  <c r="JZ96" i="1" s="1"/>
  <c r="JU107" i="1"/>
  <c r="JR107" i="1"/>
  <c r="JT94" i="1" s="1"/>
  <c r="JO107" i="1"/>
  <c r="JL107" i="1"/>
  <c r="JI107" i="1"/>
  <c r="JF107" i="1"/>
  <c r="JC107" i="1"/>
  <c r="IZ107" i="1"/>
  <c r="IW107" i="1"/>
  <c r="IT107" i="1"/>
  <c r="IQ107" i="1"/>
  <c r="IN107" i="1"/>
  <c r="IP103" i="1" s="1"/>
  <c r="IK107" i="1"/>
  <c r="IH107" i="1"/>
  <c r="IJ94" i="1" s="1"/>
  <c r="IE107" i="1"/>
  <c r="IB107" i="1"/>
  <c r="HY107" i="1"/>
  <c r="HV107" i="1"/>
  <c r="HS107" i="1"/>
  <c r="HP107" i="1"/>
  <c r="HR101" i="1" s="1"/>
  <c r="HM107" i="1"/>
  <c r="HO102" i="1" s="1"/>
  <c r="HJ107" i="1"/>
  <c r="HG107" i="1"/>
  <c r="HD107" i="1"/>
  <c r="HF103" i="1" s="1"/>
  <c r="HA107" i="1"/>
  <c r="HC103" i="1" s="1"/>
  <c r="GX107" i="1"/>
  <c r="GZ102" i="1" s="1"/>
  <c r="GU107" i="1"/>
  <c r="GR107" i="1"/>
  <c r="GT103" i="1" s="1"/>
  <c r="GO107" i="1"/>
  <c r="GL107" i="1"/>
  <c r="GI107" i="1"/>
  <c r="GF107" i="1"/>
  <c r="GC107" i="1"/>
  <c r="GE101" i="1" s="1"/>
  <c r="FZ107" i="1"/>
  <c r="GB100" i="1" s="1"/>
  <c r="FW107" i="1"/>
  <c r="FY100" i="1" s="1"/>
  <c r="FT107" i="1"/>
  <c r="FV101" i="1" s="1"/>
  <c r="FQ107" i="1"/>
  <c r="FN107" i="1"/>
  <c r="FP100" i="1" s="1"/>
  <c r="FK107" i="1"/>
  <c r="FM100" i="1" s="1"/>
  <c r="FH107" i="1"/>
  <c r="FE107" i="1"/>
  <c r="FB107" i="1"/>
  <c r="EY107" i="1"/>
  <c r="FA100" i="1" s="1"/>
  <c r="EV107" i="1"/>
  <c r="ES107" i="1"/>
  <c r="EP107" i="1"/>
  <c r="ER100" i="1" s="1"/>
  <c r="EM107" i="1"/>
  <c r="EO102" i="1" s="1"/>
  <c r="EJ107" i="1"/>
  <c r="EL97" i="1" s="1"/>
  <c r="EG107" i="1"/>
  <c r="EI103" i="1" s="1"/>
  <c r="ED107" i="1"/>
  <c r="EF101" i="1" s="1"/>
  <c r="EA107" i="1"/>
  <c r="EC102" i="1" s="1"/>
  <c r="DX107" i="1"/>
  <c r="DZ103" i="1" s="1"/>
  <c r="DU107" i="1"/>
  <c r="DR107" i="1"/>
  <c r="DT103" i="1" s="1"/>
  <c r="DO107" i="1"/>
  <c r="DL107" i="1"/>
  <c r="DN102" i="1" s="1"/>
  <c r="DI107" i="1"/>
  <c r="DK102" i="1" s="1"/>
  <c r="DF107" i="1"/>
  <c r="DC107" i="1"/>
  <c r="DE102" i="1" s="1"/>
  <c r="CZ107" i="1"/>
  <c r="DB96" i="1" s="1"/>
  <c r="CW107" i="1"/>
  <c r="CY102" i="1" s="1"/>
  <c r="CT107" i="1"/>
  <c r="CV100" i="1" s="1"/>
  <c r="CQ107" i="1"/>
  <c r="CN107" i="1"/>
  <c r="CK107" i="1"/>
  <c r="CM102" i="1" s="1"/>
  <c r="CH107" i="1"/>
  <c r="CJ103" i="1" s="1"/>
  <c r="CE107" i="1"/>
  <c r="CG102" i="1" s="1"/>
  <c r="CB107" i="1"/>
  <c r="CD103" i="1" s="1"/>
  <c r="BY107" i="1"/>
  <c r="CA102" i="1" s="1"/>
  <c r="BV107" i="1"/>
  <c r="BX100" i="1" s="1"/>
  <c r="BS107" i="1"/>
  <c r="BU100" i="1" s="1"/>
  <c r="BP107" i="1"/>
  <c r="BR95" i="1" s="1"/>
  <c r="BM107" i="1"/>
  <c r="BJ107" i="1"/>
  <c r="BL100" i="1" s="1"/>
  <c r="BG107" i="1"/>
  <c r="BD107" i="1"/>
  <c r="BA107" i="1"/>
  <c r="BC100" i="1" s="1"/>
  <c r="AX107" i="1"/>
  <c r="AZ100" i="1" s="1"/>
  <c r="AU107" i="1"/>
  <c r="AW100" i="1" s="1"/>
  <c r="AR107" i="1"/>
  <c r="AO107" i="1"/>
  <c r="AQ100" i="1" s="1"/>
  <c r="AL107" i="1"/>
  <c r="AN101" i="1" s="1"/>
  <c r="AI107" i="1"/>
  <c r="AF107" i="1"/>
  <c r="AH101" i="1" s="1"/>
  <c r="AC107" i="1"/>
  <c r="Z107" i="1"/>
  <c r="AB86" i="1" s="1"/>
  <c r="W107" i="1"/>
  <c r="Y102" i="1" s="1"/>
  <c r="T107" i="1"/>
  <c r="KY106" i="1"/>
  <c r="KV106" i="1"/>
  <c r="KS106" i="1"/>
  <c r="KP106" i="1"/>
  <c r="KM106" i="1"/>
  <c r="KJ106" i="1"/>
  <c r="KG106" i="1"/>
  <c r="KD106" i="1"/>
  <c r="KA106" i="1"/>
  <c r="JX106" i="1"/>
  <c r="JU106" i="1"/>
  <c r="JR106" i="1"/>
  <c r="JO106" i="1"/>
  <c r="JL106" i="1"/>
  <c r="JI106" i="1"/>
  <c r="JF106" i="1"/>
  <c r="JC106" i="1"/>
  <c r="IZ106" i="1"/>
  <c r="IW106" i="1"/>
  <c r="IX109" i="1" s="1"/>
  <c r="IT106" i="1"/>
  <c r="IQ106" i="1"/>
  <c r="IN106" i="1"/>
  <c r="IK106" i="1"/>
  <c r="IH106" i="1"/>
  <c r="IE106" i="1"/>
  <c r="IB106" i="1"/>
  <c r="HY106" i="1"/>
  <c r="HV106" i="1"/>
  <c r="HS106" i="1"/>
  <c r="HP106" i="1"/>
  <c r="HM106" i="1"/>
  <c r="HJ106" i="1"/>
  <c r="HG106" i="1"/>
  <c r="HD106" i="1"/>
  <c r="HA106" i="1"/>
  <c r="GX106" i="1"/>
  <c r="GU106" i="1"/>
  <c r="GR106" i="1"/>
  <c r="GO106" i="1"/>
  <c r="GL106" i="1"/>
  <c r="GI106" i="1"/>
  <c r="GF106" i="1"/>
  <c r="GC106" i="1"/>
  <c r="FZ106" i="1"/>
  <c r="FW106" i="1"/>
  <c r="FT106" i="1"/>
  <c r="FQ106" i="1"/>
  <c r="FN106" i="1"/>
  <c r="FK106" i="1"/>
  <c r="FH106" i="1"/>
  <c r="FE106" i="1"/>
  <c r="FB106" i="1"/>
  <c r="EY106" i="1"/>
  <c r="EV106" i="1"/>
  <c r="ES106" i="1"/>
  <c r="EP106" i="1"/>
  <c r="EM106" i="1"/>
  <c r="EJ106" i="1"/>
  <c r="EG106" i="1"/>
  <c r="ED106" i="1"/>
  <c r="EA106" i="1"/>
  <c r="DX106" i="1"/>
  <c r="DU106" i="1"/>
  <c r="DR106" i="1"/>
  <c r="DO106" i="1"/>
  <c r="DL106" i="1"/>
  <c r="DI106" i="1"/>
  <c r="DF106" i="1"/>
  <c r="DC106" i="1"/>
  <c r="CZ106" i="1"/>
  <c r="CW106" i="1"/>
  <c r="CT106" i="1"/>
  <c r="CQ106" i="1"/>
  <c r="CN106" i="1"/>
  <c r="CK106" i="1"/>
  <c r="CH106" i="1"/>
  <c r="CE106" i="1"/>
  <c r="CB106" i="1"/>
  <c r="BY106" i="1"/>
  <c r="BV106" i="1"/>
  <c r="BS106" i="1"/>
  <c r="BP106" i="1"/>
  <c r="BM106" i="1"/>
  <c r="BJ106" i="1"/>
  <c r="BG106" i="1"/>
  <c r="BD106" i="1"/>
  <c r="BA106" i="1"/>
  <c r="AX106" i="1"/>
  <c r="AU106" i="1"/>
  <c r="AR106" i="1"/>
  <c r="AO106" i="1"/>
  <c r="AL106" i="1"/>
  <c r="AI106" i="1"/>
  <c r="AF106" i="1"/>
  <c r="AC106" i="1"/>
  <c r="Z106" i="1"/>
  <c r="W106" i="1"/>
  <c r="T106" i="1"/>
  <c r="KY105" i="1"/>
  <c r="KV105" i="1"/>
  <c r="KS105" i="1"/>
  <c r="KP105" i="1"/>
  <c r="KM105" i="1"/>
  <c r="KN109" i="1" s="1"/>
  <c r="KJ105" i="1"/>
  <c r="KG105" i="1"/>
  <c r="KD105" i="1"/>
  <c r="KA105" i="1"/>
  <c r="JX105" i="1"/>
  <c r="JU105" i="1"/>
  <c r="JR105" i="1"/>
  <c r="JS109" i="1" s="1"/>
  <c r="JO105" i="1"/>
  <c r="JL105" i="1"/>
  <c r="JI105" i="1"/>
  <c r="JF105" i="1"/>
  <c r="JC105" i="1"/>
  <c r="JD109" i="1" s="1"/>
  <c r="IZ105" i="1"/>
  <c r="IW105" i="1"/>
  <c r="IT105" i="1"/>
  <c r="IQ105" i="1"/>
  <c r="IR109" i="1" s="1"/>
  <c r="IN105" i="1"/>
  <c r="IK105" i="1"/>
  <c r="IH105" i="1"/>
  <c r="IE105" i="1"/>
  <c r="IB105" i="1"/>
  <c r="HY105" i="1"/>
  <c r="HV105" i="1"/>
  <c r="HW109" i="1" s="1"/>
  <c r="HS105" i="1"/>
  <c r="HP105" i="1"/>
  <c r="HM105" i="1"/>
  <c r="HJ105" i="1"/>
  <c r="HG105" i="1"/>
  <c r="HD105" i="1"/>
  <c r="HA105" i="1"/>
  <c r="GX105" i="1"/>
  <c r="GU105" i="1"/>
  <c r="GR105" i="1"/>
  <c r="GO105" i="1"/>
  <c r="GL105" i="1"/>
  <c r="GI105" i="1"/>
  <c r="GF105" i="1"/>
  <c r="GC105" i="1"/>
  <c r="FZ105" i="1"/>
  <c r="FW105" i="1"/>
  <c r="FX109" i="1" s="1"/>
  <c r="FT105" i="1"/>
  <c r="FQ105" i="1"/>
  <c r="FN105" i="1"/>
  <c r="FO109" i="1" s="1"/>
  <c r="FK105" i="1"/>
  <c r="FH105" i="1"/>
  <c r="FE105" i="1"/>
  <c r="FB105" i="1"/>
  <c r="EY105" i="1"/>
  <c r="EV105" i="1"/>
  <c r="ES105" i="1"/>
  <c r="EP105" i="1"/>
  <c r="EM105" i="1"/>
  <c r="EJ105" i="1"/>
  <c r="EG105" i="1"/>
  <c r="ED105" i="1"/>
  <c r="EE109" i="1" s="1"/>
  <c r="EA105" i="1"/>
  <c r="DX105" i="1"/>
  <c r="DU105" i="1"/>
  <c r="DR105" i="1"/>
  <c r="DO105" i="1"/>
  <c r="DL105" i="1"/>
  <c r="DI105" i="1"/>
  <c r="DF105" i="1"/>
  <c r="DC105" i="1"/>
  <c r="CZ105" i="1"/>
  <c r="CW105" i="1"/>
  <c r="CT105" i="1"/>
  <c r="CQ105" i="1"/>
  <c r="CN105" i="1"/>
  <c r="CK105" i="1"/>
  <c r="CH105" i="1"/>
  <c r="CI109" i="1" s="1"/>
  <c r="CE105" i="1"/>
  <c r="CB105" i="1"/>
  <c r="BY105" i="1"/>
  <c r="BV105" i="1"/>
  <c r="BS105" i="1"/>
  <c r="BT109" i="1" s="1"/>
  <c r="BP105" i="1"/>
  <c r="BM105" i="1"/>
  <c r="BJ105" i="1"/>
  <c r="BG105" i="1"/>
  <c r="BD105" i="1"/>
  <c r="BA105" i="1"/>
  <c r="AX105" i="1"/>
  <c r="AU105" i="1"/>
  <c r="AV109" i="1" s="1"/>
  <c r="AR105" i="1"/>
  <c r="AO105" i="1"/>
  <c r="AL105" i="1"/>
  <c r="AI105" i="1"/>
  <c r="AF105" i="1"/>
  <c r="AC105" i="1"/>
  <c r="Z105" i="1"/>
  <c r="W105" i="1"/>
  <c r="T105" i="1"/>
  <c r="Q107" i="1"/>
  <c r="S103" i="1" s="1"/>
  <c r="Q106" i="1"/>
  <c r="Q105" i="1"/>
  <c r="N107" i="1"/>
  <c r="P93" i="1" s="1"/>
  <c r="N106" i="1"/>
  <c r="N105"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LA100" i="1"/>
  <c r="LA99" i="1"/>
  <c r="LA92" i="1"/>
  <c r="LA91" i="1"/>
  <c r="LA84" i="1"/>
  <c r="LA83" i="1"/>
  <c r="LA76" i="1"/>
  <c r="LA75" i="1"/>
  <c r="LA68" i="1"/>
  <c r="LA67" i="1"/>
  <c r="LA60" i="1"/>
  <c r="LA59" i="1"/>
  <c r="LA52" i="1"/>
  <c r="LA51" i="1"/>
  <c r="LA44" i="1"/>
  <c r="LA43" i="1"/>
  <c r="LA36" i="1"/>
  <c r="LA35" i="1"/>
  <c r="LA28" i="1"/>
  <c r="LA27" i="1"/>
  <c r="LA20" i="1"/>
  <c r="LA19" i="1"/>
  <c r="LA12" i="1"/>
  <c r="LA11" i="1"/>
  <c r="LA5" i="1"/>
  <c r="KX103" i="1"/>
  <c r="KX100" i="1"/>
  <c r="KX99" i="1"/>
  <c r="KX96" i="1"/>
  <c r="KX95" i="1"/>
  <c r="KX92" i="1"/>
  <c r="KX91" i="1"/>
  <c r="KX88" i="1"/>
  <c r="KX87" i="1"/>
  <c r="KX84" i="1"/>
  <c r="KX83" i="1"/>
  <c r="KX80" i="1"/>
  <c r="KX79" i="1"/>
  <c r="KX76" i="1"/>
  <c r="KX75" i="1"/>
  <c r="KX72" i="1"/>
  <c r="KX71" i="1"/>
  <c r="KX68" i="1"/>
  <c r="KX67" i="1"/>
  <c r="KX64" i="1"/>
  <c r="KX63" i="1"/>
  <c r="KX60" i="1"/>
  <c r="KX59" i="1"/>
  <c r="KX56" i="1"/>
  <c r="KX55" i="1"/>
  <c r="KX52" i="1"/>
  <c r="KX51" i="1"/>
  <c r="KX48" i="1"/>
  <c r="KX47" i="1"/>
  <c r="KX44" i="1"/>
  <c r="KX43" i="1"/>
  <c r="KX40" i="1"/>
  <c r="KX39" i="1"/>
  <c r="KX36" i="1"/>
  <c r="KX35" i="1"/>
  <c r="KX32" i="1"/>
  <c r="KX31" i="1"/>
  <c r="KX28" i="1"/>
  <c r="KX27" i="1"/>
  <c r="KX24" i="1"/>
  <c r="KX23" i="1"/>
  <c r="KX20" i="1"/>
  <c r="KX19" i="1"/>
  <c r="KX16" i="1"/>
  <c r="KX15" i="1"/>
  <c r="KX12" i="1"/>
  <c r="KX11" i="1"/>
  <c r="KX9" i="1"/>
  <c r="KX8" i="1"/>
  <c r="KX5" i="1"/>
  <c r="KU103" i="1"/>
  <c r="KU102" i="1"/>
  <c r="KU101" i="1"/>
  <c r="KU100" i="1"/>
  <c r="KU99" i="1"/>
  <c r="KU98" i="1"/>
  <c r="KU97" i="1"/>
  <c r="KU96" i="1"/>
  <c r="KU95" i="1"/>
  <c r="KU94" i="1"/>
  <c r="KU93" i="1"/>
  <c r="KU92" i="1"/>
  <c r="KU91" i="1"/>
  <c r="KU90" i="1"/>
  <c r="KU89" i="1"/>
  <c r="KU88" i="1"/>
  <c r="KU87" i="1"/>
  <c r="KU86" i="1"/>
  <c r="KU85" i="1"/>
  <c r="KU84" i="1"/>
  <c r="KU83" i="1"/>
  <c r="KU82" i="1"/>
  <c r="KU81" i="1"/>
  <c r="KU80" i="1"/>
  <c r="KU79" i="1"/>
  <c r="KU78" i="1"/>
  <c r="KU77" i="1"/>
  <c r="KU76" i="1"/>
  <c r="KU75" i="1"/>
  <c r="KU74" i="1"/>
  <c r="KU73" i="1"/>
  <c r="KU72" i="1"/>
  <c r="KU71" i="1"/>
  <c r="KU70" i="1"/>
  <c r="KU69" i="1"/>
  <c r="KU68" i="1"/>
  <c r="KU67" i="1"/>
  <c r="KU66" i="1"/>
  <c r="KU65" i="1"/>
  <c r="KU64" i="1"/>
  <c r="KU63" i="1"/>
  <c r="KU62" i="1"/>
  <c r="KU61" i="1"/>
  <c r="KU60" i="1"/>
  <c r="KU59" i="1"/>
  <c r="KU58" i="1"/>
  <c r="KU57" i="1"/>
  <c r="KU56" i="1"/>
  <c r="KU55" i="1"/>
  <c r="KU54" i="1"/>
  <c r="KU53" i="1"/>
  <c r="KU52" i="1"/>
  <c r="KU51" i="1"/>
  <c r="KU50" i="1"/>
  <c r="KU49" i="1"/>
  <c r="KU48" i="1"/>
  <c r="KU47" i="1"/>
  <c r="KU46" i="1"/>
  <c r="KU45" i="1"/>
  <c r="KU44" i="1"/>
  <c r="KU43" i="1"/>
  <c r="KU42" i="1"/>
  <c r="KU41" i="1"/>
  <c r="KU40" i="1"/>
  <c r="KU39" i="1"/>
  <c r="KU38" i="1"/>
  <c r="KU37" i="1"/>
  <c r="KU36" i="1"/>
  <c r="KU35" i="1"/>
  <c r="KU34" i="1"/>
  <c r="KU33" i="1"/>
  <c r="KU32" i="1"/>
  <c r="KU31" i="1"/>
  <c r="KU30" i="1"/>
  <c r="KU29" i="1"/>
  <c r="KU28" i="1"/>
  <c r="KU27" i="1"/>
  <c r="KU26" i="1"/>
  <c r="KU25" i="1"/>
  <c r="KU24" i="1"/>
  <c r="KU23" i="1"/>
  <c r="KU22" i="1"/>
  <c r="KU21" i="1"/>
  <c r="KU20" i="1"/>
  <c r="KU19" i="1"/>
  <c r="KU18" i="1"/>
  <c r="KU17" i="1"/>
  <c r="KU16" i="1"/>
  <c r="KU15" i="1"/>
  <c r="KU14" i="1"/>
  <c r="KU13" i="1"/>
  <c r="KU12" i="1"/>
  <c r="KU11" i="1"/>
  <c r="KU10" i="1"/>
  <c r="KU9" i="1"/>
  <c r="KU8" i="1"/>
  <c r="KU7" i="1"/>
  <c r="KU6" i="1"/>
  <c r="KU5" i="1"/>
  <c r="KR103" i="1"/>
  <c r="KR102" i="1"/>
  <c r="KR101" i="1"/>
  <c r="KR100" i="1"/>
  <c r="KR99" i="1"/>
  <c r="KR98" i="1"/>
  <c r="KR97" i="1"/>
  <c r="KR96" i="1"/>
  <c r="KR95" i="1"/>
  <c r="KR94" i="1"/>
  <c r="KR93" i="1"/>
  <c r="KR92" i="1"/>
  <c r="KR91" i="1"/>
  <c r="KR90" i="1"/>
  <c r="KR89" i="1"/>
  <c r="KR88" i="1"/>
  <c r="KR87" i="1"/>
  <c r="KR86" i="1"/>
  <c r="KR85" i="1"/>
  <c r="KR84" i="1"/>
  <c r="KR83" i="1"/>
  <c r="KR82" i="1"/>
  <c r="KR81" i="1"/>
  <c r="KR80" i="1"/>
  <c r="KR79" i="1"/>
  <c r="KR78" i="1"/>
  <c r="KR77" i="1"/>
  <c r="KR76" i="1"/>
  <c r="KR75" i="1"/>
  <c r="KR74" i="1"/>
  <c r="KR73" i="1"/>
  <c r="KR72" i="1"/>
  <c r="KR71" i="1"/>
  <c r="KR70" i="1"/>
  <c r="KR69" i="1"/>
  <c r="KR68" i="1"/>
  <c r="KR67" i="1"/>
  <c r="KR66" i="1"/>
  <c r="KR65" i="1"/>
  <c r="KR64" i="1"/>
  <c r="KR63" i="1"/>
  <c r="KR62" i="1"/>
  <c r="KR61" i="1"/>
  <c r="KR60" i="1"/>
  <c r="KR59" i="1"/>
  <c r="KR58" i="1"/>
  <c r="KR57" i="1"/>
  <c r="KR56" i="1"/>
  <c r="KR55" i="1"/>
  <c r="KR54" i="1"/>
  <c r="KR53" i="1"/>
  <c r="KR52" i="1"/>
  <c r="KR51" i="1"/>
  <c r="KR50" i="1"/>
  <c r="KR49" i="1"/>
  <c r="KR48" i="1"/>
  <c r="KR47" i="1"/>
  <c r="KR46" i="1"/>
  <c r="KR45" i="1"/>
  <c r="KR44" i="1"/>
  <c r="KR43" i="1"/>
  <c r="KR42" i="1"/>
  <c r="KR41" i="1"/>
  <c r="KR40" i="1"/>
  <c r="KR39" i="1"/>
  <c r="KR38" i="1"/>
  <c r="KR37" i="1"/>
  <c r="KR36" i="1"/>
  <c r="KR35" i="1"/>
  <c r="KR34" i="1"/>
  <c r="KR33" i="1"/>
  <c r="KR32" i="1"/>
  <c r="KR31" i="1"/>
  <c r="KR30" i="1"/>
  <c r="KR29" i="1"/>
  <c r="KR28" i="1"/>
  <c r="KR27" i="1"/>
  <c r="KR26" i="1"/>
  <c r="KR25" i="1"/>
  <c r="KR24" i="1"/>
  <c r="KR23" i="1"/>
  <c r="KR22" i="1"/>
  <c r="KR21" i="1"/>
  <c r="KR20" i="1"/>
  <c r="KR19" i="1"/>
  <c r="KR18" i="1"/>
  <c r="KR17" i="1"/>
  <c r="KR16" i="1"/>
  <c r="KR15" i="1"/>
  <c r="KR14" i="1"/>
  <c r="KR13" i="1"/>
  <c r="KR12" i="1"/>
  <c r="KR11" i="1"/>
  <c r="KR10" i="1"/>
  <c r="KR9" i="1"/>
  <c r="KR8" i="1"/>
  <c r="KR7" i="1"/>
  <c r="KR6" i="1"/>
  <c r="KR5" i="1"/>
  <c r="KO103" i="1"/>
  <c r="KO100" i="1"/>
  <c r="KO99" i="1"/>
  <c r="KO96" i="1"/>
  <c r="KO95" i="1"/>
  <c r="KO92" i="1"/>
  <c r="KO91" i="1"/>
  <c r="KO88" i="1"/>
  <c r="KO87" i="1"/>
  <c r="KO84" i="1"/>
  <c r="KO83" i="1"/>
  <c r="KO80" i="1"/>
  <c r="KO79" i="1"/>
  <c r="KO76" i="1"/>
  <c r="KO75" i="1"/>
  <c r="KO72" i="1"/>
  <c r="KO71" i="1"/>
  <c r="KO68" i="1"/>
  <c r="KO67" i="1"/>
  <c r="KO64" i="1"/>
  <c r="KO63" i="1"/>
  <c r="KO60" i="1"/>
  <c r="KO59" i="1"/>
  <c r="KO56" i="1"/>
  <c r="KO55" i="1"/>
  <c r="KO52" i="1"/>
  <c r="KO51" i="1"/>
  <c r="KO48" i="1"/>
  <c r="KO47" i="1"/>
  <c r="KO44" i="1"/>
  <c r="KO43" i="1"/>
  <c r="KO40" i="1"/>
  <c r="KO39" i="1"/>
  <c r="KO36" i="1"/>
  <c r="KO35" i="1"/>
  <c r="KO32" i="1"/>
  <c r="KO31" i="1"/>
  <c r="KO28" i="1"/>
  <c r="KO27" i="1"/>
  <c r="KO24" i="1"/>
  <c r="KO23" i="1"/>
  <c r="KO20" i="1"/>
  <c r="KO19" i="1"/>
  <c r="KO16" i="1"/>
  <c r="KO15" i="1"/>
  <c r="KO12" i="1"/>
  <c r="KO11" i="1"/>
  <c r="KO8" i="1"/>
  <c r="KO7" i="1"/>
  <c r="KL103" i="1"/>
  <c r="KL101" i="1"/>
  <c r="KL100" i="1"/>
  <c r="KL99" i="1"/>
  <c r="KL97" i="1"/>
  <c r="KL96" i="1"/>
  <c r="KL95" i="1"/>
  <c r="KL93" i="1"/>
  <c r="KL92" i="1"/>
  <c r="KL91" i="1"/>
  <c r="KL89" i="1"/>
  <c r="KL88" i="1"/>
  <c r="KL87" i="1"/>
  <c r="KL85" i="1"/>
  <c r="KL84" i="1"/>
  <c r="KL83" i="1"/>
  <c r="KL81" i="1"/>
  <c r="KL80" i="1"/>
  <c r="KL79" i="1"/>
  <c r="KL77" i="1"/>
  <c r="KL76" i="1"/>
  <c r="KL75" i="1"/>
  <c r="KL73" i="1"/>
  <c r="KL72" i="1"/>
  <c r="KL71" i="1"/>
  <c r="KL69" i="1"/>
  <c r="KL68" i="1"/>
  <c r="KL67" i="1"/>
  <c r="KL65" i="1"/>
  <c r="KL64" i="1"/>
  <c r="KL63" i="1"/>
  <c r="KL62" i="1"/>
  <c r="KL61" i="1"/>
  <c r="KL60" i="1"/>
  <c r="KL59" i="1"/>
  <c r="KL58" i="1"/>
  <c r="KL57" i="1"/>
  <c r="KL56" i="1"/>
  <c r="KL55" i="1"/>
  <c r="KL54" i="1"/>
  <c r="KL53" i="1"/>
  <c r="KL52" i="1"/>
  <c r="KL51" i="1"/>
  <c r="KL50" i="1"/>
  <c r="KL49" i="1"/>
  <c r="KL48" i="1"/>
  <c r="KL47" i="1"/>
  <c r="KL46" i="1"/>
  <c r="KL45" i="1"/>
  <c r="KL44" i="1"/>
  <c r="KL43" i="1"/>
  <c r="KL42" i="1"/>
  <c r="KL41" i="1"/>
  <c r="KL40" i="1"/>
  <c r="KL39" i="1"/>
  <c r="KL38" i="1"/>
  <c r="KL37" i="1"/>
  <c r="KL36" i="1"/>
  <c r="KL35" i="1"/>
  <c r="KL34" i="1"/>
  <c r="KL33" i="1"/>
  <c r="KL32" i="1"/>
  <c r="KL31" i="1"/>
  <c r="KL30" i="1"/>
  <c r="KL29" i="1"/>
  <c r="KL28" i="1"/>
  <c r="KL27" i="1"/>
  <c r="KL26" i="1"/>
  <c r="KL25" i="1"/>
  <c r="KL24" i="1"/>
  <c r="KL23" i="1"/>
  <c r="KL22" i="1"/>
  <c r="KL21" i="1"/>
  <c r="KL20" i="1"/>
  <c r="KL19" i="1"/>
  <c r="KL18" i="1"/>
  <c r="KL17" i="1"/>
  <c r="KL16" i="1"/>
  <c r="KL15" i="1"/>
  <c r="KL14" i="1"/>
  <c r="KL13" i="1"/>
  <c r="KL12" i="1"/>
  <c r="KL11" i="1"/>
  <c r="KL10" i="1"/>
  <c r="KL9" i="1"/>
  <c r="KL8" i="1"/>
  <c r="KL7" i="1"/>
  <c r="KL6" i="1"/>
  <c r="KL5" i="1"/>
  <c r="KI103" i="1"/>
  <c r="KI102" i="1"/>
  <c r="KI101" i="1"/>
  <c r="KI100" i="1"/>
  <c r="KI99" i="1"/>
  <c r="KI98" i="1"/>
  <c r="KI97" i="1"/>
  <c r="KI96" i="1"/>
  <c r="KI95" i="1"/>
  <c r="KI94" i="1"/>
  <c r="KI93" i="1"/>
  <c r="KI92" i="1"/>
  <c r="KI91" i="1"/>
  <c r="KI90" i="1"/>
  <c r="KI89" i="1"/>
  <c r="KI88" i="1"/>
  <c r="KI87" i="1"/>
  <c r="KI86" i="1"/>
  <c r="KI85" i="1"/>
  <c r="KI84" i="1"/>
  <c r="KI83" i="1"/>
  <c r="KI82" i="1"/>
  <c r="KI81" i="1"/>
  <c r="KI80" i="1"/>
  <c r="KI79" i="1"/>
  <c r="KI78" i="1"/>
  <c r="KI77" i="1"/>
  <c r="KI76" i="1"/>
  <c r="KI75" i="1"/>
  <c r="KI74" i="1"/>
  <c r="KI73" i="1"/>
  <c r="KI72" i="1"/>
  <c r="KI71" i="1"/>
  <c r="KI70" i="1"/>
  <c r="KI69" i="1"/>
  <c r="KI68" i="1"/>
  <c r="KI67" i="1"/>
  <c r="KI66" i="1"/>
  <c r="KI65" i="1"/>
  <c r="KI64" i="1"/>
  <c r="KI63" i="1"/>
  <c r="KI62" i="1"/>
  <c r="KI61" i="1"/>
  <c r="KI60" i="1"/>
  <c r="KI59" i="1"/>
  <c r="KI58" i="1"/>
  <c r="KI57" i="1"/>
  <c r="KI56" i="1"/>
  <c r="KI55" i="1"/>
  <c r="KI54" i="1"/>
  <c r="KI53" i="1"/>
  <c r="KI52" i="1"/>
  <c r="KI51" i="1"/>
  <c r="KI50" i="1"/>
  <c r="KI49" i="1"/>
  <c r="KI48" i="1"/>
  <c r="KI47" i="1"/>
  <c r="KI46" i="1"/>
  <c r="KI45" i="1"/>
  <c r="KI44" i="1"/>
  <c r="KI43" i="1"/>
  <c r="KI42" i="1"/>
  <c r="KI41" i="1"/>
  <c r="KI40" i="1"/>
  <c r="KI39" i="1"/>
  <c r="KI38" i="1"/>
  <c r="KI37" i="1"/>
  <c r="KI36" i="1"/>
  <c r="KI35" i="1"/>
  <c r="KI34" i="1"/>
  <c r="KI33" i="1"/>
  <c r="KI32" i="1"/>
  <c r="KI31" i="1"/>
  <c r="KI30" i="1"/>
  <c r="KI29" i="1"/>
  <c r="KI28" i="1"/>
  <c r="KI27" i="1"/>
  <c r="KI26" i="1"/>
  <c r="KI25" i="1"/>
  <c r="KI24" i="1"/>
  <c r="KI23" i="1"/>
  <c r="KI22" i="1"/>
  <c r="KI21" i="1"/>
  <c r="KI20" i="1"/>
  <c r="KI19" i="1"/>
  <c r="KI18" i="1"/>
  <c r="KI17" i="1"/>
  <c r="KI16" i="1"/>
  <c r="KI15" i="1"/>
  <c r="KI14" i="1"/>
  <c r="KI13" i="1"/>
  <c r="KI12" i="1"/>
  <c r="KI11" i="1"/>
  <c r="KI10" i="1"/>
  <c r="KI9" i="1"/>
  <c r="KI8" i="1"/>
  <c r="KI7" i="1"/>
  <c r="KI6" i="1"/>
  <c r="KI5" i="1"/>
  <c r="KF103" i="1"/>
  <c r="KF102" i="1"/>
  <c r="KF101" i="1"/>
  <c r="KF100" i="1"/>
  <c r="KF99" i="1"/>
  <c r="KF98" i="1"/>
  <c r="KF97" i="1"/>
  <c r="KF96" i="1"/>
  <c r="KF95" i="1"/>
  <c r="KF94" i="1"/>
  <c r="KF93" i="1"/>
  <c r="KF92" i="1"/>
  <c r="KF91" i="1"/>
  <c r="KF90" i="1"/>
  <c r="KF89" i="1"/>
  <c r="KF88" i="1"/>
  <c r="KF87" i="1"/>
  <c r="KF86" i="1"/>
  <c r="KF85" i="1"/>
  <c r="KF84" i="1"/>
  <c r="KF83" i="1"/>
  <c r="KF82" i="1"/>
  <c r="KF81" i="1"/>
  <c r="KF80" i="1"/>
  <c r="KF79" i="1"/>
  <c r="KF78" i="1"/>
  <c r="KF77" i="1"/>
  <c r="KF76" i="1"/>
  <c r="KF75" i="1"/>
  <c r="KF74" i="1"/>
  <c r="KF73" i="1"/>
  <c r="KF72" i="1"/>
  <c r="KF71" i="1"/>
  <c r="KF70" i="1"/>
  <c r="KF69" i="1"/>
  <c r="KF68" i="1"/>
  <c r="KF67" i="1"/>
  <c r="KF66" i="1"/>
  <c r="KF65" i="1"/>
  <c r="KF64" i="1"/>
  <c r="KF63" i="1"/>
  <c r="KF62" i="1"/>
  <c r="KF61" i="1"/>
  <c r="KF60" i="1"/>
  <c r="KF59" i="1"/>
  <c r="KF58" i="1"/>
  <c r="KF57" i="1"/>
  <c r="KF56" i="1"/>
  <c r="KF55" i="1"/>
  <c r="KF54" i="1"/>
  <c r="KF53" i="1"/>
  <c r="KF52" i="1"/>
  <c r="KF51" i="1"/>
  <c r="KF50" i="1"/>
  <c r="KF49" i="1"/>
  <c r="KF48" i="1"/>
  <c r="KF47" i="1"/>
  <c r="KF46" i="1"/>
  <c r="KF45" i="1"/>
  <c r="KF44" i="1"/>
  <c r="KF43" i="1"/>
  <c r="KF42" i="1"/>
  <c r="KF41" i="1"/>
  <c r="KF40" i="1"/>
  <c r="KF39" i="1"/>
  <c r="KF38" i="1"/>
  <c r="KF37" i="1"/>
  <c r="KF36" i="1"/>
  <c r="KF35" i="1"/>
  <c r="KF34" i="1"/>
  <c r="KF33" i="1"/>
  <c r="KF32" i="1"/>
  <c r="KF31" i="1"/>
  <c r="KF30" i="1"/>
  <c r="KF29" i="1"/>
  <c r="KF28" i="1"/>
  <c r="KF27" i="1"/>
  <c r="KF26" i="1"/>
  <c r="KF25" i="1"/>
  <c r="KF24" i="1"/>
  <c r="KF23" i="1"/>
  <c r="KF22" i="1"/>
  <c r="KF21" i="1"/>
  <c r="KF20" i="1"/>
  <c r="KF19" i="1"/>
  <c r="KF18" i="1"/>
  <c r="KF17" i="1"/>
  <c r="KF16" i="1"/>
  <c r="KF15" i="1"/>
  <c r="KF14" i="1"/>
  <c r="KF13" i="1"/>
  <c r="KF12" i="1"/>
  <c r="KF11" i="1"/>
  <c r="KF10" i="1"/>
  <c r="KF9" i="1"/>
  <c r="KF8" i="1"/>
  <c r="KF7" i="1"/>
  <c r="KF6" i="1"/>
  <c r="KF5" i="1"/>
  <c r="KC101" i="1"/>
  <c r="KC93" i="1"/>
  <c r="KC90" i="1"/>
  <c r="KC77" i="1"/>
  <c r="KC69" i="1"/>
  <c r="KC66" i="1"/>
  <c r="KC53" i="1"/>
  <c r="KC45" i="1"/>
  <c r="KC42" i="1"/>
  <c r="KC29" i="1"/>
  <c r="KC21" i="1"/>
  <c r="KC18" i="1"/>
  <c r="KC5" i="1"/>
  <c r="JZ99" i="1"/>
  <c r="JZ87" i="1"/>
  <c r="JZ75" i="1"/>
  <c r="JZ63" i="1"/>
  <c r="JZ51" i="1"/>
  <c r="JZ39" i="1"/>
  <c r="JZ27" i="1"/>
  <c r="JZ15" i="1"/>
  <c r="JW103" i="1"/>
  <c r="JW102" i="1"/>
  <c r="JW101" i="1"/>
  <c r="JW100" i="1"/>
  <c r="JW99" i="1"/>
  <c r="JW98" i="1"/>
  <c r="JW97" i="1"/>
  <c r="JW96" i="1"/>
  <c r="JW95" i="1"/>
  <c r="JW94" i="1"/>
  <c r="JW93" i="1"/>
  <c r="JW92" i="1"/>
  <c r="JW91" i="1"/>
  <c r="JW90" i="1"/>
  <c r="JW89" i="1"/>
  <c r="JW88" i="1"/>
  <c r="JW87" i="1"/>
  <c r="JW86" i="1"/>
  <c r="JW85" i="1"/>
  <c r="JW84" i="1"/>
  <c r="JW83" i="1"/>
  <c r="JW82" i="1"/>
  <c r="JW81" i="1"/>
  <c r="JW80" i="1"/>
  <c r="JW79" i="1"/>
  <c r="JW78" i="1"/>
  <c r="JW77" i="1"/>
  <c r="JW76" i="1"/>
  <c r="JW75" i="1"/>
  <c r="JW74" i="1"/>
  <c r="JW73" i="1"/>
  <c r="JW72" i="1"/>
  <c r="JW71" i="1"/>
  <c r="JW70" i="1"/>
  <c r="JW69" i="1"/>
  <c r="JW68" i="1"/>
  <c r="JW67" i="1"/>
  <c r="JW66" i="1"/>
  <c r="JW65" i="1"/>
  <c r="JW64" i="1"/>
  <c r="JW63" i="1"/>
  <c r="JW62" i="1"/>
  <c r="JW61" i="1"/>
  <c r="JW60" i="1"/>
  <c r="JW59" i="1"/>
  <c r="JW58" i="1"/>
  <c r="JW57" i="1"/>
  <c r="JW56" i="1"/>
  <c r="JW55" i="1"/>
  <c r="JW54" i="1"/>
  <c r="JW53" i="1"/>
  <c r="JW52" i="1"/>
  <c r="JW51" i="1"/>
  <c r="JW50" i="1"/>
  <c r="JW49" i="1"/>
  <c r="JW48" i="1"/>
  <c r="JW47" i="1"/>
  <c r="JW46" i="1"/>
  <c r="JW45" i="1"/>
  <c r="JW44" i="1"/>
  <c r="JW43" i="1"/>
  <c r="JW42" i="1"/>
  <c r="JW41" i="1"/>
  <c r="JW40" i="1"/>
  <c r="JW39" i="1"/>
  <c r="JW38" i="1"/>
  <c r="JW37" i="1"/>
  <c r="JW36" i="1"/>
  <c r="JW35" i="1"/>
  <c r="JW34" i="1"/>
  <c r="JW33" i="1"/>
  <c r="JW32" i="1"/>
  <c r="JW31" i="1"/>
  <c r="JW30" i="1"/>
  <c r="JW29" i="1"/>
  <c r="JW28" i="1"/>
  <c r="JW27" i="1"/>
  <c r="JW26" i="1"/>
  <c r="JW25" i="1"/>
  <c r="JW24" i="1"/>
  <c r="JW23" i="1"/>
  <c r="JW22" i="1"/>
  <c r="JW21" i="1"/>
  <c r="JW20" i="1"/>
  <c r="JW19" i="1"/>
  <c r="JW18" i="1"/>
  <c r="JW17" i="1"/>
  <c r="JW16" i="1"/>
  <c r="JW15" i="1"/>
  <c r="JW14" i="1"/>
  <c r="JW13" i="1"/>
  <c r="JW12" i="1"/>
  <c r="JW11" i="1"/>
  <c r="JW10" i="1"/>
  <c r="JW9" i="1"/>
  <c r="JW8" i="1"/>
  <c r="JW7" i="1"/>
  <c r="JW6" i="1"/>
  <c r="JW5" i="1"/>
  <c r="JQ102" i="1"/>
  <c r="JQ101" i="1"/>
  <c r="JQ98" i="1"/>
  <c r="JQ97" i="1"/>
  <c r="JQ96" i="1"/>
  <c r="JQ94" i="1"/>
  <c r="JQ93" i="1"/>
  <c r="JQ92" i="1"/>
  <c r="JQ90" i="1"/>
  <c r="JQ89" i="1"/>
  <c r="JQ88" i="1"/>
  <c r="JQ87" i="1"/>
  <c r="JQ86" i="1"/>
  <c r="JQ85" i="1"/>
  <c r="JQ84" i="1"/>
  <c r="JQ83" i="1"/>
  <c r="JQ82" i="1"/>
  <c r="JQ81" i="1"/>
  <c r="JQ80" i="1"/>
  <c r="JQ79" i="1"/>
  <c r="JQ78" i="1"/>
  <c r="JQ77" i="1"/>
  <c r="JQ76" i="1"/>
  <c r="JQ75" i="1"/>
  <c r="JQ74" i="1"/>
  <c r="JQ73" i="1"/>
  <c r="JQ72" i="1"/>
  <c r="JQ71" i="1"/>
  <c r="JQ70" i="1"/>
  <c r="JQ69" i="1"/>
  <c r="JQ68" i="1"/>
  <c r="JQ67" i="1"/>
  <c r="JQ66" i="1"/>
  <c r="JQ65" i="1"/>
  <c r="JQ64" i="1"/>
  <c r="JQ63" i="1"/>
  <c r="JQ62" i="1"/>
  <c r="JQ61" i="1"/>
  <c r="JQ60" i="1"/>
  <c r="JQ59" i="1"/>
  <c r="JQ58" i="1"/>
  <c r="JQ57" i="1"/>
  <c r="JQ56" i="1"/>
  <c r="JQ55" i="1"/>
  <c r="JQ54" i="1"/>
  <c r="JQ53" i="1"/>
  <c r="JQ52" i="1"/>
  <c r="JQ51" i="1"/>
  <c r="JQ50" i="1"/>
  <c r="JQ49" i="1"/>
  <c r="JQ48" i="1"/>
  <c r="JQ47" i="1"/>
  <c r="JQ46" i="1"/>
  <c r="JQ45" i="1"/>
  <c r="JQ44" i="1"/>
  <c r="JQ43" i="1"/>
  <c r="JQ42" i="1"/>
  <c r="JQ41" i="1"/>
  <c r="JQ40" i="1"/>
  <c r="JQ39" i="1"/>
  <c r="JQ38" i="1"/>
  <c r="JQ37" i="1"/>
  <c r="JQ36" i="1"/>
  <c r="JQ35" i="1"/>
  <c r="JQ34" i="1"/>
  <c r="JQ33" i="1"/>
  <c r="JQ32" i="1"/>
  <c r="JQ31" i="1"/>
  <c r="JQ30" i="1"/>
  <c r="JQ29" i="1"/>
  <c r="JQ28" i="1"/>
  <c r="JQ27" i="1"/>
  <c r="JQ26" i="1"/>
  <c r="JQ25" i="1"/>
  <c r="JQ24" i="1"/>
  <c r="JQ23" i="1"/>
  <c r="JQ22" i="1"/>
  <c r="JQ21" i="1"/>
  <c r="JQ20" i="1"/>
  <c r="JQ19" i="1"/>
  <c r="JQ18" i="1"/>
  <c r="JQ17" i="1"/>
  <c r="JQ16" i="1"/>
  <c r="JQ15" i="1"/>
  <c r="JQ14" i="1"/>
  <c r="JQ13" i="1"/>
  <c r="JQ12" i="1"/>
  <c r="JQ11" i="1"/>
  <c r="JQ10" i="1"/>
  <c r="JQ9" i="1"/>
  <c r="JQ8" i="1"/>
  <c r="JQ7" i="1"/>
  <c r="JQ6" i="1"/>
  <c r="JQ5" i="1"/>
  <c r="JN103" i="1"/>
  <c r="JN102" i="1"/>
  <c r="JN101" i="1"/>
  <c r="JN100" i="1"/>
  <c r="JN99" i="1"/>
  <c r="JN98" i="1"/>
  <c r="JN97" i="1"/>
  <c r="JN96" i="1"/>
  <c r="JN95" i="1"/>
  <c r="JN94" i="1"/>
  <c r="JN93" i="1"/>
  <c r="JN92" i="1"/>
  <c r="JN91" i="1"/>
  <c r="JN90" i="1"/>
  <c r="JN89" i="1"/>
  <c r="JN88" i="1"/>
  <c r="JN87" i="1"/>
  <c r="JN86" i="1"/>
  <c r="JN85" i="1"/>
  <c r="JN84" i="1"/>
  <c r="JN83" i="1"/>
  <c r="JN82" i="1"/>
  <c r="JN81" i="1"/>
  <c r="JN80" i="1"/>
  <c r="JN79" i="1"/>
  <c r="JN78" i="1"/>
  <c r="JN77" i="1"/>
  <c r="JN76" i="1"/>
  <c r="JN75" i="1"/>
  <c r="JN74" i="1"/>
  <c r="JN73" i="1"/>
  <c r="JN72" i="1"/>
  <c r="JN71" i="1"/>
  <c r="JN70" i="1"/>
  <c r="JN69" i="1"/>
  <c r="JN68" i="1"/>
  <c r="JN67" i="1"/>
  <c r="JN66" i="1"/>
  <c r="JN65" i="1"/>
  <c r="JN64" i="1"/>
  <c r="JN63" i="1"/>
  <c r="JN62" i="1"/>
  <c r="JN61" i="1"/>
  <c r="JN60" i="1"/>
  <c r="JN59" i="1"/>
  <c r="JN58" i="1"/>
  <c r="JN57" i="1"/>
  <c r="JN56" i="1"/>
  <c r="JN55" i="1"/>
  <c r="JN54" i="1"/>
  <c r="JN53" i="1"/>
  <c r="JN52" i="1"/>
  <c r="JN51" i="1"/>
  <c r="JN50" i="1"/>
  <c r="JN49" i="1"/>
  <c r="JN48" i="1"/>
  <c r="JN47" i="1"/>
  <c r="JN46" i="1"/>
  <c r="JN45" i="1"/>
  <c r="JN44" i="1"/>
  <c r="JN43" i="1"/>
  <c r="JN42" i="1"/>
  <c r="JN41" i="1"/>
  <c r="JN40" i="1"/>
  <c r="JN39" i="1"/>
  <c r="JN38" i="1"/>
  <c r="JN37" i="1"/>
  <c r="JN36" i="1"/>
  <c r="JN35" i="1"/>
  <c r="JN34" i="1"/>
  <c r="JN33" i="1"/>
  <c r="JN32" i="1"/>
  <c r="JN31" i="1"/>
  <c r="JN30" i="1"/>
  <c r="JN29" i="1"/>
  <c r="JN28" i="1"/>
  <c r="JN27" i="1"/>
  <c r="JN26" i="1"/>
  <c r="JN25" i="1"/>
  <c r="JN24" i="1"/>
  <c r="JN23" i="1"/>
  <c r="JN22" i="1"/>
  <c r="JN21" i="1"/>
  <c r="JN20" i="1"/>
  <c r="JN19" i="1"/>
  <c r="JN18" i="1"/>
  <c r="JN17" i="1"/>
  <c r="JN16" i="1"/>
  <c r="JN15" i="1"/>
  <c r="JN14" i="1"/>
  <c r="JN13" i="1"/>
  <c r="JN12" i="1"/>
  <c r="JN11" i="1"/>
  <c r="JN10" i="1"/>
  <c r="JN9" i="1"/>
  <c r="JN8" i="1"/>
  <c r="JN7" i="1"/>
  <c r="JN6" i="1"/>
  <c r="JN5" i="1"/>
  <c r="JK103" i="1"/>
  <c r="JK102" i="1"/>
  <c r="JK101" i="1"/>
  <c r="JK100" i="1"/>
  <c r="JK99" i="1"/>
  <c r="JK98" i="1"/>
  <c r="JK97" i="1"/>
  <c r="JK96" i="1"/>
  <c r="JK95" i="1"/>
  <c r="JK94" i="1"/>
  <c r="JK93" i="1"/>
  <c r="JK92" i="1"/>
  <c r="JK91" i="1"/>
  <c r="JK90" i="1"/>
  <c r="JK89" i="1"/>
  <c r="JK88" i="1"/>
  <c r="JK87" i="1"/>
  <c r="JK86" i="1"/>
  <c r="JK85" i="1"/>
  <c r="JK84" i="1"/>
  <c r="JK83" i="1"/>
  <c r="JK82" i="1"/>
  <c r="JK81" i="1"/>
  <c r="JK80" i="1"/>
  <c r="JK79" i="1"/>
  <c r="JK78" i="1"/>
  <c r="JK77" i="1"/>
  <c r="JK76" i="1"/>
  <c r="JK75" i="1"/>
  <c r="JK74" i="1"/>
  <c r="JK73" i="1"/>
  <c r="JK72" i="1"/>
  <c r="JK71" i="1"/>
  <c r="JK70" i="1"/>
  <c r="JK69" i="1"/>
  <c r="JK68" i="1"/>
  <c r="JK67" i="1"/>
  <c r="JK66" i="1"/>
  <c r="JK65" i="1"/>
  <c r="JK64" i="1"/>
  <c r="JK63" i="1"/>
  <c r="JK62" i="1"/>
  <c r="JK61" i="1"/>
  <c r="JK60" i="1"/>
  <c r="JK59" i="1"/>
  <c r="JK58" i="1"/>
  <c r="JK57" i="1"/>
  <c r="JK56" i="1"/>
  <c r="JK55" i="1"/>
  <c r="JK54" i="1"/>
  <c r="JK53" i="1"/>
  <c r="JK52" i="1"/>
  <c r="JK51" i="1"/>
  <c r="JK50" i="1"/>
  <c r="JK49" i="1"/>
  <c r="JK48" i="1"/>
  <c r="JK47" i="1"/>
  <c r="JK46" i="1"/>
  <c r="JK45" i="1"/>
  <c r="JK44" i="1"/>
  <c r="JK43" i="1"/>
  <c r="JK42" i="1"/>
  <c r="JK41" i="1"/>
  <c r="JK40" i="1"/>
  <c r="JK39" i="1"/>
  <c r="JK38" i="1"/>
  <c r="JK37" i="1"/>
  <c r="JK36" i="1"/>
  <c r="JK35" i="1"/>
  <c r="JK34" i="1"/>
  <c r="JK33" i="1"/>
  <c r="JK32" i="1"/>
  <c r="JK31" i="1"/>
  <c r="JK30" i="1"/>
  <c r="JK29" i="1"/>
  <c r="JK28" i="1"/>
  <c r="JK27" i="1"/>
  <c r="JK26" i="1"/>
  <c r="JK25" i="1"/>
  <c r="JK24" i="1"/>
  <c r="JK23" i="1"/>
  <c r="JK22" i="1"/>
  <c r="JK21" i="1"/>
  <c r="JK20" i="1"/>
  <c r="JK19" i="1"/>
  <c r="JK18" i="1"/>
  <c r="JK17" i="1"/>
  <c r="JK16" i="1"/>
  <c r="JK15" i="1"/>
  <c r="JK14" i="1"/>
  <c r="JK13" i="1"/>
  <c r="JK12" i="1"/>
  <c r="JK11" i="1"/>
  <c r="JK10" i="1"/>
  <c r="JK9" i="1"/>
  <c r="JK8" i="1"/>
  <c r="JK7" i="1"/>
  <c r="JK6" i="1"/>
  <c r="JK5" i="1"/>
  <c r="JH103" i="1"/>
  <c r="JH102" i="1"/>
  <c r="JH101" i="1"/>
  <c r="JH100" i="1"/>
  <c r="JH99" i="1"/>
  <c r="JH98" i="1"/>
  <c r="JH97" i="1"/>
  <c r="JH96" i="1"/>
  <c r="JH95" i="1"/>
  <c r="JH94" i="1"/>
  <c r="JH93" i="1"/>
  <c r="JH92" i="1"/>
  <c r="JH91" i="1"/>
  <c r="JH90" i="1"/>
  <c r="JH89" i="1"/>
  <c r="JH88" i="1"/>
  <c r="JH87" i="1"/>
  <c r="JH86" i="1"/>
  <c r="JH85" i="1"/>
  <c r="JH84" i="1"/>
  <c r="JH83" i="1"/>
  <c r="JH82" i="1"/>
  <c r="JH81" i="1"/>
  <c r="JH80" i="1"/>
  <c r="JH79" i="1"/>
  <c r="JH78" i="1"/>
  <c r="JH77" i="1"/>
  <c r="JH76" i="1"/>
  <c r="JH75" i="1"/>
  <c r="JH74" i="1"/>
  <c r="JH73" i="1"/>
  <c r="JH72" i="1"/>
  <c r="JH71" i="1"/>
  <c r="JH70" i="1"/>
  <c r="JH69" i="1"/>
  <c r="JH68" i="1"/>
  <c r="JH67" i="1"/>
  <c r="JH66" i="1"/>
  <c r="JH65" i="1"/>
  <c r="JH64" i="1"/>
  <c r="JH63" i="1"/>
  <c r="JH62" i="1"/>
  <c r="JH61" i="1"/>
  <c r="JH60" i="1"/>
  <c r="JH59" i="1"/>
  <c r="JH58" i="1"/>
  <c r="JH57" i="1"/>
  <c r="JH56" i="1"/>
  <c r="JH55" i="1"/>
  <c r="JH54" i="1"/>
  <c r="JH53" i="1"/>
  <c r="JH52" i="1"/>
  <c r="JH51" i="1"/>
  <c r="JH50" i="1"/>
  <c r="JH49" i="1"/>
  <c r="JH48" i="1"/>
  <c r="JH47" i="1"/>
  <c r="JH46" i="1"/>
  <c r="JH45" i="1"/>
  <c r="JH44" i="1"/>
  <c r="JH43" i="1"/>
  <c r="JH42" i="1"/>
  <c r="JH41" i="1"/>
  <c r="JH40" i="1"/>
  <c r="JH39" i="1"/>
  <c r="JH38" i="1"/>
  <c r="JH37" i="1"/>
  <c r="JH36" i="1"/>
  <c r="JH35" i="1"/>
  <c r="JH34" i="1"/>
  <c r="JH33" i="1"/>
  <c r="JH32" i="1"/>
  <c r="JH31" i="1"/>
  <c r="JH30" i="1"/>
  <c r="JH29" i="1"/>
  <c r="JH28" i="1"/>
  <c r="JH27" i="1"/>
  <c r="JH26" i="1"/>
  <c r="JH25" i="1"/>
  <c r="JH24" i="1"/>
  <c r="JH23" i="1"/>
  <c r="JH22" i="1"/>
  <c r="JH21" i="1"/>
  <c r="JH20" i="1"/>
  <c r="JH19" i="1"/>
  <c r="JH18" i="1"/>
  <c r="JH17" i="1"/>
  <c r="JH16" i="1"/>
  <c r="JH15" i="1"/>
  <c r="JH14" i="1"/>
  <c r="JH13" i="1"/>
  <c r="JH12" i="1"/>
  <c r="JH11" i="1"/>
  <c r="JH10" i="1"/>
  <c r="JH9" i="1"/>
  <c r="JH8" i="1"/>
  <c r="JH7" i="1"/>
  <c r="JH6" i="1"/>
  <c r="JH5" i="1"/>
  <c r="JE103" i="1"/>
  <c r="JE102" i="1"/>
  <c r="JE101" i="1"/>
  <c r="JE100" i="1"/>
  <c r="JE99" i="1"/>
  <c r="JE98" i="1"/>
  <c r="JE97" i="1"/>
  <c r="JE96" i="1"/>
  <c r="JE95" i="1"/>
  <c r="JE94" i="1"/>
  <c r="JE93" i="1"/>
  <c r="JE92" i="1"/>
  <c r="JE91" i="1"/>
  <c r="JE90" i="1"/>
  <c r="JE89" i="1"/>
  <c r="JE88" i="1"/>
  <c r="JE87" i="1"/>
  <c r="JE86" i="1"/>
  <c r="JE85" i="1"/>
  <c r="JE84" i="1"/>
  <c r="JE83" i="1"/>
  <c r="JE82" i="1"/>
  <c r="JE81" i="1"/>
  <c r="JE80" i="1"/>
  <c r="JE79" i="1"/>
  <c r="JE78" i="1"/>
  <c r="JE77" i="1"/>
  <c r="JE76" i="1"/>
  <c r="JE75" i="1"/>
  <c r="JE74" i="1"/>
  <c r="JE73" i="1"/>
  <c r="JE72" i="1"/>
  <c r="JE71" i="1"/>
  <c r="JE70" i="1"/>
  <c r="JE69" i="1"/>
  <c r="JE68" i="1"/>
  <c r="JE67" i="1"/>
  <c r="JE66" i="1"/>
  <c r="JE65" i="1"/>
  <c r="JE64" i="1"/>
  <c r="JE63" i="1"/>
  <c r="JE62" i="1"/>
  <c r="JE61" i="1"/>
  <c r="JE60" i="1"/>
  <c r="JE59" i="1"/>
  <c r="JE58" i="1"/>
  <c r="JE57" i="1"/>
  <c r="JE56" i="1"/>
  <c r="JE55" i="1"/>
  <c r="JE54" i="1"/>
  <c r="JE53" i="1"/>
  <c r="JE52" i="1"/>
  <c r="JE51" i="1"/>
  <c r="JE50" i="1"/>
  <c r="JE49" i="1"/>
  <c r="JE48" i="1"/>
  <c r="JE47" i="1"/>
  <c r="JE46" i="1"/>
  <c r="JE45" i="1"/>
  <c r="JE44" i="1"/>
  <c r="JE43" i="1"/>
  <c r="JE42" i="1"/>
  <c r="JE41" i="1"/>
  <c r="JE40" i="1"/>
  <c r="JE39" i="1"/>
  <c r="JE38" i="1"/>
  <c r="JE37" i="1"/>
  <c r="JE36" i="1"/>
  <c r="JE35" i="1"/>
  <c r="JE34" i="1"/>
  <c r="JE33" i="1"/>
  <c r="JE32" i="1"/>
  <c r="JE31" i="1"/>
  <c r="JE30" i="1"/>
  <c r="JE29" i="1"/>
  <c r="JE28" i="1"/>
  <c r="JE27" i="1"/>
  <c r="JE26" i="1"/>
  <c r="JE25" i="1"/>
  <c r="JE24" i="1"/>
  <c r="JE23" i="1"/>
  <c r="JE22" i="1"/>
  <c r="JE21" i="1"/>
  <c r="JE20" i="1"/>
  <c r="JE19" i="1"/>
  <c r="JE18" i="1"/>
  <c r="JE17" i="1"/>
  <c r="JE16" i="1"/>
  <c r="JE15" i="1"/>
  <c r="JE14" i="1"/>
  <c r="JE13" i="1"/>
  <c r="JE12" i="1"/>
  <c r="JE11" i="1"/>
  <c r="JE10" i="1"/>
  <c r="JE9" i="1"/>
  <c r="JE8" i="1"/>
  <c r="JE7" i="1"/>
  <c r="JE6" i="1"/>
  <c r="JE5" i="1"/>
  <c r="JB103" i="1"/>
  <c r="JB102" i="1"/>
  <c r="JB101" i="1"/>
  <c r="JB100" i="1"/>
  <c r="JB99" i="1"/>
  <c r="JB98" i="1"/>
  <c r="JB97" i="1"/>
  <c r="JB96" i="1"/>
  <c r="JB95" i="1"/>
  <c r="JB94" i="1"/>
  <c r="JB93" i="1"/>
  <c r="JB92" i="1"/>
  <c r="JB91" i="1"/>
  <c r="JB90" i="1"/>
  <c r="JB89" i="1"/>
  <c r="JB88" i="1"/>
  <c r="JB87" i="1"/>
  <c r="JB86" i="1"/>
  <c r="JB85" i="1"/>
  <c r="JB84" i="1"/>
  <c r="JB83" i="1"/>
  <c r="JB82" i="1"/>
  <c r="JB81" i="1"/>
  <c r="JB80" i="1"/>
  <c r="JB79" i="1"/>
  <c r="JB78" i="1"/>
  <c r="JB77" i="1"/>
  <c r="JB76" i="1"/>
  <c r="JB75" i="1"/>
  <c r="JB74" i="1"/>
  <c r="JB73" i="1"/>
  <c r="JB72" i="1"/>
  <c r="JB71" i="1"/>
  <c r="JB70" i="1"/>
  <c r="JB69" i="1"/>
  <c r="JB68" i="1"/>
  <c r="JB67" i="1"/>
  <c r="JB66" i="1"/>
  <c r="JB65" i="1"/>
  <c r="JB64" i="1"/>
  <c r="JB63" i="1"/>
  <c r="JB62" i="1"/>
  <c r="JB61" i="1"/>
  <c r="JB60" i="1"/>
  <c r="JB59" i="1"/>
  <c r="JB58" i="1"/>
  <c r="JB57" i="1"/>
  <c r="JB56" i="1"/>
  <c r="JB55" i="1"/>
  <c r="JB54" i="1"/>
  <c r="JB53" i="1"/>
  <c r="JB52" i="1"/>
  <c r="JB51" i="1"/>
  <c r="JB50" i="1"/>
  <c r="JB49" i="1"/>
  <c r="JB48" i="1"/>
  <c r="JB47" i="1"/>
  <c r="JB46" i="1"/>
  <c r="JB45" i="1"/>
  <c r="JB44" i="1"/>
  <c r="JB43" i="1"/>
  <c r="JB42" i="1"/>
  <c r="JB41" i="1"/>
  <c r="JB40" i="1"/>
  <c r="JB39" i="1"/>
  <c r="JB38" i="1"/>
  <c r="JB37" i="1"/>
  <c r="JB36" i="1"/>
  <c r="JB35" i="1"/>
  <c r="JB34" i="1"/>
  <c r="JB33" i="1"/>
  <c r="JB32" i="1"/>
  <c r="JB31" i="1"/>
  <c r="JB30" i="1"/>
  <c r="JB29" i="1"/>
  <c r="JB28" i="1"/>
  <c r="JB27" i="1"/>
  <c r="JB26" i="1"/>
  <c r="JB25" i="1"/>
  <c r="JB24" i="1"/>
  <c r="JB23" i="1"/>
  <c r="JB22" i="1"/>
  <c r="JB21" i="1"/>
  <c r="JB20" i="1"/>
  <c r="JB19" i="1"/>
  <c r="JB18" i="1"/>
  <c r="JB17" i="1"/>
  <c r="JB16" i="1"/>
  <c r="JB15" i="1"/>
  <c r="JB14" i="1"/>
  <c r="JB13" i="1"/>
  <c r="JB12" i="1"/>
  <c r="JB11" i="1"/>
  <c r="JB10" i="1"/>
  <c r="JB9" i="1"/>
  <c r="JB8" i="1"/>
  <c r="JB7" i="1"/>
  <c r="JB6" i="1"/>
  <c r="JB5" i="1"/>
  <c r="IY103" i="1"/>
  <c r="IY102" i="1"/>
  <c r="IY101" i="1"/>
  <c r="IY100" i="1"/>
  <c r="IY99" i="1"/>
  <c r="IY98" i="1"/>
  <c r="IY97" i="1"/>
  <c r="IY96" i="1"/>
  <c r="IY95" i="1"/>
  <c r="IY94" i="1"/>
  <c r="IY93" i="1"/>
  <c r="IY92" i="1"/>
  <c r="IY91" i="1"/>
  <c r="IY90" i="1"/>
  <c r="IY89" i="1"/>
  <c r="IY88" i="1"/>
  <c r="IY87" i="1"/>
  <c r="IY86" i="1"/>
  <c r="IY85" i="1"/>
  <c r="IY84" i="1"/>
  <c r="IY83" i="1"/>
  <c r="IY82" i="1"/>
  <c r="IY81" i="1"/>
  <c r="IY80" i="1"/>
  <c r="IY79" i="1"/>
  <c r="IY78" i="1"/>
  <c r="IY77" i="1"/>
  <c r="IY76" i="1"/>
  <c r="IY75" i="1"/>
  <c r="IY74" i="1"/>
  <c r="IY73" i="1"/>
  <c r="IY72" i="1"/>
  <c r="IY71" i="1"/>
  <c r="IY70" i="1"/>
  <c r="IY69" i="1"/>
  <c r="IY68" i="1"/>
  <c r="IY67" i="1"/>
  <c r="IY66" i="1"/>
  <c r="IY65" i="1"/>
  <c r="IY64" i="1"/>
  <c r="IY63" i="1"/>
  <c r="IY62" i="1"/>
  <c r="IY61" i="1"/>
  <c r="IY60" i="1"/>
  <c r="IY59" i="1"/>
  <c r="IY58" i="1"/>
  <c r="IY57" i="1"/>
  <c r="IY56" i="1"/>
  <c r="IY55" i="1"/>
  <c r="IY54" i="1"/>
  <c r="IY53" i="1"/>
  <c r="IY52" i="1"/>
  <c r="IY51" i="1"/>
  <c r="IY50" i="1"/>
  <c r="IY49" i="1"/>
  <c r="IY48" i="1"/>
  <c r="IY47" i="1"/>
  <c r="IY46" i="1"/>
  <c r="IY45" i="1"/>
  <c r="IY44" i="1"/>
  <c r="IY43" i="1"/>
  <c r="IY42" i="1"/>
  <c r="IY41" i="1"/>
  <c r="IY40" i="1"/>
  <c r="IY39" i="1"/>
  <c r="IY38" i="1"/>
  <c r="IY37" i="1"/>
  <c r="IY36" i="1"/>
  <c r="IY35" i="1"/>
  <c r="IY34" i="1"/>
  <c r="IY33" i="1"/>
  <c r="IY32" i="1"/>
  <c r="IY31" i="1"/>
  <c r="IY30" i="1"/>
  <c r="IY29" i="1"/>
  <c r="IY28" i="1"/>
  <c r="IY27" i="1"/>
  <c r="IY26" i="1"/>
  <c r="IY25" i="1"/>
  <c r="IY24" i="1"/>
  <c r="IY23" i="1"/>
  <c r="IY22" i="1"/>
  <c r="IY21" i="1"/>
  <c r="IY20" i="1"/>
  <c r="IY19" i="1"/>
  <c r="IY18" i="1"/>
  <c r="IY17" i="1"/>
  <c r="IY16" i="1"/>
  <c r="IY15" i="1"/>
  <c r="IY14" i="1"/>
  <c r="IY13" i="1"/>
  <c r="IY12" i="1"/>
  <c r="IY11" i="1"/>
  <c r="IY10" i="1"/>
  <c r="IY9" i="1"/>
  <c r="IY8" i="1"/>
  <c r="IY7" i="1"/>
  <c r="IY6" i="1"/>
  <c r="IY5" i="1"/>
  <c r="IV103" i="1"/>
  <c r="IV102" i="1"/>
  <c r="IV101" i="1"/>
  <c r="IV100" i="1"/>
  <c r="IV99" i="1"/>
  <c r="IV98" i="1"/>
  <c r="IV97" i="1"/>
  <c r="IV96" i="1"/>
  <c r="IV95" i="1"/>
  <c r="IV94" i="1"/>
  <c r="IV93" i="1"/>
  <c r="IV92" i="1"/>
  <c r="IV91" i="1"/>
  <c r="IV90" i="1"/>
  <c r="IV89" i="1"/>
  <c r="IV88" i="1"/>
  <c r="IV87" i="1"/>
  <c r="IV86" i="1"/>
  <c r="IV85" i="1"/>
  <c r="IV84" i="1"/>
  <c r="IV83" i="1"/>
  <c r="IV82" i="1"/>
  <c r="IV81" i="1"/>
  <c r="IV80" i="1"/>
  <c r="IV79" i="1"/>
  <c r="IV78" i="1"/>
  <c r="IV77" i="1"/>
  <c r="IV76" i="1"/>
  <c r="IV75" i="1"/>
  <c r="IV74" i="1"/>
  <c r="IV73" i="1"/>
  <c r="IV72" i="1"/>
  <c r="IV71" i="1"/>
  <c r="IV70" i="1"/>
  <c r="IV69" i="1"/>
  <c r="IV68" i="1"/>
  <c r="IV67" i="1"/>
  <c r="IV66" i="1"/>
  <c r="IV65" i="1"/>
  <c r="IV64" i="1"/>
  <c r="IV63" i="1"/>
  <c r="IV62" i="1"/>
  <c r="IV61" i="1"/>
  <c r="IV60" i="1"/>
  <c r="IV59" i="1"/>
  <c r="IV58" i="1"/>
  <c r="IV57" i="1"/>
  <c r="IV56" i="1"/>
  <c r="IV55" i="1"/>
  <c r="IV54" i="1"/>
  <c r="IV53" i="1"/>
  <c r="IV52" i="1"/>
  <c r="IV51" i="1"/>
  <c r="IV50" i="1"/>
  <c r="IV49" i="1"/>
  <c r="IV48" i="1"/>
  <c r="IV47" i="1"/>
  <c r="IV46" i="1"/>
  <c r="IV45" i="1"/>
  <c r="IV44" i="1"/>
  <c r="IV43" i="1"/>
  <c r="IV42" i="1"/>
  <c r="IV41" i="1"/>
  <c r="IV40" i="1"/>
  <c r="IV39" i="1"/>
  <c r="IV38" i="1"/>
  <c r="IV37" i="1"/>
  <c r="IV36" i="1"/>
  <c r="IV35" i="1"/>
  <c r="IV34" i="1"/>
  <c r="IV33" i="1"/>
  <c r="IV32" i="1"/>
  <c r="IV31" i="1"/>
  <c r="IV30" i="1"/>
  <c r="IV29" i="1"/>
  <c r="IV28" i="1"/>
  <c r="IV27" i="1"/>
  <c r="IV26" i="1"/>
  <c r="IV25" i="1"/>
  <c r="IV24" i="1"/>
  <c r="IV23" i="1"/>
  <c r="IV22" i="1"/>
  <c r="IV21" i="1"/>
  <c r="IV20" i="1"/>
  <c r="IV19" i="1"/>
  <c r="IV18" i="1"/>
  <c r="IV17" i="1"/>
  <c r="IV16" i="1"/>
  <c r="IV15" i="1"/>
  <c r="IV14" i="1"/>
  <c r="IV13" i="1"/>
  <c r="IV12" i="1"/>
  <c r="IV11" i="1"/>
  <c r="IV10" i="1"/>
  <c r="IV9" i="1"/>
  <c r="IV8" i="1"/>
  <c r="IV7" i="1"/>
  <c r="IV6" i="1"/>
  <c r="IV5" i="1"/>
  <c r="IS103" i="1"/>
  <c r="IS102" i="1"/>
  <c r="IS101" i="1"/>
  <c r="IS100" i="1"/>
  <c r="IS99" i="1"/>
  <c r="IS98" i="1"/>
  <c r="IS97" i="1"/>
  <c r="IS96" i="1"/>
  <c r="IS95" i="1"/>
  <c r="IS94" i="1"/>
  <c r="IS93" i="1"/>
  <c r="IS92" i="1"/>
  <c r="IS91" i="1"/>
  <c r="IS90" i="1"/>
  <c r="IS89" i="1"/>
  <c r="IS88" i="1"/>
  <c r="IS87" i="1"/>
  <c r="IS86" i="1"/>
  <c r="IS85" i="1"/>
  <c r="IS84" i="1"/>
  <c r="IS83" i="1"/>
  <c r="IS82" i="1"/>
  <c r="IS81" i="1"/>
  <c r="IS80" i="1"/>
  <c r="IS79" i="1"/>
  <c r="IS78" i="1"/>
  <c r="IS77" i="1"/>
  <c r="IS76" i="1"/>
  <c r="IS75" i="1"/>
  <c r="IS74" i="1"/>
  <c r="IS73" i="1"/>
  <c r="IS72" i="1"/>
  <c r="IS71" i="1"/>
  <c r="IS70" i="1"/>
  <c r="IS69" i="1"/>
  <c r="IS68" i="1"/>
  <c r="IS67" i="1"/>
  <c r="IS66" i="1"/>
  <c r="IS65" i="1"/>
  <c r="IS64" i="1"/>
  <c r="IS63" i="1"/>
  <c r="IS62" i="1"/>
  <c r="IS61" i="1"/>
  <c r="IS60" i="1"/>
  <c r="IS59" i="1"/>
  <c r="IS58" i="1"/>
  <c r="IS57" i="1"/>
  <c r="IS56" i="1"/>
  <c r="IS55" i="1"/>
  <c r="IS54" i="1"/>
  <c r="IS53" i="1"/>
  <c r="IS52" i="1"/>
  <c r="IS51" i="1"/>
  <c r="IS50" i="1"/>
  <c r="IS49" i="1"/>
  <c r="IS48" i="1"/>
  <c r="IS47" i="1"/>
  <c r="IS46" i="1"/>
  <c r="IS45" i="1"/>
  <c r="IS44" i="1"/>
  <c r="IS43" i="1"/>
  <c r="IS42" i="1"/>
  <c r="IS41" i="1"/>
  <c r="IS40" i="1"/>
  <c r="IS39" i="1"/>
  <c r="IS38" i="1"/>
  <c r="IS37" i="1"/>
  <c r="IS36" i="1"/>
  <c r="IS35" i="1"/>
  <c r="IS34" i="1"/>
  <c r="IS33" i="1"/>
  <c r="IS32" i="1"/>
  <c r="IS31" i="1"/>
  <c r="IS30" i="1"/>
  <c r="IS29" i="1"/>
  <c r="IS28" i="1"/>
  <c r="IS27" i="1"/>
  <c r="IS26" i="1"/>
  <c r="IS25" i="1"/>
  <c r="IS24" i="1"/>
  <c r="IS23" i="1"/>
  <c r="IS22" i="1"/>
  <c r="IS21" i="1"/>
  <c r="IS20" i="1"/>
  <c r="IS19" i="1"/>
  <c r="IS18" i="1"/>
  <c r="IS17" i="1"/>
  <c r="IS16" i="1"/>
  <c r="IS15" i="1"/>
  <c r="IS14" i="1"/>
  <c r="IS13" i="1"/>
  <c r="IS12" i="1"/>
  <c r="IS11" i="1"/>
  <c r="IS10" i="1"/>
  <c r="IS9" i="1"/>
  <c r="IS8" i="1"/>
  <c r="IS7" i="1"/>
  <c r="IS6" i="1"/>
  <c r="IS5" i="1"/>
  <c r="IP94" i="1"/>
  <c r="IP82" i="1"/>
  <c r="IP70" i="1"/>
  <c r="IP58" i="1"/>
  <c r="IP46" i="1"/>
  <c r="IP34" i="1"/>
  <c r="IP22" i="1"/>
  <c r="IP10" i="1"/>
  <c r="IM103" i="1"/>
  <c r="IM102" i="1"/>
  <c r="IM101" i="1"/>
  <c r="IM100" i="1"/>
  <c r="IM99" i="1"/>
  <c r="IM98" i="1"/>
  <c r="IM97" i="1"/>
  <c r="IM96" i="1"/>
  <c r="IM95" i="1"/>
  <c r="IM94" i="1"/>
  <c r="IM93" i="1"/>
  <c r="IM92" i="1"/>
  <c r="IM91" i="1"/>
  <c r="IM90" i="1"/>
  <c r="IM89" i="1"/>
  <c r="IM88" i="1"/>
  <c r="IM87" i="1"/>
  <c r="IM86" i="1"/>
  <c r="IM85" i="1"/>
  <c r="IM84" i="1"/>
  <c r="IM83" i="1"/>
  <c r="IM82" i="1"/>
  <c r="IM81" i="1"/>
  <c r="IM80" i="1"/>
  <c r="IM79" i="1"/>
  <c r="IM78" i="1"/>
  <c r="IM77" i="1"/>
  <c r="IM76" i="1"/>
  <c r="IM75" i="1"/>
  <c r="IM74" i="1"/>
  <c r="IM73" i="1"/>
  <c r="IM72" i="1"/>
  <c r="IM71" i="1"/>
  <c r="IM70" i="1"/>
  <c r="IM69" i="1"/>
  <c r="IM68" i="1"/>
  <c r="IM67" i="1"/>
  <c r="IM66" i="1"/>
  <c r="IM65" i="1"/>
  <c r="IM64" i="1"/>
  <c r="IM63" i="1"/>
  <c r="IM62" i="1"/>
  <c r="IM61" i="1"/>
  <c r="IM60" i="1"/>
  <c r="IM59" i="1"/>
  <c r="IM58" i="1"/>
  <c r="IM57" i="1"/>
  <c r="IM56" i="1"/>
  <c r="IM55" i="1"/>
  <c r="IM54" i="1"/>
  <c r="IM53" i="1"/>
  <c r="IM52" i="1"/>
  <c r="IM51" i="1"/>
  <c r="IM50" i="1"/>
  <c r="IM49" i="1"/>
  <c r="IM48" i="1"/>
  <c r="IM47" i="1"/>
  <c r="IM46" i="1"/>
  <c r="IM45" i="1"/>
  <c r="IM44" i="1"/>
  <c r="IM43" i="1"/>
  <c r="IM42" i="1"/>
  <c r="IM41" i="1"/>
  <c r="IM40" i="1"/>
  <c r="IM39" i="1"/>
  <c r="IM38" i="1"/>
  <c r="IM37" i="1"/>
  <c r="IM36" i="1"/>
  <c r="IM35" i="1"/>
  <c r="IM34" i="1"/>
  <c r="IM33" i="1"/>
  <c r="IM32" i="1"/>
  <c r="IM31" i="1"/>
  <c r="IM30" i="1"/>
  <c r="IM29" i="1"/>
  <c r="IM28" i="1"/>
  <c r="IM27" i="1"/>
  <c r="IM26" i="1"/>
  <c r="IM25" i="1"/>
  <c r="IM24" i="1"/>
  <c r="IM23" i="1"/>
  <c r="IM22" i="1"/>
  <c r="IM21" i="1"/>
  <c r="IM20" i="1"/>
  <c r="IM19" i="1"/>
  <c r="IM18" i="1"/>
  <c r="IM17" i="1"/>
  <c r="IM16" i="1"/>
  <c r="IM15" i="1"/>
  <c r="IM14" i="1"/>
  <c r="IM13" i="1"/>
  <c r="IM12" i="1"/>
  <c r="IM11" i="1"/>
  <c r="IM10" i="1"/>
  <c r="IM9" i="1"/>
  <c r="IM8" i="1"/>
  <c r="IM7" i="1"/>
  <c r="IM6" i="1"/>
  <c r="IM5" i="1"/>
  <c r="IJ95" i="1"/>
  <c r="IJ83" i="1"/>
  <c r="IJ71" i="1"/>
  <c r="IJ59" i="1"/>
  <c r="IJ47" i="1"/>
  <c r="IJ35" i="1"/>
  <c r="IJ23" i="1"/>
  <c r="IJ11" i="1"/>
  <c r="IG103" i="1"/>
  <c r="IG102" i="1"/>
  <c r="IG101" i="1"/>
  <c r="IG100" i="1"/>
  <c r="IG99" i="1"/>
  <c r="IG98" i="1"/>
  <c r="IG97" i="1"/>
  <c r="IG96" i="1"/>
  <c r="IG95" i="1"/>
  <c r="IG94" i="1"/>
  <c r="IG93" i="1"/>
  <c r="IG92" i="1"/>
  <c r="IG91" i="1"/>
  <c r="IG90" i="1"/>
  <c r="IG89" i="1"/>
  <c r="IG88" i="1"/>
  <c r="IG87" i="1"/>
  <c r="IG86" i="1"/>
  <c r="IG85" i="1"/>
  <c r="IG84" i="1"/>
  <c r="IG83" i="1"/>
  <c r="IG82" i="1"/>
  <c r="IG81" i="1"/>
  <c r="IG80" i="1"/>
  <c r="IG79" i="1"/>
  <c r="IG78" i="1"/>
  <c r="IG77" i="1"/>
  <c r="IG76" i="1"/>
  <c r="IG75" i="1"/>
  <c r="IG74" i="1"/>
  <c r="IG73" i="1"/>
  <c r="IG72" i="1"/>
  <c r="IG71" i="1"/>
  <c r="IG70" i="1"/>
  <c r="IG69" i="1"/>
  <c r="IG68" i="1"/>
  <c r="IG67" i="1"/>
  <c r="IG66" i="1"/>
  <c r="IG65" i="1"/>
  <c r="IG64" i="1"/>
  <c r="IG63" i="1"/>
  <c r="IG62" i="1"/>
  <c r="IG61" i="1"/>
  <c r="IG60" i="1"/>
  <c r="IG59" i="1"/>
  <c r="IG58" i="1"/>
  <c r="IG57" i="1"/>
  <c r="IG56" i="1"/>
  <c r="IG55" i="1"/>
  <c r="IG54" i="1"/>
  <c r="IG53" i="1"/>
  <c r="IG52" i="1"/>
  <c r="IG51" i="1"/>
  <c r="IG50" i="1"/>
  <c r="IG49" i="1"/>
  <c r="IG48" i="1"/>
  <c r="IG47" i="1"/>
  <c r="IG46" i="1"/>
  <c r="IG45" i="1"/>
  <c r="IG44" i="1"/>
  <c r="IG43" i="1"/>
  <c r="IG42" i="1"/>
  <c r="IG41" i="1"/>
  <c r="IG40" i="1"/>
  <c r="IG39" i="1"/>
  <c r="IG38" i="1"/>
  <c r="IG37" i="1"/>
  <c r="IG36" i="1"/>
  <c r="IG35" i="1"/>
  <c r="IG34" i="1"/>
  <c r="IG33" i="1"/>
  <c r="IG32" i="1"/>
  <c r="IG31" i="1"/>
  <c r="IG30" i="1"/>
  <c r="IG29" i="1"/>
  <c r="IG28" i="1"/>
  <c r="IG27" i="1"/>
  <c r="IG26" i="1"/>
  <c r="IG25" i="1"/>
  <c r="IG24" i="1"/>
  <c r="IG23" i="1"/>
  <c r="IG22" i="1"/>
  <c r="IG21" i="1"/>
  <c r="IG20" i="1"/>
  <c r="IG19" i="1"/>
  <c r="IG18" i="1"/>
  <c r="IG17" i="1"/>
  <c r="IG16" i="1"/>
  <c r="IG15" i="1"/>
  <c r="IG14" i="1"/>
  <c r="IG13" i="1"/>
  <c r="IG12" i="1"/>
  <c r="IG11" i="1"/>
  <c r="IG10" i="1"/>
  <c r="IG9" i="1"/>
  <c r="IG8" i="1"/>
  <c r="IG7" i="1"/>
  <c r="IG6" i="1"/>
  <c r="IG5" i="1"/>
  <c r="ID103" i="1"/>
  <c r="ID102" i="1"/>
  <c r="ID101" i="1"/>
  <c r="ID100" i="1"/>
  <c r="ID99" i="1"/>
  <c r="ID98" i="1"/>
  <c r="ID97" i="1"/>
  <c r="ID96" i="1"/>
  <c r="ID95" i="1"/>
  <c r="ID94" i="1"/>
  <c r="ID93" i="1"/>
  <c r="ID92" i="1"/>
  <c r="ID91" i="1"/>
  <c r="ID90" i="1"/>
  <c r="ID89" i="1"/>
  <c r="ID88" i="1"/>
  <c r="ID87" i="1"/>
  <c r="ID86" i="1"/>
  <c r="ID85" i="1"/>
  <c r="ID84" i="1"/>
  <c r="ID83" i="1"/>
  <c r="ID82" i="1"/>
  <c r="ID81" i="1"/>
  <c r="ID80" i="1"/>
  <c r="ID79" i="1"/>
  <c r="ID78" i="1"/>
  <c r="ID77" i="1"/>
  <c r="ID76" i="1"/>
  <c r="ID75" i="1"/>
  <c r="ID74" i="1"/>
  <c r="ID73" i="1"/>
  <c r="ID72" i="1"/>
  <c r="ID71" i="1"/>
  <c r="ID70" i="1"/>
  <c r="ID69" i="1"/>
  <c r="ID68" i="1"/>
  <c r="ID67" i="1"/>
  <c r="ID66" i="1"/>
  <c r="ID65" i="1"/>
  <c r="ID64" i="1"/>
  <c r="ID63" i="1"/>
  <c r="ID62" i="1"/>
  <c r="ID61" i="1"/>
  <c r="ID60" i="1"/>
  <c r="ID59" i="1"/>
  <c r="ID58" i="1"/>
  <c r="ID57" i="1"/>
  <c r="ID56" i="1"/>
  <c r="ID55" i="1"/>
  <c r="ID54" i="1"/>
  <c r="ID53" i="1"/>
  <c r="ID52" i="1"/>
  <c r="ID51" i="1"/>
  <c r="ID50" i="1"/>
  <c r="ID49" i="1"/>
  <c r="ID48" i="1"/>
  <c r="ID47" i="1"/>
  <c r="ID46" i="1"/>
  <c r="ID45" i="1"/>
  <c r="ID44" i="1"/>
  <c r="ID43" i="1"/>
  <c r="ID42" i="1"/>
  <c r="ID41" i="1"/>
  <c r="ID40" i="1"/>
  <c r="ID39" i="1"/>
  <c r="ID38" i="1"/>
  <c r="ID37" i="1"/>
  <c r="ID36" i="1"/>
  <c r="ID35" i="1"/>
  <c r="ID34" i="1"/>
  <c r="ID33" i="1"/>
  <c r="ID32" i="1"/>
  <c r="ID31" i="1"/>
  <c r="ID30" i="1"/>
  <c r="ID29" i="1"/>
  <c r="ID28" i="1"/>
  <c r="ID27" i="1"/>
  <c r="ID26" i="1"/>
  <c r="ID25" i="1"/>
  <c r="ID24" i="1"/>
  <c r="ID23" i="1"/>
  <c r="ID22" i="1"/>
  <c r="ID21" i="1"/>
  <c r="ID20" i="1"/>
  <c r="ID19" i="1"/>
  <c r="ID18" i="1"/>
  <c r="ID17" i="1"/>
  <c r="ID16" i="1"/>
  <c r="ID15" i="1"/>
  <c r="ID14" i="1"/>
  <c r="ID13" i="1"/>
  <c r="ID12" i="1"/>
  <c r="ID11" i="1"/>
  <c r="ID10" i="1"/>
  <c r="ID9" i="1"/>
  <c r="ID8" i="1"/>
  <c r="ID7" i="1"/>
  <c r="ID6" i="1"/>
  <c r="ID5" i="1"/>
  <c r="IA103" i="1"/>
  <c r="IA102" i="1"/>
  <c r="IA101" i="1"/>
  <c r="IA100" i="1"/>
  <c r="IA99" i="1"/>
  <c r="IA98" i="1"/>
  <c r="IA97" i="1"/>
  <c r="IA96" i="1"/>
  <c r="IA95" i="1"/>
  <c r="IA94" i="1"/>
  <c r="IA93" i="1"/>
  <c r="IA92" i="1"/>
  <c r="IA91" i="1"/>
  <c r="IA90" i="1"/>
  <c r="IA89" i="1"/>
  <c r="IA88" i="1"/>
  <c r="IA87" i="1"/>
  <c r="IA86" i="1"/>
  <c r="IA85" i="1"/>
  <c r="IA84" i="1"/>
  <c r="IA83" i="1"/>
  <c r="IA82" i="1"/>
  <c r="IA81" i="1"/>
  <c r="IA80" i="1"/>
  <c r="IA79" i="1"/>
  <c r="IA78" i="1"/>
  <c r="IA77" i="1"/>
  <c r="IA76" i="1"/>
  <c r="IA75" i="1"/>
  <c r="IA74" i="1"/>
  <c r="IA73" i="1"/>
  <c r="IA72" i="1"/>
  <c r="IA71" i="1"/>
  <c r="IA70" i="1"/>
  <c r="IA69" i="1"/>
  <c r="IA68" i="1"/>
  <c r="IA67" i="1"/>
  <c r="IA66" i="1"/>
  <c r="IA65" i="1"/>
  <c r="IA64" i="1"/>
  <c r="IA63" i="1"/>
  <c r="IA62" i="1"/>
  <c r="IA61" i="1"/>
  <c r="IA60" i="1"/>
  <c r="IA59" i="1"/>
  <c r="IA58" i="1"/>
  <c r="IA57" i="1"/>
  <c r="IA56" i="1"/>
  <c r="IA55" i="1"/>
  <c r="IA54" i="1"/>
  <c r="IA53" i="1"/>
  <c r="IA52" i="1"/>
  <c r="IA51" i="1"/>
  <c r="IA50" i="1"/>
  <c r="IA49" i="1"/>
  <c r="IA48" i="1"/>
  <c r="IA47" i="1"/>
  <c r="IA46" i="1"/>
  <c r="IA45" i="1"/>
  <c r="IA44" i="1"/>
  <c r="IA43" i="1"/>
  <c r="IA42" i="1"/>
  <c r="IA41" i="1"/>
  <c r="IA40" i="1"/>
  <c r="IA39" i="1"/>
  <c r="IA38" i="1"/>
  <c r="IA37" i="1"/>
  <c r="IA36" i="1"/>
  <c r="IA35" i="1"/>
  <c r="IA34" i="1"/>
  <c r="IA33" i="1"/>
  <c r="IA32" i="1"/>
  <c r="IA31" i="1"/>
  <c r="IA30" i="1"/>
  <c r="IA29" i="1"/>
  <c r="IA28" i="1"/>
  <c r="IA27" i="1"/>
  <c r="IA26" i="1"/>
  <c r="IA25" i="1"/>
  <c r="IA24" i="1"/>
  <c r="IA23" i="1"/>
  <c r="IA22" i="1"/>
  <c r="IA21" i="1"/>
  <c r="IA20" i="1"/>
  <c r="IA19" i="1"/>
  <c r="IA18" i="1"/>
  <c r="IA17" i="1"/>
  <c r="IA16" i="1"/>
  <c r="IA15" i="1"/>
  <c r="IA14" i="1"/>
  <c r="IA13" i="1"/>
  <c r="IA12" i="1"/>
  <c r="IA11" i="1"/>
  <c r="IA10" i="1"/>
  <c r="IA9" i="1"/>
  <c r="IA8" i="1"/>
  <c r="IA7" i="1"/>
  <c r="IA6" i="1"/>
  <c r="IA5" i="1"/>
  <c r="HX103" i="1"/>
  <c r="HX102" i="1"/>
  <c r="HX101" i="1"/>
  <c r="HX100" i="1"/>
  <c r="HX99" i="1"/>
  <c r="HX98" i="1"/>
  <c r="HX97" i="1"/>
  <c r="HX96" i="1"/>
  <c r="HX95" i="1"/>
  <c r="HX94" i="1"/>
  <c r="HX93" i="1"/>
  <c r="HX92" i="1"/>
  <c r="HX91" i="1"/>
  <c r="HX90" i="1"/>
  <c r="HX89" i="1"/>
  <c r="HX88" i="1"/>
  <c r="HX87" i="1"/>
  <c r="HX86" i="1"/>
  <c r="HX85" i="1"/>
  <c r="HX84" i="1"/>
  <c r="HX83" i="1"/>
  <c r="HX82" i="1"/>
  <c r="HX81" i="1"/>
  <c r="HX80" i="1"/>
  <c r="HX79" i="1"/>
  <c r="HX78" i="1"/>
  <c r="HX77" i="1"/>
  <c r="HX76" i="1"/>
  <c r="HX75" i="1"/>
  <c r="HX74" i="1"/>
  <c r="HX73" i="1"/>
  <c r="HX72" i="1"/>
  <c r="HX71" i="1"/>
  <c r="HX70" i="1"/>
  <c r="HX69" i="1"/>
  <c r="HX68" i="1"/>
  <c r="HX67" i="1"/>
  <c r="HX66" i="1"/>
  <c r="HX65" i="1"/>
  <c r="HX64" i="1"/>
  <c r="HX63" i="1"/>
  <c r="HX62" i="1"/>
  <c r="HX61" i="1"/>
  <c r="HX60" i="1"/>
  <c r="HX59" i="1"/>
  <c r="HX58" i="1"/>
  <c r="HX57" i="1"/>
  <c r="HX56" i="1"/>
  <c r="HX55" i="1"/>
  <c r="HX54" i="1"/>
  <c r="HX53" i="1"/>
  <c r="HX52" i="1"/>
  <c r="HX51" i="1"/>
  <c r="HX50" i="1"/>
  <c r="HX49" i="1"/>
  <c r="HX48" i="1"/>
  <c r="HX47" i="1"/>
  <c r="HX46" i="1"/>
  <c r="HX45" i="1"/>
  <c r="HX44" i="1"/>
  <c r="HX43" i="1"/>
  <c r="HX42" i="1"/>
  <c r="HX41" i="1"/>
  <c r="HX40" i="1"/>
  <c r="HX39" i="1"/>
  <c r="HX38" i="1"/>
  <c r="HX37" i="1"/>
  <c r="HX36" i="1"/>
  <c r="HX35" i="1"/>
  <c r="HX34" i="1"/>
  <c r="HX33" i="1"/>
  <c r="HX32" i="1"/>
  <c r="HX31" i="1"/>
  <c r="HX30" i="1"/>
  <c r="HX29" i="1"/>
  <c r="HX28" i="1"/>
  <c r="HX27" i="1"/>
  <c r="HX26" i="1"/>
  <c r="HX25" i="1"/>
  <c r="HX24" i="1"/>
  <c r="HX23" i="1"/>
  <c r="HX22" i="1"/>
  <c r="HX21" i="1"/>
  <c r="HX20" i="1"/>
  <c r="HX19" i="1"/>
  <c r="HX18" i="1"/>
  <c r="HX17" i="1"/>
  <c r="HX16" i="1"/>
  <c r="HX15" i="1"/>
  <c r="HX14" i="1"/>
  <c r="HX13" i="1"/>
  <c r="HX12" i="1"/>
  <c r="HX11" i="1"/>
  <c r="HX10" i="1"/>
  <c r="HX9" i="1"/>
  <c r="HX8" i="1"/>
  <c r="HX7" i="1"/>
  <c r="HX6" i="1"/>
  <c r="HX5" i="1"/>
  <c r="HU103" i="1"/>
  <c r="HU102" i="1"/>
  <c r="HU101" i="1"/>
  <c r="HU100" i="1"/>
  <c r="HU99" i="1"/>
  <c r="HU98" i="1"/>
  <c r="HU97" i="1"/>
  <c r="HU96" i="1"/>
  <c r="HU95" i="1"/>
  <c r="HU94" i="1"/>
  <c r="HU93" i="1"/>
  <c r="HU92" i="1"/>
  <c r="HU91" i="1"/>
  <c r="HU90" i="1"/>
  <c r="HU89" i="1"/>
  <c r="HU88" i="1"/>
  <c r="HU87" i="1"/>
  <c r="HU86" i="1"/>
  <c r="HU85" i="1"/>
  <c r="HU84" i="1"/>
  <c r="HU83" i="1"/>
  <c r="HU82" i="1"/>
  <c r="HU81" i="1"/>
  <c r="HU80" i="1"/>
  <c r="HU79" i="1"/>
  <c r="HU78" i="1"/>
  <c r="HU77" i="1"/>
  <c r="HU76" i="1"/>
  <c r="HU75" i="1"/>
  <c r="HU74" i="1"/>
  <c r="HU73" i="1"/>
  <c r="HU72" i="1"/>
  <c r="HU71" i="1"/>
  <c r="HU70" i="1"/>
  <c r="HU69" i="1"/>
  <c r="HU68" i="1"/>
  <c r="HU67" i="1"/>
  <c r="HU66" i="1"/>
  <c r="HU65" i="1"/>
  <c r="HU64" i="1"/>
  <c r="HU63" i="1"/>
  <c r="HU62" i="1"/>
  <c r="HU61" i="1"/>
  <c r="HU60" i="1"/>
  <c r="HU59" i="1"/>
  <c r="HU58" i="1"/>
  <c r="HU57" i="1"/>
  <c r="HU56" i="1"/>
  <c r="HU55" i="1"/>
  <c r="HU54" i="1"/>
  <c r="HU53" i="1"/>
  <c r="HU52" i="1"/>
  <c r="HU51" i="1"/>
  <c r="HU50" i="1"/>
  <c r="HU49" i="1"/>
  <c r="HU48" i="1"/>
  <c r="HU47" i="1"/>
  <c r="HU46" i="1"/>
  <c r="HU45" i="1"/>
  <c r="HU44" i="1"/>
  <c r="HU43" i="1"/>
  <c r="HU42" i="1"/>
  <c r="HU41" i="1"/>
  <c r="HU40" i="1"/>
  <c r="HU39" i="1"/>
  <c r="HU38" i="1"/>
  <c r="HU37" i="1"/>
  <c r="HU36" i="1"/>
  <c r="HU35" i="1"/>
  <c r="HU34" i="1"/>
  <c r="HU33" i="1"/>
  <c r="HU32" i="1"/>
  <c r="HU31" i="1"/>
  <c r="HU30" i="1"/>
  <c r="HU29" i="1"/>
  <c r="HU28" i="1"/>
  <c r="HU27" i="1"/>
  <c r="HU26" i="1"/>
  <c r="HU25" i="1"/>
  <c r="HU24" i="1"/>
  <c r="HU23" i="1"/>
  <c r="HU22" i="1"/>
  <c r="HU21" i="1"/>
  <c r="HU20" i="1"/>
  <c r="HU19" i="1"/>
  <c r="HU18" i="1"/>
  <c r="HU17" i="1"/>
  <c r="HU16" i="1"/>
  <c r="HU15" i="1"/>
  <c r="HU14" i="1"/>
  <c r="HU13" i="1"/>
  <c r="HU12" i="1"/>
  <c r="HU11" i="1"/>
  <c r="HU10" i="1"/>
  <c r="HU9" i="1"/>
  <c r="HU8" i="1"/>
  <c r="HU7" i="1"/>
  <c r="HU6" i="1"/>
  <c r="HU5" i="1"/>
  <c r="HR102" i="1"/>
  <c r="HR100" i="1"/>
  <c r="HR98" i="1"/>
  <c r="HR96" i="1"/>
  <c r="HR94" i="1"/>
  <c r="HR92" i="1"/>
  <c r="HR90" i="1"/>
  <c r="HR88" i="1"/>
  <c r="HR86" i="1"/>
  <c r="HR84" i="1"/>
  <c r="HR82" i="1"/>
  <c r="HR80" i="1"/>
  <c r="HR78" i="1"/>
  <c r="HR76" i="1"/>
  <c r="HR74" i="1"/>
  <c r="HR72" i="1"/>
  <c r="HR70" i="1"/>
  <c r="HR68" i="1"/>
  <c r="HR66" i="1"/>
  <c r="HR64" i="1"/>
  <c r="HR62" i="1"/>
  <c r="HR60" i="1"/>
  <c r="HR58" i="1"/>
  <c r="HR56" i="1"/>
  <c r="HR54" i="1"/>
  <c r="HR52" i="1"/>
  <c r="HR50" i="1"/>
  <c r="HR48" i="1"/>
  <c r="HR46" i="1"/>
  <c r="HR44" i="1"/>
  <c r="HR42" i="1"/>
  <c r="HR40" i="1"/>
  <c r="HR38" i="1"/>
  <c r="HR36" i="1"/>
  <c r="HR34" i="1"/>
  <c r="HR32" i="1"/>
  <c r="HR30" i="1"/>
  <c r="HR28" i="1"/>
  <c r="HR26" i="1"/>
  <c r="HR24" i="1"/>
  <c r="HR22" i="1"/>
  <c r="HR20" i="1"/>
  <c r="HR18" i="1"/>
  <c r="HR16" i="1"/>
  <c r="HR14" i="1"/>
  <c r="HR12" i="1"/>
  <c r="HR9" i="1"/>
  <c r="HR7" i="1"/>
  <c r="HR5" i="1"/>
  <c r="HO95" i="1"/>
  <c r="HO91" i="1"/>
  <c r="HO79" i="1"/>
  <c r="HO75" i="1"/>
  <c r="HO63" i="1"/>
  <c r="HO59" i="1"/>
  <c r="HO47" i="1"/>
  <c r="HO43" i="1"/>
  <c r="HO31" i="1"/>
  <c r="HO27" i="1"/>
  <c r="HO15" i="1"/>
  <c r="HO11" i="1"/>
  <c r="HL103" i="1"/>
  <c r="HL102" i="1"/>
  <c r="HL101" i="1"/>
  <c r="HL100" i="1"/>
  <c r="HL99" i="1"/>
  <c r="HL98" i="1"/>
  <c r="HL97" i="1"/>
  <c r="HL96" i="1"/>
  <c r="HL95" i="1"/>
  <c r="HL94" i="1"/>
  <c r="HL93" i="1"/>
  <c r="HL92" i="1"/>
  <c r="HL91" i="1"/>
  <c r="HL90" i="1"/>
  <c r="HL89" i="1"/>
  <c r="HL88" i="1"/>
  <c r="HL87" i="1"/>
  <c r="HL86" i="1"/>
  <c r="HL85" i="1"/>
  <c r="HL84" i="1"/>
  <c r="HL83" i="1"/>
  <c r="HL82" i="1"/>
  <c r="HL81" i="1"/>
  <c r="HL80" i="1"/>
  <c r="HL79" i="1"/>
  <c r="HL78" i="1"/>
  <c r="HL77" i="1"/>
  <c r="HL76" i="1"/>
  <c r="HL75" i="1"/>
  <c r="HL74" i="1"/>
  <c r="HL73" i="1"/>
  <c r="HL72" i="1"/>
  <c r="HL71" i="1"/>
  <c r="HL70" i="1"/>
  <c r="HL69" i="1"/>
  <c r="HL68" i="1"/>
  <c r="HL67" i="1"/>
  <c r="HL66" i="1"/>
  <c r="HL65" i="1"/>
  <c r="HL64" i="1"/>
  <c r="HL63" i="1"/>
  <c r="HL62" i="1"/>
  <c r="HL61" i="1"/>
  <c r="HL60" i="1"/>
  <c r="HL59" i="1"/>
  <c r="HL58" i="1"/>
  <c r="HL57" i="1"/>
  <c r="HL56" i="1"/>
  <c r="HL55" i="1"/>
  <c r="HL54" i="1"/>
  <c r="HL53" i="1"/>
  <c r="HL52" i="1"/>
  <c r="HL51" i="1"/>
  <c r="HL50" i="1"/>
  <c r="HL49" i="1"/>
  <c r="HL48" i="1"/>
  <c r="HL47" i="1"/>
  <c r="HL46" i="1"/>
  <c r="HL45" i="1"/>
  <c r="HL44" i="1"/>
  <c r="HL43" i="1"/>
  <c r="HL42" i="1"/>
  <c r="HL41" i="1"/>
  <c r="HL40" i="1"/>
  <c r="HL39" i="1"/>
  <c r="HL38" i="1"/>
  <c r="HL37" i="1"/>
  <c r="HL36" i="1"/>
  <c r="HL35" i="1"/>
  <c r="HL34" i="1"/>
  <c r="HL33" i="1"/>
  <c r="HL32" i="1"/>
  <c r="HL31" i="1"/>
  <c r="HL30" i="1"/>
  <c r="HL29" i="1"/>
  <c r="HL28" i="1"/>
  <c r="HL27" i="1"/>
  <c r="HL26" i="1"/>
  <c r="HL25" i="1"/>
  <c r="HL24" i="1"/>
  <c r="HL23" i="1"/>
  <c r="HL22" i="1"/>
  <c r="HL21" i="1"/>
  <c r="HL20" i="1"/>
  <c r="HL19" i="1"/>
  <c r="HL18" i="1"/>
  <c r="HL17" i="1"/>
  <c r="HL16" i="1"/>
  <c r="HL15" i="1"/>
  <c r="HL14" i="1"/>
  <c r="HL13" i="1"/>
  <c r="HL12" i="1"/>
  <c r="HL11" i="1"/>
  <c r="HL10" i="1"/>
  <c r="HL9" i="1"/>
  <c r="HL8" i="1"/>
  <c r="HL7" i="1"/>
  <c r="HL6" i="1"/>
  <c r="HL5" i="1"/>
  <c r="HI103" i="1"/>
  <c r="HI102" i="1"/>
  <c r="HI101" i="1"/>
  <c r="HI100" i="1"/>
  <c r="HI99" i="1"/>
  <c r="HI98" i="1"/>
  <c r="HI97" i="1"/>
  <c r="HI96" i="1"/>
  <c r="HI95" i="1"/>
  <c r="HI94" i="1"/>
  <c r="HI93" i="1"/>
  <c r="HI92" i="1"/>
  <c r="HI91" i="1"/>
  <c r="HI90" i="1"/>
  <c r="HI89" i="1"/>
  <c r="HI88" i="1"/>
  <c r="HI87" i="1"/>
  <c r="HI86" i="1"/>
  <c r="HI85" i="1"/>
  <c r="HI84" i="1"/>
  <c r="HI83" i="1"/>
  <c r="HI82" i="1"/>
  <c r="HI81" i="1"/>
  <c r="HI80" i="1"/>
  <c r="HI79" i="1"/>
  <c r="HI78" i="1"/>
  <c r="HI77" i="1"/>
  <c r="HI76" i="1"/>
  <c r="HI75" i="1"/>
  <c r="HI74" i="1"/>
  <c r="HI73" i="1"/>
  <c r="HI72" i="1"/>
  <c r="HI71" i="1"/>
  <c r="HI70" i="1"/>
  <c r="HI69" i="1"/>
  <c r="HI68" i="1"/>
  <c r="HI67" i="1"/>
  <c r="HI66" i="1"/>
  <c r="HI65" i="1"/>
  <c r="HI64" i="1"/>
  <c r="HI63" i="1"/>
  <c r="HI62" i="1"/>
  <c r="HI61" i="1"/>
  <c r="HI60" i="1"/>
  <c r="HI59" i="1"/>
  <c r="HI58" i="1"/>
  <c r="HI57" i="1"/>
  <c r="HI56" i="1"/>
  <c r="HI55" i="1"/>
  <c r="HI54" i="1"/>
  <c r="HI53" i="1"/>
  <c r="HI52" i="1"/>
  <c r="HI51" i="1"/>
  <c r="HI50" i="1"/>
  <c r="HI49" i="1"/>
  <c r="HI48" i="1"/>
  <c r="HI47" i="1"/>
  <c r="HI46" i="1"/>
  <c r="HI45" i="1"/>
  <c r="HI44" i="1"/>
  <c r="HI43" i="1"/>
  <c r="HI42" i="1"/>
  <c r="HI41" i="1"/>
  <c r="HI40" i="1"/>
  <c r="HI39" i="1"/>
  <c r="HI38" i="1"/>
  <c r="HI37" i="1"/>
  <c r="HI36" i="1"/>
  <c r="HI35" i="1"/>
  <c r="HI34" i="1"/>
  <c r="HI33" i="1"/>
  <c r="HI32" i="1"/>
  <c r="HI31" i="1"/>
  <c r="HI30" i="1"/>
  <c r="HI29" i="1"/>
  <c r="HI28" i="1"/>
  <c r="HI27" i="1"/>
  <c r="HI26" i="1"/>
  <c r="HI25" i="1"/>
  <c r="HI24" i="1"/>
  <c r="HI23" i="1"/>
  <c r="HI22" i="1"/>
  <c r="HI21" i="1"/>
  <c r="HI20" i="1"/>
  <c r="HI19" i="1"/>
  <c r="HI18" i="1"/>
  <c r="HI17" i="1"/>
  <c r="HI16" i="1"/>
  <c r="HI15" i="1"/>
  <c r="HI14" i="1"/>
  <c r="HI13" i="1"/>
  <c r="HI12" i="1"/>
  <c r="HI11" i="1"/>
  <c r="HI10" i="1"/>
  <c r="HI9" i="1"/>
  <c r="HI8" i="1"/>
  <c r="HI7" i="1"/>
  <c r="HI6" i="1"/>
  <c r="HI5" i="1"/>
  <c r="HF92" i="1"/>
  <c r="HF44" i="1"/>
  <c r="HC102" i="1"/>
  <c r="HC100" i="1"/>
  <c r="HC98" i="1"/>
  <c r="HC96" i="1"/>
  <c r="HC94" i="1"/>
  <c r="HC92" i="1"/>
  <c r="HC90" i="1"/>
  <c r="HC88" i="1"/>
  <c r="HC86" i="1"/>
  <c r="HC84" i="1"/>
  <c r="HC82" i="1"/>
  <c r="HC80" i="1"/>
  <c r="HC78" i="1"/>
  <c r="HC76" i="1"/>
  <c r="HC74" i="1"/>
  <c r="HC72" i="1"/>
  <c r="HC70" i="1"/>
  <c r="HC68" i="1"/>
  <c r="HC66" i="1"/>
  <c r="HC64" i="1"/>
  <c r="HC62" i="1"/>
  <c r="HC60" i="1"/>
  <c r="HC58" i="1"/>
  <c r="HC56" i="1"/>
  <c r="HC54" i="1"/>
  <c r="HC52" i="1"/>
  <c r="HC50" i="1"/>
  <c r="HC48" i="1"/>
  <c r="HC46" i="1"/>
  <c r="HC44" i="1"/>
  <c r="HC42" i="1"/>
  <c r="HC40" i="1"/>
  <c r="HC38" i="1"/>
  <c r="HC36" i="1"/>
  <c r="HC34" i="1"/>
  <c r="HC32" i="1"/>
  <c r="HC30" i="1"/>
  <c r="HC28" i="1"/>
  <c r="HC26" i="1"/>
  <c r="HC24" i="1"/>
  <c r="HC22" i="1"/>
  <c r="HC20" i="1"/>
  <c r="HC18" i="1"/>
  <c r="HC16" i="1"/>
  <c r="HC14" i="1"/>
  <c r="HC12" i="1"/>
  <c r="HC9" i="1"/>
  <c r="HC7" i="1"/>
  <c r="HC5" i="1"/>
  <c r="GZ95" i="1"/>
  <c r="GZ71" i="1"/>
  <c r="GZ47" i="1"/>
  <c r="GZ23" i="1"/>
  <c r="GW103" i="1"/>
  <c r="GW102" i="1"/>
  <c r="GW101" i="1"/>
  <c r="GW100" i="1"/>
  <c r="GW99" i="1"/>
  <c r="GW98" i="1"/>
  <c r="GW97" i="1"/>
  <c r="GW96" i="1"/>
  <c r="GW95" i="1"/>
  <c r="GW94" i="1"/>
  <c r="GW93" i="1"/>
  <c r="GW92" i="1"/>
  <c r="GW91" i="1"/>
  <c r="GW90" i="1"/>
  <c r="GW89" i="1"/>
  <c r="GW88" i="1"/>
  <c r="GW87" i="1"/>
  <c r="GW86" i="1"/>
  <c r="GW85" i="1"/>
  <c r="GW84" i="1"/>
  <c r="GW83" i="1"/>
  <c r="GW82" i="1"/>
  <c r="GW81" i="1"/>
  <c r="GW80" i="1"/>
  <c r="GW79" i="1"/>
  <c r="GW78" i="1"/>
  <c r="GW77" i="1"/>
  <c r="GW76" i="1"/>
  <c r="GW75" i="1"/>
  <c r="GW74" i="1"/>
  <c r="GW73" i="1"/>
  <c r="GW72" i="1"/>
  <c r="GW71" i="1"/>
  <c r="GW70" i="1"/>
  <c r="GW69" i="1"/>
  <c r="GW68" i="1"/>
  <c r="GW67" i="1"/>
  <c r="GW66" i="1"/>
  <c r="GW65" i="1"/>
  <c r="GW64" i="1"/>
  <c r="GW63" i="1"/>
  <c r="GW62" i="1"/>
  <c r="GW61" i="1"/>
  <c r="GW60" i="1"/>
  <c r="GW59" i="1"/>
  <c r="GW58" i="1"/>
  <c r="GW57" i="1"/>
  <c r="GW56" i="1"/>
  <c r="GW55" i="1"/>
  <c r="GW54" i="1"/>
  <c r="GW53" i="1"/>
  <c r="GW52" i="1"/>
  <c r="GW51" i="1"/>
  <c r="GW50" i="1"/>
  <c r="GW49" i="1"/>
  <c r="GW48" i="1"/>
  <c r="GW47" i="1"/>
  <c r="GW46" i="1"/>
  <c r="GW45" i="1"/>
  <c r="GW44" i="1"/>
  <c r="GW43" i="1"/>
  <c r="GW42" i="1"/>
  <c r="GW41" i="1"/>
  <c r="GW40" i="1"/>
  <c r="GW39" i="1"/>
  <c r="GW38" i="1"/>
  <c r="GW37" i="1"/>
  <c r="GW36" i="1"/>
  <c r="GW35" i="1"/>
  <c r="GW34" i="1"/>
  <c r="GW33" i="1"/>
  <c r="GW32" i="1"/>
  <c r="GW31" i="1"/>
  <c r="GW30" i="1"/>
  <c r="GW29" i="1"/>
  <c r="GW28" i="1"/>
  <c r="GW27" i="1"/>
  <c r="GW26" i="1"/>
  <c r="GW25" i="1"/>
  <c r="GW24" i="1"/>
  <c r="GW23" i="1"/>
  <c r="GW22" i="1"/>
  <c r="GW21" i="1"/>
  <c r="GW20" i="1"/>
  <c r="GW19" i="1"/>
  <c r="GW18" i="1"/>
  <c r="GW17" i="1"/>
  <c r="GW16" i="1"/>
  <c r="GW15" i="1"/>
  <c r="GW14" i="1"/>
  <c r="GW13" i="1"/>
  <c r="GW12" i="1"/>
  <c r="GW11" i="1"/>
  <c r="GW10" i="1"/>
  <c r="GW9" i="1"/>
  <c r="GW8" i="1"/>
  <c r="GW7" i="1"/>
  <c r="GW6" i="1"/>
  <c r="GW5" i="1"/>
  <c r="GT100" i="1"/>
  <c r="GT96" i="1"/>
  <c r="GT92" i="1"/>
  <c r="GT88" i="1"/>
  <c r="GT84" i="1"/>
  <c r="GT80" i="1"/>
  <c r="GT76" i="1"/>
  <c r="GT72" i="1"/>
  <c r="GT68" i="1"/>
  <c r="GT64" i="1"/>
  <c r="GT60" i="1"/>
  <c r="GT56" i="1"/>
  <c r="GT52" i="1"/>
  <c r="GT48" i="1"/>
  <c r="GT44" i="1"/>
  <c r="GT40" i="1"/>
  <c r="GT36" i="1"/>
  <c r="GT32" i="1"/>
  <c r="GT28" i="1"/>
  <c r="GT24" i="1"/>
  <c r="GT20" i="1"/>
  <c r="GT16" i="1"/>
  <c r="GT12" i="1"/>
  <c r="GT9" i="1"/>
  <c r="GT5" i="1"/>
  <c r="GQ103" i="1"/>
  <c r="GQ102" i="1"/>
  <c r="GQ101" i="1"/>
  <c r="GQ100" i="1"/>
  <c r="GQ99" i="1"/>
  <c r="GQ98" i="1"/>
  <c r="GQ97" i="1"/>
  <c r="GQ96" i="1"/>
  <c r="GQ95" i="1"/>
  <c r="GQ94" i="1"/>
  <c r="GQ93" i="1"/>
  <c r="GQ92" i="1"/>
  <c r="GQ91" i="1"/>
  <c r="GQ90" i="1"/>
  <c r="GQ89" i="1"/>
  <c r="GQ88" i="1"/>
  <c r="GQ87" i="1"/>
  <c r="GQ86" i="1"/>
  <c r="GQ85" i="1"/>
  <c r="GQ84" i="1"/>
  <c r="GQ83" i="1"/>
  <c r="GQ82" i="1"/>
  <c r="GQ81" i="1"/>
  <c r="GQ80" i="1"/>
  <c r="GQ79" i="1"/>
  <c r="GQ78" i="1"/>
  <c r="GQ77" i="1"/>
  <c r="GQ76" i="1"/>
  <c r="GQ75" i="1"/>
  <c r="GQ74" i="1"/>
  <c r="GQ73" i="1"/>
  <c r="GQ72" i="1"/>
  <c r="GQ71" i="1"/>
  <c r="GQ70" i="1"/>
  <c r="GQ69" i="1"/>
  <c r="GQ68" i="1"/>
  <c r="GQ67" i="1"/>
  <c r="GQ66" i="1"/>
  <c r="GQ65" i="1"/>
  <c r="GQ64" i="1"/>
  <c r="GQ63" i="1"/>
  <c r="GQ62" i="1"/>
  <c r="GQ61" i="1"/>
  <c r="GQ60" i="1"/>
  <c r="GQ59" i="1"/>
  <c r="GQ58" i="1"/>
  <c r="GQ57" i="1"/>
  <c r="GQ56" i="1"/>
  <c r="GQ55" i="1"/>
  <c r="GQ54" i="1"/>
  <c r="GQ53" i="1"/>
  <c r="GQ52" i="1"/>
  <c r="GQ51" i="1"/>
  <c r="GQ50" i="1"/>
  <c r="GQ49" i="1"/>
  <c r="GQ48" i="1"/>
  <c r="GQ47" i="1"/>
  <c r="GQ46" i="1"/>
  <c r="GQ45" i="1"/>
  <c r="GQ44" i="1"/>
  <c r="GQ43" i="1"/>
  <c r="GQ42" i="1"/>
  <c r="GQ41" i="1"/>
  <c r="GQ40" i="1"/>
  <c r="GQ39" i="1"/>
  <c r="GQ38" i="1"/>
  <c r="GQ37" i="1"/>
  <c r="GQ36" i="1"/>
  <c r="GQ35" i="1"/>
  <c r="GQ34" i="1"/>
  <c r="GQ33" i="1"/>
  <c r="GQ32" i="1"/>
  <c r="GQ31" i="1"/>
  <c r="GQ30" i="1"/>
  <c r="GQ29" i="1"/>
  <c r="GQ28" i="1"/>
  <c r="GQ27" i="1"/>
  <c r="GQ26" i="1"/>
  <c r="GQ25" i="1"/>
  <c r="GQ24" i="1"/>
  <c r="GQ23" i="1"/>
  <c r="GQ22" i="1"/>
  <c r="GQ21" i="1"/>
  <c r="GQ20" i="1"/>
  <c r="GQ19" i="1"/>
  <c r="GQ18" i="1"/>
  <c r="GQ17" i="1"/>
  <c r="GQ16" i="1"/>
  <c r="GQ15" i="1"/>
  <c r="GQ14" i="1"/>
  <c r="GQ13" i="1"/>
  <c r="GQ12" i="1"/>
  <c r="GQ11" i="1"/>
  <c r="GQ10" i="1"/>
  <c r="GQ9" i="1"/>
  <c r="GQ8" i="1"/>
  <c r="GQ7" i="1"/>
  <c r="GQ6" i="1"/>
  <c r="GQ5" i="1"/>
  <c r="GN103" i="1"/>
  <c r="GN102" i="1"/>
  <c r="GN101" i="1"/>
  <c r="GN100" i="1"/>
  <c r="GN99" i="1"/>
  <c r="GN98" i="1"/>
  <c r="GN97" i="1"/>
  <c r="GN96" i="1"/>
  <c r="GN95" i="1"/>
  <c r="GN94" i="1"/>
  <c r="GN93" i="1"/>
  <c r="GN92" i="1"/>
  <c r="GN91" i="1"/>
  <c r="GN90" i="1"/>
  <c r="GN89" i="1"/>
  <c r="GN88" i="1"/>
  <c r="GN87" i="1"/>
  <c r="GN86" i="1"/>
  <c r="GN85" i="1"/>
  <c r="GN84" i="1"/>
  <c r="GN83" i="1"/>
  <c r="GN82" i="1"/>
  <c r="GN81" i="1"/>
  <c r="GN80" i="1"/>
  <c r="GN79" i="1"/>
  <c r="GN78" i="1"/>
  <c r="GN77" i="1"/>
  <c r="GN76" i="1"/>
  <c r="GN75" i="1"/>
  <c r="GN74" i="1"/>
  <c r="GN73" i="1"/>
  <c r="GN72" i="1"/>
  <c r="GN71" i="1"/>
  <c r="GN70" i="1"/>
  <c r="GN69" i="1"/>
  <c r="GN68" i="1"/>
  <c r="GN67" i="1"/>
  <c r="GN66" i="1"/>
  <c r="GN65" i="1"/>
  <c r="GN64" i="1"/>
  <c r="GN63" i="1"/>
  <c r="GN62" i="1"/>
  <c r="GN61" i="1"/>
  <c r="GN60" i="1"/>
  <c r="GN59" i="1"/>
  <c r="GN58" i="1"/>
  <c r="GN57" i="1"/>
  <c r="GN56" i="1"/>
  <c r="GN55" i="1"/>
  <c r="GN54" i="1"/>
  <c r="GN53" i="1"/>
  <c r="GN52" i="1"/>
  <c r="GN51" i="1"/>
  <c r="GN50" i="1"/>
  <c r="GN49" i="1"/>
  <c r="GN48" i="1"/>
  <c r="GN47" i="1"/>
  <c r="GN46" i="1"/>
  <c r="GN45" i="1"/>
  <c r="GN44" i="1"/>
  <c r="GN43" i="1"/>
  <c r="GN42" i="1"/>
  <c r="GN41" i="1"/>
  <c r="GN40" i="1"/>
  <c r="GN39" i="1"/>
  <c r="GN38" i="1"/>
  <c r="GN37" i="1"/>
  <c r="GN36" i="1"/>
  <c r="GN35" i="1"/>
  <c r="GN34" i="1"/>
  <c r="GN33" i="1"/>
  <c r="GN32" i="1"/>
  <c r="GN31" i="1"/>
  <c r="GN30" i="1"/>
  <c r="GN29" i="1"/>
  <c r="GN28" i="1"/>
  <c r="GN27" i="1"/>
  <c r="GN26" i="1"/>
  <c r="GN25" i="1"/>
  <c r="GN24" i="1"/>
  <c r="GN23" i="1"/>
  <c r="GN22" i="1"/>
  <c r="GN21" i="1"/>
  <c r="GN20" i="1"/>
  <c r="GN19" i="1"/>
  <c r="GN18" i="1"/>
  <c r="GN17" i="1"/>
  <c r="GN16" i="1"/>
  <c r="GN15" i="1"/>
  <c r="GN14" i="1"/>
  <c r="GN13" i="1"/>
  <c r="GN12" i="1"/>
  <c r="GN11" i="1"/>
  <c r="GN10" i="1"/>
  <c r="GN9" i="1"/>
  <c r="GN8" i="1"/>
  <c r="GN7" i="1"/>
  <c r="GN6" i="1"/>
  <c r="GN5" i="1"/>
  <c r="GK103" i="1"/>
  <c r="GK102" i="1"/>
  <c r="GK101" i="1"/>
  <c r="GK100" i="1"/>
  <c r="GK99" i="1"/>
  <c r="GK98" i="1"/>
  <c r="GK97" i="1"/>
  <c r="GK96" i="1"/>
  <c r="GK95" i="1"/>
  <c r="GK94" i="1"/>
  <c r="GK93" i="1"/>
  <c r="GK92" i="1"/>
  <c r="GK91" i="1"/>
  <c r="GK90" i="1"/>
  <c r="GK89" i="1"/>
  <c r="GK88" i="1"/>
  <c r="GK87" i="1"/>
  <c r="GK86" i="1"/>
  <c r="GK85" i="1"/>
  <c r="GK84" i="1"/>
  <c r="GK83" i="1"/>
  <c r="GK82" i="1"/>
  <c r="GK81" i="1"/>
  <c r="GK80" i="1"/>
  <c r="GK79" i="1"/>
  <c r="GK78" i="1"/>
  <c r="GK77" i="1"/>
  <c r="GK76" i="1"/>
  <c r="GK75" i="1"/>
  <c r="GK74" i="1"/>
  <c r="GK73" i="1"/>
  <c r="GK72" i="1"/>
  <c r="GK71" i="1"/>
  <c r="GK70" i="1"/>
  <c r="GK69" i="1"/>
  <c r="GK68" i="1"/>
  <c r="GK67" i="1"/>
  <c r="GK66" i="1"/>
  <c r="GK65" i="1"/>
  <c r="GK64" i="1"/>
  <c r="GK63" i="1"/>
  <c r="GK62" i="1"/>
  <c r="GK61" i="1"/>
  <c r="GK60" i="1"/>
  <c r="GK59" i="1"/>
  <c r="GK58" i="1"/>
  <c r="GK57" i="1"/>
  <c r="GK56" i="1"/>
  <c r="GK55" i="1"/>
  <c r="GK54" i="1"/>
  <c r="GK53" i="1"/>
  <c r="GK52" i="1"/>
  <c r="GK51" i="1"/>
  <c r="GK50" i="1"/>
  <c r="GK49" i="1"/>
  <c r="GK48" i="1"/>
  <c r="GK47" i="1"/>
  <c r="GK46" i="1"/>
  <c r="GK45" i="1"/>
  <c r="GK44" i="1"/>
  <c r="GK43" i="1"/>
  <c r="GK42" i="1"/>
  <c r="GK41" i="1"/>
  <c r="GK40" i="1"/>
  <c r="GK39" i="1"/>
  <c r="GK38" i="1"/>
  <c r="GK37" i="1"/>
  <c r="GK36" i="1"/>
  <c r="GK35" i="1"/>
  <c r="GK34" i="1"/>
  <c r="GK33" i="1"/>
  <c r="GK32" i="1"/>
  <c r="GK31" i="1"/>
  <c r="GK30" i="1"/>
  <c r="GK29" i="1"/>
  <c r="GK28" i="1"/>
  <c r="GK27" i="1"/>
  <c r="GK26" i="1"/>
  <c r="GK25" i="1"/>
  <c r="GK24" i="1"/>
  <c r="GK23" i="1"/>
  <c r="GK22" i="1"/>
  <c r="GK21" i="1"/>
  <c r="GK20" i="1"/>
  <c r="GK19" i="1"/>
  <c r="GK18" i="1"/>
  <c r="GK17" i="1"/>
  <c r="GK16" i="1"/>
  <c r="GK15" i="1"/>
  <c r="GK14" i="1"/>
  <c r="GK13" i="1"/>
  <c r="GK12" i="1"/>
  <c r="GK11" i="1"/>
  <c r="GK10" i="1"/>
  <c r="GK9" i="1"/>
  <c r="GK8" i="1"/>
  <c r="GK7" i="1"/>
  <c r="GK6" i="1"/>
  <c r="GK5" i="1"/>
  <c r="GH103" i="1"/>
  <c r="GH102" i="1"/>
  <c r="GH101" i="1"/>
  <c r="GH100" i="1"/>
  <c r="GH99" i="1"/>
  <c r="GH98" i="1"/>
  <c r="GH97" i="1"/>
  <c r="GH96" i="1"/>
  <c r="GH95" i="1"/>
  <c r="GH94" i="1"/>
  <c r="GH93" i="1"/>
  <c r="GH92" i="1"/>
  <c r="GH91" i="1"/>
  <c r="GH90" i="1"/>
  <c r="GH89" i="1"/>
  <c r="GH88" i="1"/>
  <c r="GH87" i="1"/>
  <c r="GH86" i="1"/>
  <c r="GH85" i="1"/>
  <c r="GH84" i="1"/>
  <c r="GH83" i="1"/>
  <c r="GH82" i="1"/>
  <c r="GH81" i="1"/>
  <c r="GH80" i="1"/>
  <c r="GH79" i="1"/>
  <c r="GH78" i="1"/>
  <c r="GH77" i="1"/>
  <c r="GH76" i="1"/>
  <c r="GH75" i="1"/>
  <c r="GH74" i="1"/>
  <c r="GH73" i="1"/>
  <c r="GH72" i="1"/>
  <c r="GH71" i="1"/>
  <c r="GH70" i="1"/>
  <c r="GH69" i="1"/>
  <c r="GH68" i="1"/>
  <c r="GH67" i="1"/>
  <c r="GH66" i="1"/>
  <c r="GH65" i="1"/>
  <c r="GH64" i="1"/>
  <c r="GH63" i="1"/>
  <c r="GH62" i="1"/>
  <c r="GH61" i="1"/>
  <c r="GH60" i="1"/>
  <c r="GH59" i="1"/>
  <c r="GH58" i="1"/>
  <c r="GH57" i="1"/>
  <c r="GH56" i="1"/>
  <c r="GH55" i="1"/>
  <c r="GH54" i="1"/>
  <c r="GH53" i="1"/>
  <c r="GH52" i="1"/>
  <c r="GH51" i="1"/>
  <c r="GH50" i="1"/>
  <c r="GH49" i="1"/>
  <c r="GH48" i="1"/>
  <c r="GH47" i="1"/>
  <c r="GH46" i="1"/>
  <c r="GH45" i="1"/>
  <c r="GH44" i="1"/>
  <c r="GH43" i="1"/>
  <c r="GH42" i="1"/>
  <c r="GH41" i="1"/>
  <c r="GH40" i="1"/>
  <c r="GH39" i="1"/>
  <c r="GH38" i="1"/>
  <c r="GH37" i="1"/>
  <c r="GH36" i="1"/>
  <c r="GH35" i="1"/>
  <c r="GH34" i="1"/>
  <c r="GH33" i="1"/>
  <c r="GH32" i="1"/>
  <c r="GH31" i="1"/>
  <c r="GH30" i="1"/>
  <c r="GH29" i="1"/>
  <c r="GH28" i="1"/>
  <c r="GH27" i="1"/>
  <c r="GH26" i="1"/>
  <c r="GH25" i="1"/>
  <c r="GH24" i="1"/>
  <c r="GH23" i="1"/>
  <c r="GH22" i="1"/>
  <c r="GH21" i="1"/>
  <c r="GH20" i="1"/>
  <c r="GH19" i="1"/>
  <c r="GH18" i="1"/>
  <c r="GH17" i="1"/>
  <c r="GH16" i="1"/>
  <c r="GH15" i="1"/>
  <c r="GH14" i="1"/>
  <c r="GH13" i="1"/>
  <c r="GH12" i="1"/>
  <c r="GH11" i="1"/>
  <c r="GH10" i="1"/>
  <c r="GH9" i="1"/>
  <c r="GH8" i="1"/>
  <c r="GH7" i="1"/>
  <c r="GH6" i="1"/>
  <c r="GH5" i="1"/>
  <c r="GE103" i="1"/>
  <c r="GE102" i="1"/>
  <c r="GE99" i="1"/>
  <c r="GE98" i="1"/>
  <c r="GE95" i="1"/>
  <c r="GE94" i="1"/>
  <c r="GE91" i="1"/>
  <c r="GE90" i="1"/>
  <c r="GE87" i="1"/>
  <c r="GE86" i="1"/>
  <c r="GE83" i="1"/>
  <c r="GE82" i="1"/>
  <c r="GE79" i="1"/>
  <c r="GE78" i="1"/>
  <c r="GE75" i="1"/>
  <c r="GE74" i="1"/>
  <c r="GE71" i="1"/>
  <c r="GE70" i="1"/>
  <c r="GE67" i="1"/>
  <c r="GE66" i="1"/>
  <c r="GE63" i="1"/>
  <c r="GE62" i="1"/>
  <c r="GE59" i="1"/>
  <c r="GE58" i="1"/>
  <c r="GE55" i="1"/>
  <c r="GE54" i="1"/>
  <c r="GE51" i="1"/>
  <c r="GE50" i="1"/>
  <c r="GE47" i="1"/>
  <c r="GE46" i="1"/>
  <c r="GE43" i="1"/>
  <c r="GE42" i="1"/>
  <c r="GE39" i="1"/>
  <c r="GE38" i="1"/>
  <c r="GE35" i="1"/>
  <c r="GE34" i="1"/>
  <c r="GE31" i="1"/>
  <c r="GE30" i="1"/>
  <c r="GE27" i="1"/>
  <c r="GE26" i="1"/>
  <c r="GE23" i="1"/>
  <c r="GE22" i="1"/>
  <c r="GE19" i="1"/>
  <c r="GE18" i="1"/>
  <c r="GE15" i="1"/>
  <c r="GE14" i="1"/>
  <c r="GE11" i="1"/>
  <c r="GE8" i="1"/>
  <c r="GE7" i="1"/>
  <c r="GB101" i="1"/>
  <c r="GB97" i="1"/>
  <c r="GB93" i="1"/>
  <c r="GB89" i="1"/>
  <c r="GB85" i="1"/>
  <c r="GB81" i="1"/>
  <c r="GB77" i="1"/>
  <c r="GB73" i="1"/>
  <c r="GB69" i="1"/>
  <c r="GB65" i="1"/>
  <c r="GB61" i="1"/>
  <c r="GB57" i="1"/>
  <c r="GB53" i="1"/>
  <c r="GB49" i="1"/>
  <c r="GB45" i="1"/>
  <c r="GB41" i="1"/>
  <c r="GB37" i="1"/>
  <c r="GB33" i="1"/>
  <c r="GB29" i="1"/>
  <c r="GB25" i="1"/>
  <c r="GB21" i="1"/>
  <c r="GB17" i="1"/>
  <c r="GB13" i="1"/>
  <c r="GB10" i="1"/>
  <c r="GB6" i="1"/>
  <c r="FY101" i="1"/>
  <c r="FY97" i="1"/>
  <c r="FY93" i="1"/>
  <c r="FY89" i="1"/>
  <c r="FY85" i="1"/>
  <c r="FY81" i="1"/>
  <c r="FY77" i="1"/>
  <c r="FY73" i="1"/>
  <c r="FY69" i="1"/>
  <c r="FY65" i="1"/>
  <c r="FY61" i="1"/>
  <c r="FY57" i="1"/>
  <c r="FY53" i="1"/>
  <c r="FY49" i="1"/>
  <c r="FY45" i="1"/>
  <c r="FY41" i="1"/>
  <c r="FY37" i="1"/>
  <c r="FY33" i="1"/>
  <c r="FY29" i="1"/>
  <c r="FY25" i="1"/>
  <c r="FY21" i="1"/>
  <c r="FY17" i="1"/>
  <c r="FY13" i="1"/>
  <c r="FY10" i="1"/>
  <c r="FY6" i="1"/>
  <c r="FV99" i="1"/>
  <c r="FV83" i="1"/>
  <c r="FV67" i="1"/>
  <c r="FV51" i="1"/>
  <c r="FV35" i="1"/>
  <c r="FV19" i="1"/>
  <c r="FS103" i="1"/>
  <c r="FS102" i="1"/>
  <c r="FS101" i="1"/>
  <c r="FS100" i="1"/>
  <c r="FS99" i="1"/>
  <c r="FS98" i="1"/>
  <c r="FS97" i="1"/>
  <c r="FS96" i="1"/>
  <c r="FS95" i="1"/>
  <c r="FS94" i="1"/>
  <c r="FS93" i="1"/>
  <c r="FS92" i="1"/>
  <c r="FS91" i="1"/>
  <c r="FS90" i="1"/>
  <c r="FS89" i="1"/>
  <c r="FS88" i="1"/>
  <c r="FS87" i="1"/>
  <c r="FS86" i="1"/>
  <c r="FS85" i="1"/>
  <c r="FS84" i="1"/>
  <c r="FS83" i="1"/>
  <c r="FS82" i="1"/>
  <c r="FS81" i="1"/>
  <c r="FS80" i="1"/>
  <c r="FS79" i="1"/>
  <c r="FS78" i="1"/>
  <c r="FS77" i="1"/>
  <c r="FS76" i="1"/>
  <c r="FS75" i="1"/>
  <c r="FS74" i="1"/>
  <c r="FS73" i="1"/>
  <c r="FS72" i="1"/>
  <c r="FS71" i="1"/>
  <c r="FS70" i="1"/>
  <c r="FS69" i="1"/>
  <c r="FS68" i="1"/>
  <c r="FS67" i="1"/>
  <c r="FS66" i="1"/>
  <c r="FS65" i="1"/>
  <c r="FS64" i="1"/>
  <c r="FS63" i="1"/>
  <c r="FS62" i="1"/>
  <c r="FS61" i="1"/>
  <c r="FS60" i="1"/>
  <c r="FS59" i="1"/>
  <c r="FS58" i="1"/>
  <c r="FS57" i="1"/>
  <c r="FS56" i="1"/>
  <c r="FS55" i="1"/>
  <c r="FS54" i="1"/>
  <c r="FS53" i="1"/>
  <c r="FS52" i="1"/>
  <c r="FS51" i="1"/>
  <c r="FS50" i="1"/>
  <c r="FS49" i="1"/>
  <c r="FS48" i="1"/>
  <c r="FS47" i="1"/>
  <c r="FS46" i="1"/>
  <c r="FS45" i="1"/>
  <c r="FS44" i="1"/>
  <c r="FS43" i="1"/>
  <c r="FS42" i="1"/>
  <c r="FS41" i="1"/>
  <c r="FS40" i="1"/>
  <c r="FS39" i="1"/>
  <c r="FS38" i="1"/>
  <c r="FS37" i="1"/>
  <c r="FS36" i="1"/>
  <c r="FS35" i="1"/>
  <c r="FS34" i="1"/>
  <c r="FS33" i="1"/>
  <c r="FS32" i="1"/>
  <c r="FS31" i="1"/>
  <c r="FS30" i="1"/>
  <c r="FS29" i="1"/>
  <c r="FS28" i="1"/>
  <c r="FS27" i="1"/>
  <c r="FS26" i="1"/>
  <c r="FS25" i="1"/>
  <c r="FS24" i="1"/>
  <c r="FS23" i="1"/>
  <c r="FS22" i="1"/>
  <c r="FS21" i="1"/>
  <c r="FS20" i="1"/>
  <c r="FS19" i="1"/>
  <c r="FS18" i="1"/>
  <c r="FS17" i="1"/>
  <c r="FS16" i="1"/>
  <c r="FS15" i="1"/>
  <c r="FS14" i="1"/>
  <c r="FS13" i="1"/>
  <c r="FS12" i="1"/>
  <c r="FS11" i="1"/>
  <c r="FS10" i="1"/>
  <c r="FS9" i="1"/>
  <c r="FS8" i="1"/>
  <c r="FS7" i="1"/>
  <c r="FS6" i="1"/>
  <c r="FS5" i="1"/>
  <c r="FP62" i="1"/>
  <c r="FP14" i="1"/>
  <c r="FM103" i="1"/>
  <c r="FM99" i="1"/>
  <c r="FM95" i="1"/>
  <c r="FM91" i="1"/>
  <c r="FM87" i="1"/>
  <c r="FM83" i="1"/>
  <c r="FM79" i="1"/>
  <c r="FM75" i="1"/>
  <c r="FM71" i="1"/>
  <c r="FM67" i="1"/>
  <c r="FM63" i="1"/>
  <c r="FM59" i="1"/>
  <c r="FM55" i="1"/>
  <c r="FM51" i="1"/>
  <c r="FM47" i="1"/>
  <c r="FM43" i="1"/>
  <c r="FM39" i="1"/>
  <c r="FM35" i="1"/>
  <c r="FM31" i="1"/>
  <c r="FM27" i="1"/>
  <c r="FM23" i="1"/>
  <c r="FM19" i="1"/>
  <c r="FM15" i="1"/>
  <c r="FM11" i="1"/>
  <c r="FM8" i="1"/>
  <c r="FJ103" i="1"/>
  <c r="FJ102" i="1"/>
  <c r="FJ101" i="1"/>
  <c r="FJ100" i="1"/>
  <c r="FJ99" i="1"/>
  <c r="FJ98" i="1"/>
  <c r="FJ97" i="1"/>
  <c r="FJ96" i="1"/>
  <c r="FJ95" i="1"/>
  <c r="FJ94" i="1"/>
  <c r="FJ93" i="1"/>
  <c r="FJ92" i="1"/>
  <c r="FJ91" i="1"/>
  <c r="FJ90" i="1"/>
  <c r="FJ89" i="1"/>
  <c r="FJ88" i="1"/>
  <c r="FJ87" i="1"/>
  <c r="FJ86" i="1"/>
  <c r="FJ85" i="1"/>
  <c r="FJ84" i="1"/>
  <c r="FJ83" i="1"/>
  <c r="FJ82" i="1"/>
  <c r="FJ81" i="1"/>
  <c r="FJ80" i="1"/>
  <c r="FJ79" i="1"/>
  <c r="FJ78" i="1"/>
  <c r="FJ77" i="1"/>
  <c r="FJ76" i="1"/>
  <c r="FJ75" i="1"/>
  <c r="FJ74" i="1"/>
  <c r="FJ73" i="1"/>
  <c r="FJ72" i="1"/>
  <c r="FJ71" i="1"/>
  <c r="FJ70" i="1"/>
  <c r="FJ69" i="1"/>
  <c r="FJ68" i="1"/>
  <c r="FJ67" i="1"/>
  <c r="FJ66" i="1"/>
  <c r="FJ65" i="1"/>
  <c r="FJ64" i="1"/>
  <c r="FJ63" i="1"/>
  <c r="FJ62" i="1"/>
  <c r="FJ61" i="1"/>
  <c r="FJ60" i="1"/>
  <c r="FJ59" i="1"/>
  <c r="FJ58" i="1"/>
  <c r="FJ57" i="1"/>
  <c r="FJ56" i="1"/>
  <c r="FJ55" i="1"/>
  <c r="FJ54" i="1"/>
  <c r="FJ53" i="1"/>
  <c r="FJ52" i="1"/>
  <c r="FJ51" i="1"/>
  <c r="FJ50" i="1"/>
  <c r="FJ49" i="1"/>
  <c r="FJ48" i="1"/>
  <c r="FJ47" i="1"/>
  <c r="FJ46" i="1"/>
  <c r="FJ45" i="1"/>
  <c r="FJ44" i="1"/>
  <c r="FJ43" i="1"/>
  <c r="FJ42" i="1"/>
  <c r="FJ41" i="1"/>
  <c r="FJ40" i="1"/>
  <c r="FJ39" i="1"/>
  <c r="FJ38" i="1"/>
  <c r="FJ37" i="1"/>
  <c r="FJ36" i="1"/>
  <c r="FJ35" i="1"/>
  <c r="FJ34" i="1"/>
  <c r="FJ33" i="1"/>
  <c r="FJ32" i="1"/>
  <c r="FJ31" i="1"/>
  <c r="FJ30" i="1"/>
  <c r="FJ29" i="1"/>
  <c r="FJ28" i="1"/>
  <c r="FJ27" i="1"/>
  <c r="FJ26" i="1"/>
  <c r="FJ25" i="1"/>
  <c r="FJ24" i="1"/>
  <c r="FJ23" i="1"/>
  <c r="FJ22" i="1"/>
  <c r="FJ21" i="1"/>
  <c r="FJ20" i="1"/>
  <c r="FJ19" i="1"/>
  <c r="FJ18" i="1"/>
  <c r="FJ17" i="1"/>
  <c r="FJ16" i="1"/>
  <c r="FJ15" i="1"/>
  <c r="FJ14" i="1"/>
  <c r="FJ13" i="1"/>
  <c r="FJ12" i="1"/>
  <c r="FJ11" i="1"/>
  <c r="FJ10" i="1"/>
  <c r="FJ9" i="1"/>
  <c r="FJ8" i="1"/>
  <c r="FJ7" i="1"/>
  <c r="FJ6" i="1"/>
  <c r="FJ5" i="1"/>
  <c r="FG103" i="1"/>
  <c r="FG102" i="1"/>
  <c r="FG101" i="1"/>
  <c r="FG100" i="1"/>
  <c r="FG99" i="1"/>
  <c r="FG98" i="1"/>
  <c r="FG97" i="1"/>
  <c r="FG96" i="1"/>
  <c r="FG95" i="1"/>
  <c r="FG94" i="1"/>
  <c r="FG93" i="1"/>
  <c r="FG92" i="1"/>
  <c r="FG91" i="1"/>
  <c r="FG90" i="1"/>
  <c r="FG89" i="1"/>
  <c r="FG88" i="1"/>
  <c r="FG87" i="1"/>
  <c r="FG86" i="1"/>
  <c r="FG85" i="1"/>
  <c r="FG84" i="1"/>
  <c r="FG83" i="1"/>
  <c r="FG82" i="1"/>
  <c r="FG81" i="1"/>
  <c r="FG80" i="1"/>
  <c r="FG79" i="1"/>
  <c r="FG78" i="1"/>
  <c r="FG77" i="1"/>
  <c r="FG76" i="1"/>
  <c r="FG75" i="1"/>
  <c r="FG74" i="1"/>
  <c r="FG73" i="1"/>
  <c r="FG72" i="1"/>
  <c r="FG71" i="1"/>
  <c r="FG70" i="1"/>
  <c r="FG69" i="1"/>
  <c r="FG68" i="1"/>
  <c r="FG67" i="1"/>
  <c r="FG66" i="1"/>
  <c r="FG65" i="1"/>
  <c r="FG64" i="1"/>
  <c r="FG63" i="1"/>
  <c r="FG62" i="1"/>
  <c r="FG61" i="1"/>
  <c r="FG60" i="1"/>
  <c r="FG59" i="1"/>
  <c r="FG58" i="1"/>
  <c r="FG57" i="1"/>
  <c r="FG56" i="1"/>
  <c r="FG55" i="1"/>
  <c r="FG54" i="1"/>
  <c r="FG53" i="1"/>
  <c r="FG52" i="1"/>
  <c r="FG51" i="1"/>
  <c r="FG50" i="1"/>
  <c r="FG49" i="1"/>
  <c r="FG48" i="1"/>
  <c r="FG47" i="1"/>
  <c r="FG46" i="1"/>
  <c r="FG45" i="1"/>
  <c r="FG44" i="1"/>
  <c r="FG43" i="1"/>
  <c r="FG42" i="1"/>
  <c r="FG41" i="1"/>
  <c r="FG40" i="1"/>
  <c r="FG39" i="1"/>
  <c r="FG38" i="1"/>
  <c r="FG37" i="1"/>
  <c r="FG36" i="1"/>
  <c r="FG35" i="1"/>
  <c r="FG34" i="1"/>
  <c r="FG33" i="1"/>
  <c r="FG32" i="1"/>
  <c r="FG31" i="1"/>
  <c r="FG30" i="1"/>
  <c r="FG29" i="1"/>
  <c r="FG28" i="1"/>
  <c r="FG27" i="1"/>
  <c r="FG26" i="1"/>
  <c r="FG25" i="1"/>
  <c r="FG24" i="1"/>
  <c r="FG23" i="1"/>
  <c r="FG22" i="1"/>
  <c r="FG21" i="1"/>
  <c r="FG20" i="1"/>
  <c r="FG19" i="1"/>
  <c r="FG18" i="1"/>
  <c r="FG17" i="1"/>
  <c r="FG16" i="1"/>
  <c r="FG15" i="1"/>
  <c r="FG14" i="1"/>
  <c r="FG13" i="1"/>
  <c r="FG12" i="1"/>
  <c r="FG11" i="1"/>
  <c r="FG10" i="1"/>
  <c r="FG9" i="1"/>
  <c r="FG8" i="1"/>
  <c r="FG7" i="1"/>
  <c r="FG6" i="1"/>
  <c r="FG5" i="1"/>
  <c r="FD103" i="1"/>
  <c r="FD102" i="1"/>
  <c r="FD101" i="1"/>
  <c r="FD100" i="1"/>
  <c r="FD99" i="1"/>
  <c r="FD98" i="1"/>
  <c r="FD97" i="1"/>
  <c r="FD96" i="1"/>
  <c r="FD95" i="1"/>
  <c r="FD94" i="1"/>
  <c r="FD93" i="1"/>
  <c r="FD92" i="1"/>
  <c r="FD91" i="1"/>
  <c r="FD90" i="1"/>
  <c r="FD89" i="1"/>
  <c r="FD88" i="1"/>
  <c r="FD87" i="1"/>
  <c r="FD86" i="1"/>
  <c r="FD85" i="1"/>
  <c r="FD84" i="1"/>
  <c r="FD83" i="1"/>
  <c r="FD82" i="1"/>
  <c r="FD81" i="1"/>
  <c r="FD80" i="1"/>
  <c r="FD79" i="1"/>
  <c r="FD78" i="1"/>
  <c r="FD77" i="1"/>
  <c r="FD76" i="1"/>
  <c r="FD75" i="1"/>
  <c r="FD74" i="1"/>
  <c r="FD73" i="1"/>
  <c r="FD72" i="1"/>
  <c r="FD71" i="1"/>
  <c r="FD70" i="1"/>
  <c r="FD69" i="1"/>
  <c r="FD68" i="1"/>
  <c r="FD67" i="1"/>
  <c r="FD66" i="1"/>
  <c r="FD65" i="1"/>
  <c r="FD64" i="1"/>
  <c r="FD63" i="1"/>
  <c r="FD62" i="1"/>
  <c r="FD61" i="1"/>
  <c r="FD60" i="1"/>
  <c r="FD59" i="1"/>
  <c r="FD58" i="1"/>
  <c r="FD57" i="1"/>
  <c r="FD56" i="1"/>
  <c r="FD55" i="1"/>
  <c r="FD54" i="1"/>
  <c r="FD53" i="1"/>
  <c r="FD52" i="1"/>
  <c r="FD51" i="1"/>
  <c r="FD50" i="1"/>
  <c r="FD49" i="1"/>
  <c r="FD48" i="1"/>
  <c r="FD47" i="1"/>
  <c r="FD46" i="1"/>
  <c r="FD45" i="1"/>
  <c r="FD44" i="1"/>
  <c r="FD43" i="1"/>
  <c r="FD42" i="1"/>
  <c r="FD41" i="1"/>
  <c r="FD40" i="1"/>
  <c r="FD39" i="1"/>
  <c r="FD38" i="1"/>
  <c r="FD37" i="1"/>
  <c r="FD36" i="1"/>
  <c r="FD35" i="1"/>
  <c r="FD34" i="1"/>
  <c r="FD33" i="1"/>
  <c r="FD32" i="1"/>
  <c r="FD31" i="1"/>
  <c r="FD30" i="1"/>
  <c r="FD29" i="1"/>
  <c r="FD28" i="1"/>
  <c r="FD27" i="1"/>
  <c r="FD26" i="1"/>
  <c r="FD25" i="1"/>
  <c r="FD24" i="1"/>
  <c r="FD23" i="1"/>
  <c r="FD22" i="1"/>
  <c r="FD21" i="1"/>
  <c r="FD20" i="1"/>
  <c r="FD19" i="1"/>
  <c r="FD18" i="1"/>
  <c r="FD17" i="1"/>
  <c r="FD16" i="1"/>
  <c r="FD15" i="1"/>
  <c r="FD14" i="1"/>
  <c r="FD13" i="1"/>
  <c r="FD12" i="1"/>
  <c r="FD11" i="1"/>
  <c r="FD10" i="1"/>
  <c r="FD9" i="1"/>
  <c r="FD8" i="1"/>
  <c r="FD7" i="1"/>
  <c r="FD6" i="1"/>
  <c r="FD5" i="1"/>
  <c r="FA101" i="1"/>
  <c r="FA97" i="1"/>
  <c r="FA93" i="1"/>
  <c r="FA89" i="1"/>
  <c r="FA85" i="1"/>
  <c r="FA81" i="1"/>
  <c r="FA77" i="1"/>
  <c r="FA73" i="1"/>
  <c r="FA69" i="1"/>
  <c r="FA65" i="1"/>
  <c r="FA61" i="1"/>
  <c r="FA57" i="1"/>
  <c r="FA53" i="1"/>
  <c r="FA49" i="1"/>
  <c r="FA45" i="1"/>
  <c r="FA41" i="1"/>
  <c r="FA37" i="1"/>
  <c r="FA33" i="1"/>
  <c r="FA29" i="1"/>
  <c r="FA25" i="1"/>
  <c r="FA21" i="1"/>
  <c r="FA17" i="1"/>
  <c r="FA13" i="1"/>
  <c r="FA10" i="1"/>
  <c r="FA6" i="1"/>
  <c r="EX103" i="1"/>
  <c r="EX102" i="1"/>
  <c r="EX101" i="1"/>
  <c r="EX100" i="1"/>
  <c r="EX99" i="1"/>
  <c r="EX98" i="1"/>
  <c r="EX97" i="1"/>
  <c r="EX96" i="1"/>
  <c r="EX95" i="1"/>
  <c r="EX94" i="1"/>
  <c r="EX93" i="1"/>
  <c r="EX92" i="1"/>
  <c r="EX91" i="1"/>
  <c r="EX90" i="1"/>
  <c r="EX89" i="1"/>
  <c r="EX88" i="1"/>
  <c r="EX87" i="1"/>
  <c r="EX86" i="1"/>
  <c r="EX85" i="1"/>
  <c r="EX84" i="1"/>
  <c r="EX83" i="1"/>
  <c r="EX82" i="1"/>
  <c r="EX81" i="1"/>
  <c r="EX80" i="1"/>
  <c r="EX79" i="1"/>
  <c r="EX78" i="1"/>
  <c r="EX77" i="1"/>
  <c r="EX76" i="1"/>
  <c r="EX75" i="1"/>
  <c r="EX74" i="1"/>
  <c r="EX73" i="1"/>
  <c r="EX72" i="1"/>
  <c r="EX71" i="1"/>
  <c r="EX70" i="1"/>
  <c r="EX69" i="1"/>
  <c r="EX68" i="1"/>
  <c r="EX67" i="1"/>
  <c r="EX66" i="1"/>
  <c r="EX65" i="1"/>
  <c r="EX64" i="1"/>
  <c r="EX63" i="1"/>
  <c r="EX62" i="1"/>
  <c r="EX61" i="1"/>
  <c r="EX60" i="1"/>
  <c r="EX59" i="1"/>
  <c r="EX58" i="1"/>
  <c r="EX57" i="1"/>
  <c r="EX56" i="1"/>
  <c r="EX55" i="1"/>
  <c r="EX54" i="1"/>
  <c r="EX53" i="1"/>
  <c r="EX52" i="1"/>
  <c r="EX51" i="1"/>
  <c r="EX50" i="1"/>
  <c r="EX49" i="1"/>
  <c r="EX48" i="1"/>
  <c r="EX47" i="1"/>
  <c r="EX46" i="1"/>
  <c r="EX45" i="1"/>
  <c r="EX44" i="1"/>
  <c r="EX43" i="1"/>
  <c r="EX42" i="1"/>
  <c r="EX41" i="1"/>
  <c r="EX40" i="1"/>
  <c r="EX39" i="1"/>
  <c r="EX38" i="1"/>
  <c r="EX37" i="1"/>
  <c r="EX36" i="1"/>
  <c r="EX35" i="1"/>
  <c r="EX34" i="1"/>
  <c r="EX33" i="1"/>
  <c r="EX32" i="1"/>
  <c r="EX31" i="1"/>
  <c r="EX30" i="1"/>
  <c r="EX29" i="1"/>
  <c r="EX28" i="1"/>
  <c r="EX27" i="1"/>
  <c r="EX26" i="1"/>
  <c r="EX25" i="1"/>
  <c r="EX24" i="1"/>
  <c r="EX23" i="1"/>
  <c r="EX22" i="1"/>
  <c r="EX21" i="1"/>
  <c r="EX20" i="1"/>
  <c r="EX19" i="1"/>
  <c r="EX18" i="1"/>
  <c r="EX17" i="1"/>
  <c r="EX16" i="1"/>
  <c r="EX15" i="1"/>
  <c r="EX14" i="1"/>
  <c r="EX13" i="1"/>
  <c r="EX12" i="1"/>
  <c r="EX11" i="1"/>
  <c r="EX10" i="1"/>
  <c r="EX9" i="1"/>
  <c r="EX8" i="1"/>
  <c r="EX7" i="1"/>
  <c r="EX6" i="1"/>
  <c r="EX5" i="1"/>
  <c r="EU103" i="1"/>
  <c r="EU102" i="1"/>
  <c r="EU101" i="1"/>
  <c r="EU100" i="1"/>
  <c r="EU99" i="1"/>
  <c r="EU98" i="1"/>
  <c r="EU97" i="1"/>
  <c r="EU96" i="1"/>
  <c r="EU95" i="1"/>
  <c r="EU94" i="1"/>
  <c r="EU93" i="1"/>
  <c r="EU92" i="1"/>
  <c r="EU91" i="1"/>
  <c r="EU90" i="1"/>
  <c r="EU89" i="1"/>
  <c r="EU88" i="1"/>
  <c r="EU87" i="1"/>
  <c r="EU86" i="1"/>
  <c r="EU85" i="1"/>
  <c r="EU84" i="1"/>
  <c r="EU83" i="1"/>
  <c r="EU82" i="1"/>
  <c r="EU81" i="1"/>
  <c r="EU80" i="1"/>
  <c r="EU79" i="1"/>
  <c r="EU78" i="1"/>
  <c r="EU77" i="1"/>
  <c r="EU76" i="1"/>
  <c r="EU75" i="1"/>
  <c r="EU74" i="1"/>
  <c r="EU73" i="1"/>
  <c r="EU72" i="1"/>
  <c r="EU71" i="1"/>
  <c r="EU70" i="1"/>
  <c r="EU69" i="1"/>
  <c r="EU68" i="1"/>
  <c r="EU67" i="1"/>
  <c r="EU66" i="1"/>
  <c r="EU65" i="1"/>
  <c r="EU64" i="1"/>
  <c r="EU63" i="1"/>
  <c r="EU62" i="1"/>
  <c r="EU61" i="1"/>
  <c r="EU60" i="1"/>
  <c r="EU59" i="1"/>
  <c r="EU58" i="1"/>
  <c r="EU57" i="1"/>
  <c r="EU56" i="1"/>
  <c r="EU55" i="1"/>
  <c r="EU54" i="1"/>
  <c r="EU53" i="1"/>
  <c r="EU52" i="1"/>
  <c r="EU51" i="1"/>
  <c r="EU50" i="1"/>
  <c r="EU49" i="1"/>
  <c r="EU48" i="1"/>
  <c r="EU47" i="1"/>
  <c r="EU46" i="1"/>
  <c r="EU45" i="1"/>
  <c r="EU44" i="1"/>
  <c r="EU43" i="1"/>
  <c r="EU42" i="1"/>
  <c r="EU41" i="1"/>
  <c r="EU40" i="1"/>
  <c r="EU39" i="1"/>
  <c r="EU38" i="1"/>
  <c r="EU37" i="1"/>
  <c r="EU36" i="1"/>
  <c r="EU35" i="1"/>
  <c r="EU34" i="1"/>
  <c r="EU33" i="1"/>
  <c r="EU32" i="1"/>
  <c r="EU31" i="1"/>
  <c r="EU30" i="1"/>
  <c r="EU29" i="1"/>
  <c r="EU28" i="1"/>
  <c r="EU27" i="1"/>
  <c r="EU26" i="1"/>
  <c r="EU25" i="1"/>
  <c r="EU24" i="1"/>
  <c r="EU23" i="1"/>
  <c r="EU22" i="1"/>
  <c r="EU21" i="1"/>
  <c r="EU20" i="1"/>
  <c r="EU19" i="1"/>
  <c r="EU18" i="1"/>
  <c r="EU17" i="1"/>
  <c r="EU16" i="1"/>
  <c r="EU15" i="1"/>
  <c r="EU14" i="1"/>
  <c r="EU13" i="1"/>
  <c r="EU12" i="1"/>
  <c r="EU11" i="1"/>
  <c r="EU10" i="1"/>
  <c r="EU9" i="1"/>
  <c r="EU8" i="1"/>
  <c r="EU7" i="1"/>
  <c r="EU6" i="1"/>
  <c r="EU5" i="1"/>
  <c r="ER102" i="1"/>
  <c r="ER101" i="1"/>
  <c r="ER98" i="1"/>
  <c r="ER97" i="1"/>
  <c r="ER94" i="1"/>
  <c r="ER93" i="1"/>
  <c r="ER90" i="1"/>
  <c r="ER89" i="1"/>
  <c r="ER86" i="1"/>
  <c r="ER85" i="1"/>
  <c r="ER82" i="1"/>
  <c r="ER81" i="1"/>
  <c r="ER78" i="1"/>
  <c r="ER77" i="1"/>
  <c r="ER74" i="1"/>
  <c r="ER73" i="1"/>
  <c r="ER70" i="1"/>
  <c r="ER69" i="1"/>
  <c r="ER66" i="1"/>
  <c r="ER65" i="1"/>
  <c r="ER62" i="1"/>
  <c r="ER61" i="1"/>
  <c r="ER58" i="1"/>
  <c r="ER57" i="1"/>
  <c r="ER54" i="1"/>
  <c r="ER53" i="1"/>
  <c r="ER50" i="1"/>
  <c r="ER49" i="1"/>
  <c r="ER46" i="1"/>
  <c r="ER45" i="1"/>
  <c r="ER42" i="1"/>
  <c r="ER41" i="1"/>
  <c r="ER38" i="1"/>
  <c r="ER37" i="1"/>
  <c r="ER34" i="1"/>
  <c r="ER33" i="1"/>
  <c r="ER30" i="1"/>
  <c r="ER29" i="1"/>
  <c r="ER26" i="1"/>
  <c r="ER25" i="1"/>
  <c r="ER22" i="1"/>
  <c r="ER21" i="1"/>
  <c r="ER18" i="1"/>
  <c r="ER17" i="1"/>
  <c r="ER14" i="1"/>
  <c r="ER13" i="1"/>
  <c r="ER10" i="1"/>
  <c r="ER7" i="1"/>
  <c r="ER6" i="1"/>
  <c r="EO103" i="1"/>
  <c r="EO95" i="1"/>
  <c r="EO87" i="1"/>
  <c r="EO79" i="1"/>
  <c r="EO71" i="1"/>
  <c r="EO63" i="1"/>
  <c r="EO55" i="1"/>
  <c r="EO47" i="1"/>
  <c r="EO39" i="1"/>
  <c r="EO31" i="1"/>
  <c r="EO23" i="1"/>
  <c r="EO15" i="1"/>
  <c r="EO8" i="1"/>
  <c r="EL100" i="1"/>
  <c r="EL88" i="1"/>
  <c r="EL76" i="1"/>
  <c r="EL64" i="1"/>
  <c r="EL52" i="1"/>
  <c r="EL40" i="1"/>
  <c r="EL28" i="1"/>
  <c r="EL16" i="1"/>
  <c r="EI102" i="1"/>
  <c r="EI100" i="1"/>
  <c r="EI98" i="1"/>
  <c r="EI96" i="1"/>
  <c r="EI94" i="1"/>
  <c r="EI92" i="1"/>
  <c r="EI90" i="1"/>
  <c r="EI88" i="1"/>
  <c r="EI86" i="1"/>
  <c r="EI84" i="1"/>
  <c r="EI82" i="1"/>
  <c r="EI80" i="1"/>
  <c r="EI78" i="1"/>
  <c r="EI76" i="1"/>
  <c r="EI74" i="1"/>
  <c r="EI72" i="1"/>
  <c r="EI70" i="1"/>
  <c r="EI68" i="1"/>
  <c r="EI66" i="1"/>
  <c r="EI64" i="1"/>
  <c r="EI62" i="1"/>
  <c r="EI60" i="1"/>
  <c r="EI58" i="1"/>
  <c r="EI56" i="1"/>
  <c r="EI54" i="1"/>
  <c r="EI52" i="1"/>
  <c r="EI50" i="1"/>
  <c r="EI48" i="1"/>
  <c r="EI46" i="1"/>
  <c r="EI44" i="1"/>
  <c r="EI42" i="1"/>
  <c r="EI40" i="1"/>
  <c r="EI38" i="1"/>
  <c r="EI36" i="1"/>
  <c r="EI34" i="1"/>
  <c r="EI32" i="1"/>
  <c r="EI30" i="1"/>
  <c r="EI28" i="1"/>
  <c r="EI26" i="1"/>
  <c r="EI24" i="1"/>
  <c r="EI22" i="1"/>
  <c r="EI20" i="1"/>
  <c r="EI18" i="1"/>
  <c r="EI16" i="1"/>
  <c r="EI14" i="1"/>
  <c r="EI12" i="1"/>
  <c r="EI9" i="1"/>
  <c r="EI7" i="1"/>
  <c r="EI5" i="1"/>
  <c r="EF90" i="1"/>
  <c r="EF66" i="1"/>
  <c r="EF42" i="1"/>
  <c r="EF18" i="1"/>
  <c r="EC103" i="1"/>
  <c r="EC101" i="1"/>
  <c r="EC99" i="1"/>
  <c r="EC97" i="1"/>
  <c r="EC95" i="1"/>
  <c r="EC93" i="1"/>
  <c r="EC91" i="1"/>
  <c r="EC89" i="1"/>
  <c r="EC87" i="1"/>
  <c r="EC85" i="1"/>
  <c r="EC83" i="1"/>
  <c r="EC81" i="1"/>
  <c r="EC79" i="1"/>
  <c r="EC77" i="1"/>
  <c r="EC75" i="1"/>
  <c r="EC73" i="1"/>
  <c r="EC71" i="1"/>
  <c r="EC69" i="1"/>
  <c r="EC67" i="1"/>
  <c r="EC65" i="1"/>
  <c r="EC63" i="1"/>
  <c r="EC61" i="1"/>
  <c r="EC59" i="1"/>
  <c r="EC57" i="1"/>
  <c r="EC55" i="1"/>
  <c r="EC53" i="1"/>
  <c r="EC51" i="1"/>
  <c r="EC49" i="1"/>
  <c r="EC47" i="1"/>
  <c r="EC45" i="1"/>
  <c r="EC43" i="1"/>
  <c r="EC41" i="1"/>
  <c r="EC39" i="1"/>
  <c r="EC37" i="1"/>
  <c r="EC35" i="1"/>
  <c r="EC33" i="1"/>
  <c r="EC31" i="1"/>
  <c r="EC29" i="1"/>
  <c r="EC27" i="1"/>
  <c r="EC25" i="1"/>
  <c r="EC23" i="1"/>
  <c r="EC21" i="1"/>
  <c r="EC19" i="1"/>
  <c r="EC17" i="1"/>
  <c r="EC15" i="1"/>
  <c r="EC13" i="1"/>
  <c r="EC11" i="1"/>
  <c r="EC10" i="1"/>
  <c r="EC8" i="1"/>
  <c r="EC6" i="1"/>
  <c r="DZ102" i="1"/>
  <c r="DZ98" i="1"/>
  <c r="DZ94" i="1"/>
  <c r="DZ90" i="1"/>
  <c r="DZ86" i="1"/>
  <c r="DZ82" i="1"/>
  <c r="DZ78" i="1"/>
  <c r="DZ74" i="1"/>
  <c r="DZ70" i="1"/>
  <c r="DZ66" i="1"/>
  <c r="DZ62" i="1"/>
  <c r="DZ58" i="1"/>
  <c r="DZ54" i="1"/>
  <c r="DZ50" i="1"/>
  <c r="DZ46" i="1"/>
  <c r="DZ42" i="1"/>
  <c r="DZ38" i="1"/>
  <c r="DZ34" i="1"/>
  <c r="DZ30" i="1"/>
  <c r="DZ26" i="1"/>
  <c r="DZ22" i="1"/>
  <c r="DZ18" i="1"/>
  <c r="DZ14" i="1"/>
  <c r="DZ9" i="1"/>
  <c r="DZ5" i="1"/>
  <c r="DW103" i="1"/>
  <c r="DW102" i="1"/>
  <c r="DW101" i="1"/>
  <c r="DW100" i="1"/>
  <c r="DW99" i="1"/>
  <c r="DW98" i="1"/>
  <c r="DW97" i="1"/>
  <c r="DW96" i="1"/>
  <c r="DW95" i="1"/>
  <c r="DW94" i="1"/>
  <c r="DW93" i="1"/>
  <c r="DW92" i="1"/>
  <c r="DW91" i="1"/>
  <c r="DW90" i="1"/>
  <c r="DW89" i="1"/>
  <c r="DW88" i="1"/>
  <c r="DW87" i="1"/>
  <c r="DW86" i="1"/>
  <c r="DW85" i="1"/>
  <c r="DW84" i="1"/>
  <c r="DW83" i="1"/>
  <c r="DW82" i="1"/>
  <c r="DW81" i="1"/>
  <c r="DW80" i="1"/>
  <c r="DW79" i="1"/>
  <c r="DW78" i="1"/>
  <c r="DW77" i="1"/>
  <c r="DW76" i="1"/>
  <c r="DW75" i="1"/>
  <c r="DW74" i="1"/>
  <c r="DW73" i="1"/>
  <c r="DW72" i="1"/>
  <c r="DW71" i="1"/>
  <c r="DW70" i="1"/>
  <c r="DW69" i="1"/>
  <c r="DW68" i="1"/>
  <c r="DW67" i="1"/>
  <c r="DW66" i="1"/>
  <c r="DW65" i="1"/>
  <c r="DW64" i="1"/>
  <c r="DW63" i="1"/>
  <c r="DW62" i="1"/>
  <c r="DW61" i="1"/>
  <c r="DW60" i="1"/>
  <c r="DW59" i="1"/>
  <c r="DW58" i="1"/>
  <c r="DW57" i="1"/>
  <c r="DW56" i="1"/>
  <c r="DW55" i="1"/>
  <c r="DW54" i="1"/>
  <c r="DW53" i="1"/>
  <c r="DW52" i="1"/>
  <c r="DW51" i="1"/>
  <c r="DW50" i="1"/>
  <c r="DW49" i="1"/>
  <c r="DW48" i="1"/>
  <c r="DW47" i="1"/>
  <c r="DW46" i="1"/>
  <c r="DW45" i="1"/>
  <c r="DW44" i="1"/>
  <c r="DW43" i="1"/>
  <c r="DW42" i="1"/>
  <c r="DW41" i="1"/>
  <c r="DW40" i="1"/>
  <c r="DW39" i="1"/>
  <c r="DW38" i="1"/>
  <c r="DW37" i="1"/>
  <c r="DW36" i="1"/>
  <c r="DW35" i="1"/>
  <c r="DW34" i="1"/>
  <c r="DW33" i="1"/>
  <c r="DW32" i="1"/>
  <c r="DW31" i="1"/>
  <c r="DW30" i="1"/>
  <c r="DW29" i="1"/>
  <c r="DW28" i="1"/>
  <c r="DW27" i="1"/>
  <c r="DW26" i="1"/>
  <c r="DW25" i="1"/>
  <c r="DW24" i="1"/>
  <c r="DW23" i="1"/>
  <c r="DW22" i="1"/>
  <c r="DW21" i="1"/>
  <c r="DW20" i="1"/>
  <c r="DW19" i="1"/>
  <c r="DW18" i="1"/>
  <c r="DW17" i="1"/>
  <c r="DW16" i="1"/>
  <c r="DW15" i="1"/>
  <c r="DW14" i="1"/>
  <c r="DW13" i="1"/>
  <c r="DW12" i="1"/>
  <c r="DW11" i="1"/>
  <c r="DW10" i="1"/>
  <c r="DW9" i="1"/>
  <c r="DW8" i="1"/>
  <c r="DW7" i="1"/>
  <c r="DW6" i="1"/>
  <c r="DW5" i="1"/>
  <c r="DT100" i="1"/>
  <c r="DT96" i="1"/>
  <c r="DT92" i="1"/>
  <c r="DT88" i="1"/>
  <c r="DT84" i="1"/>
  <c r="DT80" i="1"/>
  <c r="DT76" i="1"/>
  <c r="DT72" i="1"/>
  <c r="DT68" i="1"/>
  <c r="DT64" i="1"/>
  <c r="DT60" i="1"/>
  <c r="DT56" i="1"/>
  <c r="DT52" i="1"/>
  <c r="DT48" i="1"/>
  <c r="DT44" i="1"/>
  <c r="DT40" i="1"/>
  <c r="DT36" i="1"/>
  <c r="DT32" i="1"/>
  <c r="DT28" i="1"/>
  <c r="DT24" i="1"/>
  <c r="DT20" i="1"/>
  <c r="DT16" i="1"/>
  <c r="DT12" i="1"/>
  <c r="DT9" i="1"/>
  <c r="DT5" i="1"/>
  <c r="DQ103" i="1"/>
  <c r="DQ102" i="1"/>
  <c r="DQ101" i="1"/>
  <c r="DQ100" i="1"/>
  <c r="DQ99" i="1"/>
  <c r="DQ98" i="1"/>
  <c r="DQ97" i="1"/>
  <c r="DQ96" i="1"/>
  <c r="DQ95" i="1"/>
  <c r="DQ94" i="1"/>
  <c r="DQ93" i="1"/>
  <c r="DQ92" i="1"/>
  <c r="DQ91" i="1"/>
  <c r="DQ90" i="1"/>
  <c r="DQ89" i="1"/>
  <c r="DQ88" i="1"/>
  <c r="DQ87" i="1"/>
  <c r="DQ86" i="1"/>
  <c r="DQ85" i="1"/>
  <c r="DQ84" i="1"/>
  <c r="DQ83" i="1"/>
  <c r="DQ82" i="1"/>
  <c r="DQ81" i="1"/>
  <c r="DQ80" i="1"/>
  <c r="DQ79" i="1"/>
  <c r="DQ78" i="1"/>
  <c r="DQ77" i="1"/>
  <c r="DQ76" i="1"/>
  <c r="DQ75" i="1"/>
  <c r="DQ74" i="1"/>
  <c r="DQ73" i="1"/>
  <c r="DQ72" i="1"/>
  <c r="DQ71" i="1"/>
  <c r="DQ70" i="1"/>
  <c r="DQ69" i="1"/>
  <c r="DQ68" i="1"/>
  <c r="DQ67" i="1"/>
  <c r="DQ66" i="1"/>
  <c r="DQ65" i="1"/>
  <c r="DQ64" i="1"/>
  <c r="DQ63" i="1"/>
  <c r="DQ62" i="1"/>
  <c r="DQ61" i="1"/>
  <c r="DQ60" i="1"/>
  <c r="DQ59" i="1"/>
  <c r="DQ58" i="1"/>
  <c r="DQ57" i="1"/>
  <c r="DQ56" i="1"/>
  <c r="DQ55" i="1"/>
  <c r="DQ54" i="1"/>
  <c r="DQ53" i="1"/>
  <c r="DQ52" i="1"/>
  <c r="DQ51" i="1"/>
  <c r="DQ50" i="1"/>
  <c r="DQ49" i="1"/>
  <c r="DQ48" i="1"/>
  <c r="DQ47" i="1"/>
  <c r="DQ46" i="1"/>
  <c r="DQ45" i="1"/>
  <c r="DQ44" i="1"/>
  <c r="DQ43" i="1"/>
  <c r="DQ42" i="1"/>
  <c r="DQ41" i="1"/>
  <c r="DQ40" i="1"/>
  <c r="DQ39" i="1"/>
  <c r="DQ38" i="1"/>
  <c r="DQ37" i="1"/>
  <c r="DQ36" i="1"/>
  <c r="DQ35" i="1"/>
  <c r="DQ34" i="1"/>
  <c r="DQ33" i="1"/>
  <c r="DQ32" i="1"/>
  <c r="DQ31" i="1"/>
  <c r="DQ30" i="1"/>
  <c r="DQ29" i="1"/>
  <c r="DQ28" i="1"/>
  <c r="DQ27" i="1"/>
  <c r="DQ26" i="1"/>
  <c r="DQ25" i="1"/>
  <c r="DQ24" i="1"/>
  <c r="DQ23" i="1"/>
  <c r="DQ22" i="1"/>
  <c r="DQ21" i="1"/>
  <c r="DQ20" i="1"/>
  <c r="DQ19" i="1"/>
  <c r="DQ18" i="1"/>
  <c r="DQ17" i="1"/>
  <c r="DQ16" i="1"/>
  <c r="DQ15" i="1"/>
  <c r="DQ14" i="1"/>
  <c r="DQ13" i="1"/>
  <c r="DQ12" i="1"/>
  <c r="DQ11" i="1"/>
  <c r="DQ10" i="1"/>
  <c r="DQ9" i="1"/>
  <c r="DQ8" i="1"/>
  <c r="DQ7" i="1"/>
  <c r="DQ6" i="1"/>
  <c r="DQ5" i="1"/>
  <c r="DN103" i="1"/>
  <c r="DN96" i="1"/>
  <c r="DN95" i="1"/>
  <c r="DN88" i="1"/>
  <c r="DN87" i="1"/>
  <c r="DN80" i="1"/>
  <c r="DN79" i="1"/>
  <c r="DN72" i="1"/>
  <c r="DN71" i="1"/>
  <c r="DN64" i="1"/>
  <c r="DN63" i="1"/>
  <c r="DN56" i="1"/>
  <c r="DN55" i="1"/>
  <c r="DN48" i="1"/>
  <c r="DN47" i="1"/>
  <c r="DN40" i="1"/>
  <c r="DN39" i="1"/>
  <c r="DN32" i="1"/>
  <c r="DN31" i="1"/>
  <c r="DN24" i="1"/>
  <c r="DN23" i="1"/>
  <c r="DN16" i="1"/>
  <c r="DN15" i="1"/>
  <c r="DN9" i="1"/>
  <c r="DN8" i="1"/>
  <c r="DK103" i="1"/>
  <c r="DK101" i="1"/>
  <c r="DK99" i="1"/>
  <c r="DK97" i="1"/>
  <c r="DK95" i="1"/>
  <c r="DK93" i="1"/>
  <c r="DK91" i="1"/>
  <c r="DK89" i="1"/>
  <c r="DK87" i="1"/>
  <c r="DK85" i="1"/>
  <c r="DK83" i="1"/>
  <c r="DK81" i="1"/>
  <c r="DK79" i="1"/>
  <c r="DK77" i="1"/>
  <c r="DK75" i="1"/>
  <c r="DK73" i="1"/>
  <c r="DK71" i="1"/>
  <c r="DK69" i="1"/>
  <c r="DK67" i="1"/>
  <c r="DK65" i="1"/>
  <c r="DK63" i="1"/>
  <c r="DK61" i="1"/>
  <c r="DK59" i="1"/>
  <c r="DK57" i="1"/>
  <c r="DK55" i="1"/>
  <c r="DK53" i="1"/>
  <c r="DK51" i="1"/>
  <c r="DK49" i="1"/>
  <c r="DK47" i="1"/>
  <c r="DK45" i="1"/>
  <c r="DK43" i="1"/>
  <c r="DK41" i="1"/>
  <c r="DK39" i="1"/>
  <c r="DK37" i="1"/>
  <c r="DK35" i="1"/>
  <c r="DK33" i="1"/>
  <c r="DK31" i="1"/>
  <c r="DK29" i="1"/>
  <c r="DK27" i="1"/>
  <c r="DK25" i="1"/>
  <c r="DK23" i="1"/>
  <c r="DK21" i="1"/>
  <c r="DK19" i="1"/>
  <c r="DK17" i="1"/>
  <c r="DK15" i="1"/>
  <c r="DK13" i="1"/>
  <c r="DK11" i="1"/>
  <c r="DK10" i="1"/>
  <c r="DK8" i="1"/>
  <c r="DK6" i="1"/>
  <c r="DH103" i="1"/>
  <c r="DH102" i="1"/>
  <c r="DH101" i="1"/>
  <c r="DH100" i="1"/>
  <c r="DH99" i="1"/>
  <c r="DH98" i="1"/>
  <c r="DH97" i="1"/>
  <c r="DH96" i="1"/>
  <c r="DH95" i="1"/>
  <c r="DH94" i="1"/>
  <c r="DH93" i="1"/>
  <c r="DH92" i="1"/>
  <c r="DH91" i="1"/>
  <c r="DH90" i="1"/>
  <c r="DH89" i="1"/>
  <c r="DH88" i="1"/>
  <c r="DH87" i="1"/>
  <c r="DH86" i="1"/>
  <c r="DH85" i="1"/>
  <c r="DH84" i="1"/>
  <c r="DH83" i="1"/>
  <c r="DH82" i="1"/>
  <c r="DH81" i="1"/>
  <c r="DH80" i="1"/>
  <c r="DH79" i="1"/>
  <c r="DH78" i="1"/>
  <c r="DH77" i="1"/>
  <c r="DH76" i="1"/>
  <c r="DH75" i="1"/>
  <c r="DH74" i="1"/>
  <c r="DH73" i="1"/>
  <c r="DH72" i="1"/>
  <c r="DH71" i="1"/>
  <c r="DH70" i="1"/>
  <c r="DH69" i="1"/>
  <c r="DH68" i="1"/>
  <c r="DH67" i="1"/>
  <c r="DH66" i="1"/>
  <c r="DH65" i="1"/>
  <c r="DH64" i="1"/>
  <c r="DH63" i="1"/>
  <c r="DH62" i="1"/>
  <c r="DH61" i="1"/>
  <c r="DH60" i="1"/>
  <c r="DH59" i="1"/>
  <c r="DH58" i="1"/>
  <c r="DH57" i="1"/>
  <c r="DH56" i="1"/>
  <c r="DH55" i="1"/>
  <c r="DH54" i="1"/>
  <c r="DH53" i="1"/>
  <c r="DH52" i="1"/>
  <c r="DH51" i="1"/>
  <c r="DH50" i="1"/>
  <c r="DH49" i="1"/>
  <c r="DH48" i="1"/>
  <c r="DH47" i="1"/>
  <c r="DH46" i="1"/>
  <c r="DH45" i="1"/>
  <c r="DH44" i="1"/>
  <c r="DH43" i="1"/>
  <c r="DH42" i="1"/>
  <c r="DH41" i="1"/>
  <c r="DH40" i="1"/>
  <c r="DH39" i="1"/>
  <c r="DH38" i="1"/>
  <c r="DH37" i="1"/>
  <c r="DH36" i="1"/>
  <c r="DH35" i="1"/>
  <c r="DH34" i="1"/>
  <c r="DH33" i="1"/>
  <c r="DH32" i="1"/>
  <c r="DH31" i="1"/>
  <c r="DH30" i="1"/>
  <c r="DH29" i="1"/>
  <c r="DH28" i="1"/>
  <c r="DH27" i="1"/>
  <c r="DH26" i="1"/>
  <c r="DH25" i="1"/>
  <c r="DH24" i="1"/>
  <c r="DH23" i="1"/>
  <c r="DH22" i="1"/>
  <c r="DH21" i="1"/>
  <c r="DH20" i="1"/>
  <c r="DH19" i="1"/>
  <c r="DH18" i="1"/>
  <c r="DH17" i="1"/>
  <c r="DH16" i="1"/>
  <c r="DH15" i="1"/>
  <c r="DH14" i="1"/>
  <c r="DH13" i="1"/>
  <c r="DH12" i="1"/>
  <c r="DH11" i="1"/>
  <c r="DH10" i="1"/>
  <c r="DH9" i="1"/>
  <c r="DH8" i="1"/>
  <c r="DH7" i="1"/>
  <c r="DH6" i="1"/>
  <c r="DH5" i="1"/>
  <c r="DE103" i="1"/>
  <c r="DE101" i="1"/>
  <c r="DE99" i="1"/>
  <c r="DE97" i="1"/>
  <c r="DE95" i="1"/>
  <c r="DE93" i="1"/>
  <c r="DE91" i="1"/>
  <c r="DE89" i="1"/>
  <c r="DE87" i="1"/>
  <c r="DE85" i="1"/>
  <c r="DE83" i="1"/>
  <c r="DE81" i="1"/>
  <c r="DE79" i="1"/>
  <c r="DE77" i="1"/>
  <c r="DE75" i="1"/>
  <c r="DE73" i="1"/>
  <c r="DE71" i="1"/>
  <c r="DE69" i="1"/>
  <c r="DE67" i="1"/>
  <c r="DE65" i="1"/>
  <c r="DE63" i="1"/>
  <c r="DE61" i="1"/>
  <c r="DE59" i="1"/>
  <c r="DE57" i="1"/>
  <c r="DE55" i="1"/>
  <c r="DE53" i="1"/>
  <c r="DE51" i="1"/>
  <c r="DE49" i="1"/>
  <c r="DE47" i="1"/>
  <c r="DE45" i="1"/>
  <c r="DE43" i="1"/>
  <c r="DE41" i="1"/>
  <c r="DE39" i="1"/>
  <c r="DE37" i="1"/>
  <c r="DE35" i="1"/>
  <c r="DE33" i="1"/>
  <c r="DE31" i="1"/>
  <c r="DE29" i="1"/>
  <c r="DE27" i="1"/>
  <c r="DE25" i="1"/>
  <c r="DE23" i="1"/>
  <c r="DE21" i="1"/>
  <c r="DE19" i="1"/>
  <c r="DE17" i="1"/>
  <c r="DE15" i="1"/>
  <c r="DE13" i="1"/>
  <c r="DE11" i="1"/>
  <c r="DE10" i="1"/>
  <c r="DE8" i="1"/>
  <c r="DE6" i="1"/>
  <c r="DB99" i="1"/>
  <c r="DB87" i="1"/>
  <c r="DB75" i="1"/>
  <c r="DB63" i="1"/>
  <c r="DB51" i="1"/>
  <c r="DB39" i="1"/>
  <c r="DB27" i="1"/>
  <c r="DB15" i="1"/>
  <c r="CY103" i="1"/>
  <c r="CY99" i="1"/>
  <c r="CY95" i="1"/>
  <c r="CY91" i="1"/>
  <c r="CY87" i="1"/>
  <c r="CY83" i="1"/>
  <c r="CY79" i="1"/>
  <c r="CY75" i="1"/>
  <c r="CY71" i="1"/>
  <c r="CY67" i="1"/>
  <c r="CY63" i="1"/>
  <c r="CY59" i="1"/>
  <c r="CY55" i="1"/>
  <c r="CY51" i="1"/>
  <c r="CY47" i="1"/>
  <c r="CY43" i="1"/>
  <c r="CY39" i="1"/>
  <c r="CY35" i="1"/>
  <c r="CY31" i="1"/>
  <c r="CY27" i="1"/>
  <c r="CY23" i="1"/>
  <c r="CY19" i="1"/>
  <c r="CY15" i="1"/>
  <c r="CY11" i="1"/>
  <c r="CY8" i="1"/>
  <c r="CV101" i="1"/>
  <c r="CV89" i="1"/>
  <c r="CV77" i="1"/>
  <c r="CV65" i="1"/>
  <c r="CV53" i="1"/>
  <c r="CV41" i="1"/>
  <c r="CV29" i="1"/>
  <c r="CV17" i="1"/>
  <c r="CV5" i="1"/>
  <c r="CS103" i="1"/>
  <c r="CS102" i="1"/>
  <c r="CS101" i="1"/>
  <c r="CS100" i="1"/>
  <c r="CS99" i="1"/>
  <c r="CS98" i="1"/>
  <c r="CS97" i="1"/>
  <c r="CS96" i="1"/>
  <c r="CS95" i="1"/>
  <c r="CS94" i="1"/>
  <c r="CS93" i="1"/>
  <c r="CS92" i="1"/>
  <c r="CS91" i="1"/>
  <c r="CS90" i="1"/>
  <c r="CS89" i="1"/>
  <c r="CS88" i="1"/>
  <c r="CS87" i="1"/>
  <c r="CS86" i="1"/>
  <c r="CS85" i="1"/>
  <c r="CS84" i="1"/>
  <c r="CS83" i="1"/>
  <c r="CS82" i="1"/>
  <c r="CS81" i="1"/>
  <c r="CS80" i="1"/>
  <c r="CS79" i="1"/>
  <c r="CS78" i="1"/>
  <c r="CS77" i="1"/>
  <c r="CS76" i="1"/>
  <c r="CS75" i="1"/>
  <c r="CS74" i="1"/>
  <c r="CS73" i="1"/>
  <c r="CS72" i="1"/>
  <c r="CS71" i="1"/>
  <c r="CS70" i="1"/>
  <c r="CS69" i="1"/>
  <c r="CS68" i="1"/>
  <c r="CS67" i="1"/>
  <c r="CS66" i="1"/>
  <c r="CS65" i="1"/>
  <c r="CS64" i="1"/>
  <c r="CS63" i="1"/>
  <c r="CS62" i="1"/>
  <c r="CS61" i="1"/>
  <c r="CS60" i="1"/>
  <c r="CS59" i="1"/>
  <c r="CS58" i="1"/>
  <c r="CS57" i="1"/>
  <c r="CS56" i="1"/>
  <c r="CS55" i="1"/>
  <c r="CS54" i="1"/>
  <c r="CS53" i="1"/>
  <c r="CS52" i="1"/>
  <c r="CS51" i="1"/>
  <c r="CS50" i="1"/>
  <c r="CS49" i="1"/>
  <c r="CS48" i="1"/>
  <c r="CS47" i="1"/>
  <c r="CS46" i="1"/>
  <c r="CS45" i="1"/>
  <c r="CS44" i="1"/>
  <c r="CS43" i="1"/>
  <c r="CS42" i="1"/>
  <c r="CS41" i="1"/>
  <c r="CS40" i="1"/>
  <c r="CS39" i="1"/>
  <c r="CS38" i="1"/>
  <c r="CS37" i="1"/>
  <c r="CS36" i="1"/>
  <c r="CS35" i="1"/>
  <c r="CS34" i="1"/>
  <c r="CS33" i="1"/>
  <c r="CS32" i="1"/>
  <c r="CS31" i="1"/>
  <c r="CS30" i="1"/>
  <c r="CS29" i="1"/>
  <c r="CS28" i="1"/>
  <c r="CS27" i="1"/>
  <c r="CS26" i="1"/>
  <c r="CS25" i="1"/>
  <c r="CS24" i="1"/>
  <c r="CS23" i="1"/>
  <c r="CS22" i="1"/>
  <c r="CS21" i="1"/>
  <c r="CS20" i="1"/>
  <c r="CS19" i="1"/>
  <c r="CS18" i="1"/>
  <c r="CS17" i="1"/>
  <c r="CS16" i="1"/>
  <c r="CS15" i="1"/>
  <c r="CS14" i="1"/>
  <c r="CS13" i="1"/>
  <c r="CS12" i="1"/>
  <c r="CS11" i="1"/>
  <c r="CS10" i="1"/>
  <c r="CS9" i="1"/>
  <c r="CS8" i="1"/>
  <c r="CS7" i="1"/>
  <c r="CS6" i="1"/>
  <c r="CS5" i="1"/>
  <c r="CP103" i="1"/>
  <c r="CP102" i="1"/>
  <c r="CP101" i="1"/>
  <c r="CP100" i="1"/>
  <c r="CP99" i="1"/>
  <c r="CP98" i="1"/>
  <c r="CP97" i="1"/>
  <c r="CP96" i="1"/>
  <c r="CP95" i="1"/>
  <c r="CP94" i="1"/>
  <c r="CP93" i="1"/>
  <c r="CP92" i="1"/>
  <c r="CP91" i="1"/>
  <c r="CP90" i="1"/>
  <c r="CP89" i="1"/>
  <c r="CP88" i="1"/>
  <c r="CP87" i="1"/>
  <c r="CP86" i="1"/>
  <c r="CP85" i="1"/>
  <c r="CP84" i="1"/>
  <c r="CP83" i="1"/>
  <c r="CP82" i="1"/>
  <c r="CP81" i="1"/>
  <c r="CP80" i="1"/>
  <c r="CP79" i="1"/>
  <c r="CP78" i="1"/>
  <c r="CP77" i="1"/>
  <c r="CP76" i="1"/>
  <c r="CP75" i="1"/>
  <c r="CP74" i="1"/>
  <c r="CP73" i="1"/>
  <c r="CP72" i="1"/>
  <c r="CP71" i="1"/>
  <c r="CP70" i="1"/>
  <c r="CP69" i="1"/>
  <c r="CP68" i="1"/>
  <c r="CP67" i="1"/>
  <c r="CP66" i="1"/>
  <c r="CP65" i="1"/>
  <c r="CP64" i="1"/>
  <c r="CP63" i="1"/>
  <c r="CP62" i="1"/>
  <c r="CP61" i="1"/>
  <c r="CP60" i="1"/>
  <c r="CP59" i="1"/>
  <c r="CP58" i="1"/>
  <c r="CP57" i="1"/>
  <c r="CP56" i="1"/>
  <c r="CP55" i="1"/>
  <c r="CP54" i="1"/>
  <c r="CP53" i="1"/>
  <c r="CP52" i="1"/>
  <c r="CP51" i="1"/>
  <c r="CP50" i="1"/>
  <c r="CP49" i="1"/>
  <c r="CP48" i="1"/>
  <c r="CP47" i="1"/>
  <c r="CP46" i="1"/>
  <c r="CP45" i="1"/>
  <c r="CP44" i="1"/>
  <c r="CP43" i="1"/>
  <c r="CP42" i="1"/>
  <c r="CP41" i="1"/>
  <c r="CP40" i="1"/>
  <c r="CP39" i="1"/>
  <c r="CP38" i="1"/>
  <c r="CP37" i="1"/>
  <c r="CP36" i="1"/>
  <c r="CP35" i="1"/>
  <c r="CP34" i="1"/>
  <c r="CP33" i="1"/>
  <c r="CP32" i="1"/>
  <c r="CP31" i="1"/>
  <c r="CP30" i="1"/>
  <c r="CP29" i="1"/>
  <c r="CP28" i="1"/>
  <c r="CP27" i="1"/>
  <c r="CP26" i="1"/>
  <c r="CP25" i="1"/>
  <c r="CP24" i="1"/>
  <c r="CP23" i="1"/>
  <c r="CP22" i="1"/>
  <c r="CP21" i="1"/>
  <c r="CP20" i="1"/>
  <c r="CP19" i="1"/>
  <c r="CP18" i="1"/>
  <c r="CP17" i="1"/>
  <c r="CP16" i="1"/>
  <c r="CP15" i="1"/>
  <c r="CP14" i="1"/>
  <c r="CP13" i="1"/>
  <c r="CP12" i="1"/>
  <c r="CP11" i="1"/>
  <c r="CP10" i="1"/>
  <c r="CP9" i="1"/>
  <c r="CP8" i="1"/>
  <c r="CP7" i="1"/>
  <c r="CP6" i="1"/>
  <c r="CP5" i="1"/>
  <c r="CM103" i="1"/>
  <c r="CM95" i="1"/>
  <c r="CM87" i="1"/>
  <c r="CM79" i="1"/>
  <c r="CM71" i="1"/>
  <c r="CM63" i="1"/>
  <c r="CM55" i="1"/>
  <c r="CM47" i="1"/>
  <c r="CM39" i="1"/>
  <c r="CM31" i="1"/>
  <c r="CM23" i="1"/>
  <c r="CM15" i="1"/>
  <c r="CM8" i="1"/>
  <c r="CJ102" i="1"/>
  <c r="CJ100" i="1"/>
  <c r="CJ98" i="1"/>
  <c r="CJ96" i="1"/>
  <c r="CJ94" i="1"/>
  <c r="CJ92" i="1"/>
  <c r="CJ90" i="1"/>
  <c r="CJ88" i="1"/>
  <c r="CJ86" i="1"/>
  <c r="CJ84" i="1"/>
  <c r="CJ82" i="1"/>
  <c r="CJ80" i="1"/>
  <c r="CJ78" i="1"/>
  <c r="CJ76" i="1"/>
  <c r="CJ74" i="1"/>
  <c r="CJ72" i="1"/>
  <c r="CJ70" i="1"/>
  <c r="CJ68" i="1"/>
  <c r="CJ66" i="1"/>
  <c r="CJ64" i="1"/>
  <c r="CJ62" i="1"/>
  <c r="CJ60" i="1"/>
  <c r="CJ58" i="1"/>
  <c r="CJ56" i="1"/>
  <c r="CJ54" i="1"/>
  <c r="CJ52" i="1"/>
  <c r="CJ50" i="1"/>
  <c r="CJ48" i="1"/>
  <c r="CJ46" i="1"/>
  <c r="CJ44" i="1"/>
  <c r="CJ42" i="1"/>
  <c r="CJ40" i="1"/>
  <c r="CJ38" i="1"/>
  <c r="CJ36" i="1"/>
  <c r="CJ34" i="1"/>
  <c r="CJ32" i="1"/>
  <c r="CJ30" i="1"/>
  <c r="CJ28" i="1"/>
  <c r="CJ26" i="1"/>
  <c r="CJ24" i="1"/>
  <c r="CJ22" i="1"/>
  <c r="CJ20" i="1"/>
  <c r="CJ18" i="1"/>
  <c r="CJ16" i="1"/>
  <c r="CJ14" i="1"/>
  <c r="CJ12" i="1"/>
  <c r="CJ9" i="1"/>
  <c r="CJ7" i="1"/>
  <c r="CJ5" i="1"/>
  <c r="CG103" i="1"/>
  <c r="CG100" i="1"/>
  <c r="CG97" i="1"/>
  <c r="CG95" i="1"/>
  <c r="CG92" i="1"/>
  <c r="CG89" i="1"/>
  <c r="CG87" i="1"/>
  <c r="CG84" i="1"/>
  <c r="CG81" i="1"/>
  <c r="CG79" i="1"/>
  <c r="CG76" i="1"/>
  <c r="CG73" i="1"/>
  <c r="CG71" i="1"/>
  <c r="CG68" i="1"/>
  <c r="CG65" i="1"/>
  <c r="CG63" i="1"/>
  <c r="CG60" i="1"/>
  <c r="CG57" i="1"/>
  <c r="CG55" i="1"/>
  <c r="CG52" i="1"/>
  <c r="CG49" i="1"/>
  <c r="CG47" i="1"/>
  <c r="CG44" i="1"/>
  <c r="CG41" i="1"/>
  <c r="CG39" i="1"/>
  <c r="CG36" i="1"/>
  <c r="CG33" i="1"/>
  <c r="CG31" i="1"/>
  <c r="CG28" i="1"/>
  <c r="CG25" i="1"/>
  <c r="CG23" i="1"/>
  <c r="CG20" i="1"/>
  <c r="CG17" i="1"/>
  <c r="CG15" i="1"/>
  <c r="CG12" i="1"/>
  <c r="CG10" i="1"/>
  <c r="CG8" i="1"/>
  <c r="CG5" i="1"/>
  <c r="CD100" i="1"/>
  <c r="CD88" i="1"/>
  <c r="CD84" i="1"/>
  <c r="CD72" i="1"/>
  <c r="CD68" i="1"/>
  <c r="CD56" i="1"/>
  <c r="CD52" i="1"/>
  <c r="CD40" i="1"/>
  <c r="CD36" i="1"/>
  <c r="CD24" i="1"/>
  <c r="CD20" i="1"/>
  <c r="CD9" i="1"/>
  <c r="CD5" i="1"/>
  <c r="CA103" i="1"/>
  <c r="CA101" i="1"/>
  <c r="CA99" i="1"/>
  <c r="CA97" i="1"/>
  <c r="CA95" i="1"/>
  <c r="CA93" i="1"/>
  <c r="CA91" i="1"/>
  <c r="CA89" i="1"/>
  <c r="CA87" i="1"/>
  <c r="CA85" i="1"/>
  <c r="CA83" i="1"/>
  <c r="CA81" i="1"/>
  <c r="CA79" i="1"/>
  <c r="CA77" i="1"/>
  <c r="CA75" i="1"/>
  <c r="CA73" i="1"/>
  <c r="CA71" i="1"/>
  <c r="CA69" i="1"/>
  <c r="CA67" i="1"/>
  <c r="CA65" i="1"/>
  <c r="CA63" i="1"/>
  <c r="CA61" i="1"/>
  <c r="CA59" i="1"/>
  <c r="CA57" i="1"/>
  <c r="CA55" i="1"/>
  <c r="CA53" i="1"/>
  <c r="CA51" i="1"/>
  <c r="CA49" i="1"/>
  <c r="CA47" i="1"/>
  <c r="CA45" i="1"/>
  <c r="CA43" i="1"/>
  <c r="CA41" i="1"/>
  <c r="CA39" i="1"/>
  <c r="CA37" i="1"/>
  <c r="CA35" i="1"/>
  <c r="CA33" i="1"/>
  <c r="CA31" i="1"/>
  <c r="CA29" i="1"/>
  <c r="CA27" i="1"/>
  <c r="CA25" i="1"/>
  <c r="CA23" i="1"/>
  <c r="CA21" i="1"/>
  <c r="CA19" i="1"/>
  <c r="CA17" i="1"/>
  <c r="CA15" i="1"/>
  <c r="CA13" i="1"/>
  <c r="CA11" i="1"/>
  <c r="CA10" i="1"/>
  <c r="CA8" i="1"/>
  <c r="CA6" i="1"/>
  <c r="BX102" i="1"/>
  <c r="BX101" i="1"/>
  <c r="BX98" i="1"/>
  <c r="BX97" i="1"/>
  <c r="BX94" i="1"/>
  <c r="BX93" i="1"/>
  <c r="BX90" i="1"/>
  <c r="BX89" i="1"/>
  <c r="BX86" i="1"/>
  <c r="BX85" i="1"/>
  <c r="BX82" i="1"/>
  <c r="BX81" i="1"/>
  <c r="BX78" i="1"/>
  <c r="BX77" i="1"/>
  <c r="BX74" i="1"/>
  <c r="BX73" i="1"/>
  <c r="BX70" i="1"/>
  <c r="BX69" i="1"/>
  <c r="BX66" i="1"/>
  <c r="BX65" i="1"/>
  <c r="BX62" i="1"/>
  <c r="BX61" i="1"/>
  <c r="BX58" i="1"/>
  <c r="BX57" i="1"/>
  <c r="BX54" i="1"/>
  <c r="BX53" i="1"/>
  <c r="BX50" i="1"/>
  <c r="BX49" i="1"/>
  <c r="BX46" i="1"/>
  <c r="BX45" i="1"/>
  <c r="BX42" i="1"/>
  <c r="BX41" i="1"/>
  <c r="BX38" i="1"/>
  <c r="BX37" i="1"/>
  <c r="BX34" i="1"/>
  <c r="BX33" i="1"/>
  <c r="BX30" i="1"/>
  <c r="BX29" i="1"/>
  <c r="BX26" i="1"/>
  <c r="BX25" i="1"/>
  <c r="BX22" i="1"/>
  <c r="BX21" i="1"/>
  <c r="BX18" i="1"/>
  <c r="BX17" i="1"/>
  <c r="BX14" i="1"/>
  <c r="BX13" i="1"/>
  <c r="BX10" i="1"/>
  <c r="BX7" i="1"/>
  <c r="BX6" i="1"/>
  <c r="BU103" i="1"/>
  <c r="BU101" i="1"/>
  <c r="BU99" i="1"/>
  <c r="BU97" i="1"/>
  <c r="BU95" i="1"/>
  <c r="BU93" i="1"/>
  <c r="BU91" i="1"/>
  <c r="BU89" i="1"/>
  <c r="BU87" i="1"/>
  <c r="BU85" i="1"/>
  <c r="BU83" i="1"/>
  <c r="BU81" i="1"/>
  <c r="BU79" i="1"/>
  <c r="BU77" i="1"/>
  <c r="BU75" i="1"/>
  <c r="BU73" i="1"/>
  <c r="BU71" i="1"/>
  <c r="BU69" i="1"/>
  <c r="BU67" i="1"/>
  <c r="BU65" i="1"/>
  <c r="BU63" i="1"/>
  <c r="BU61" i="1"/>
  <c r="BU59" i="1"/>
  <c r="BU57" i="1"/>
  <c r="BU55" i="1"/>
  <c r="BU53" i="1"/>
  <c r="BU51" i="1"/>
  <c r="BU49" i="1"/>
  <c r="BU47" i="1"/>
  <c r="BU45" i="1"/>
  <c r="BU43" i="1"/>
  <c r="BU41" i="1"/>
  <c r="BU39" i="1"/>
  <c r="BU37" i="1"/>
  <c r="BU35" i="1"/>
  <c r="BU33" i="1"/>
  <c r="BU31" i="1"/>
  <c r="BU29" i="1"/>
  <c r="BU27" i="1"/>
  <c r="BU25" i="1"/>
  <c r="BU23" i="1"/>
  <c r="BU21" i="1"/>
  <c r="BU19" i="1"/>
  <c r="BU17" i="1"/>
  <c r="BU15" i="1"/>
  <c r="BU13" i="1"/>
  <c r="BU11" i="1"/>
  <c r="BU10" i="1"/>
  <c r="BU8" i="1"/>
  <c r="BU6" i="1"/>
  <c r="BR98" i="1"/>
  <c r="BR86" i="1"/>
  <c r="BR74" i="1"/>
  <c r="BR62" i="1"/>
  <c r="BR50" i="1"/>
  <c r="BR38" i="1"/>
  <c r="BR26" i="1"/>
  <c r="BR14"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5" i="1"/>
  <c r="BO24" i="1"/>
  <c r="BO23" i="1"/>
  <c r="BO22" i="1"/>
  <c r="BO21" i="1"/>
  <c r="BO20" i="1"/>
  <c r="BO19" i="1"/>
  <c r="BO18" i="1"/>
  <c r="BO17" i="1"/>
  <c r="BO16" i="1"/>
  <c r="BO15" i="1"/>
  <c r="BO14" i="1"/>
  <c r="BO13" i="1"/>
  <c r="BO12" i="1"/>
  <c r="BO11" i="1"/>
  <c r="BO10" i="1"/>
  <c r="BO9" i="1"/>
  <c r="BO8" i="1"/>
  <c r="BO7" i="1"/>
  <c r="BO6" i="1"/>
  <c r="BO5" i="1"/>
  <c r="BL86" i="1"/>
  <c r="BL62" i="1"/>
  <c r="BL38" i="1"/>
  <c r="BL14"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71" i="1"/>
  <c r="BI70" i="1"/>
  <c r="BI69" i="1"/>
  <c r="BI68" i="1"/>
  <c r="BI67" i="1"/>
  <c r="BI66" i="1"/>
  <c r="BI65" i="1"/>
  <c r="BI64" i="1"/>
  <c r="BI63" i="1"/>
  <c r="BI62" i="1"/>
  <c r="BI61" i="1"/>
  <c r="BI60" i="1"/>
  <c r="BI59" i="1"/>
  <c r="BI58" i="1"/>
  <c r="BI57" i="1"/>
  <c r="BI56" i="1"/>
  <c r="BI55" i="1"/>
  <c r="BI54" i="1"/>
  <c r="BI53" i="1"/>
  <c r="BI52" i="1"/>
  <c r="BI51" i="1"/>
  <c r="BI50" i="1"/>
  <c r="BI49" i="1"/>
  <c r="BI48" i="1"/>
  <c r="BI47" i="1"/>
  <c r="BI46" i="1"/>
  <c r="BI45" i="1"/>
  <c r="BI44" i="1"/>
  <c r="BI43" i="1"/>
  <c r="BI42" i="1"/>
  <c r="BI41" i="1"/>
  <c r="BI40" i="1"/>
  <c r="BI39" i="1"/>
  <c r="BI38" i="1"/>
  <c r="BI37" i="1"/>
  <c r="BI36" i="1"/>
  <c r="BI35" i="1"/>
  <c r="BI34" i="1"/>
  <c r="BI33" i="1"/>
  <c r="BI32" i="1"/>
  <c r="BI31" i="1"/>
  <c r="BI30" i="1"/>
  <c r="BI29" i="1"/>
  <c r="BI28" i="1"/>
  <c r="BI27" i="1"/>
  <c r="BI26" i="1"/>
  <c r="BI25" i="1"/>
  <c r="BI24" i="1"/>
  <c r="BI23" i="1"/>
  <c r="BI22" i="1"/>
  <c r="BI21" i="1"/>
  <c r="BI20" i="1"/>
  <c r="BI19" i="1"/>
  <c r="BI18" i="1"/>
  <c r="BI17" i="1"/>
  <c r="BI16" i="1"/>
  <c r="BI15" i="1"/>
  <c r="BI14" i="1"/>
  <c r="BI13" i="1"/>
  <c r="BI12" i="1"/>
  <c r="BI11" i="1"/>
  <c r="BI10" i="1"/>
  <c r="BI9" i="1"/>
  <c r="BI8" i="1"/>
  <c r="BI7" i="1"/>
  <c r="BI6" i="1"/>
  <c r="BI5" i="1"/>
  <c r="BF103" i="1"/>
  <c r="BF102" i="1"/>
  <c r="BF101" i="1"/>
  <c r="BF100" i="1"/>
  <c r="BF99" i="1"/>
  <c r="BF98" i="1"/>
  <c r="BF97" i="1"/>
  <c r="BF96" i="1"/>
  <c r="BF95" i="1"/>
  <c r="BF94" i="1"/>
  <c r="BF93" i="1"/>
  <c r="BF92" i="1"/>
  <c r="BF91" i="1"/>
  <c r="BF90" i="1"/>
  <c r="BF89" i="1"/>
  <c r="BF88" i="1"/>
  <c r="BF87" i="1"/>
  <c r="BF86" i="1"/>
  <c r="BF85" i="1"/>
  <c r="BF84" i="1"/>
  <c r="BF83" i="1"/>
  <c r="BF82" i="1"/>
  <c r="BF81" i="1"/>
  <c r="BF80" i="1"/>
  <c r="BF79" i="1"/>
  <c r="BF78" i="1"/>
  <c r="BF77" i="1"/>
  <c r="BF76" i="1"/>
  <c r="BF75" i="1"/>
  <c r="BF74" i="1"/>
  <c r="BF73" i="1"/>
  <c r="BF72" i="1"/>
  <c r="BF71" i="1"/>
  <c r="BF70" i="1"/>
  <c r="BF69" i="1"/>
  <c r="BF68" i="1"/>
  <c r="BF67" i="1"/>
  <c r="BF66" i="1"/>
  <c r="BF65" i="1"/>
  <c r="BF64" i="1"/>
  <c r="BF63" i="1"/>
  <c r="BF62" i="1"/>
  <c r="BF61" i="1"/>
  <c r="BF60" i="1"/>
  <c r="BF59" i="1"/>
  <c r="BF58" i="1"/>
  <c r="BF57" i="1"/>
  <c r="BF56" i="1"/>
  <c r="BF55" i="1"/>
  <c r="BF54" i="1"/>
  <c r="BF53" i="1"/>
  <c r="BF52" i="1"/>
  <c r="BF51" i="1"/>
  <c r="BF50" i="1"/>
  <c r="BF49" i="1"/>
  <c r="BF48" i="1"/>
  <c r="BF47" i="1"/>
  <c r="BF46" i="1"/>
  <c r="BF45" i="1"/>
  <c r="BF44" i="1"/>
  <c r="BF43" i="1"/>
  <c r="BF42" i="1"/>
  <c r="BF41" i="1"/>
  <c r="BF40" i="1"/>
  <c r="BF39" i="1"/>
  <c r="BF38" i="1"/>
  <c r="BF37" i="1"/>
  <c r="BF36" i="1"/>
  <c r="BF35" i="1"/>
  <c r="BF34" i="1"/>
  <c r="BF33" i="1"/>
  <c r="BF32" i="1"/>
  <c r="BF31" i="1"/>
  <c r="BF30" i="1"/>
  <c r="BF29" i="1"/>
  <c r="BF28" i="1"/>
  <c r="BF27" i="1"/>
  <c r="BF26" i="1"/>
  <c r="BF25" i="1"/>
  <c r="BF24" i="1"/>
  <c r="BF23" i="1"/>
  <c r="BF22" i="1"/>
  <c r="BF21" i="1"/>
  <c r="BF20" i="1"/>
  <c r="BF19" i="1"/>
  <c r="BF18" i="1"/>
  <c r="BF17" i="1"/>
  <c r="BF16" i="1"/>
  <c r="BF15" i="1"/>
  <c r="BF14" i="1"/>
  <c r="BF13" i="1"/>
  <c r="BF12" i="1"/>
  <c r="BF11" i="1"/>
  <c r="BF10" i="1"/>
  <c r="BF9" i="1"/>
  <c r="BF8" i="1"/>
  <c r="BF7" i="1"/>
  <c r="BF6" i="1"/>
  <c r="BF5" i="1"/>
  <c r="BC103" i="1"/>
  <c r="BC101" i="1"/>
  <c r="BC99" i="1"/>
  <c r="BC97" i="1"/>
  <c r="BC95" i="1"/>
  <c r="BC93" i="1"/>
  <c r="BC91" i="1"/>
  <c r="BC89" i="1"/>
  <c r="BC87" i="1"/>
  <c r="BC85" i="1"/>
  <c r="BC83" i="1"/>
  <c r="BC81" i="1"/>
  <c r="BC79" i="1"/>
  <c r="BC77" i="1"/>
  <c r="BC75" i="1"/>
  <c r="BC73" i="1"/>
  <c r="BC71" i="1"/>
  <c r="BC69" i="1"/>
  <c r="BC67" i="1"/>
  <c r="BC65" i="1"/>
  <c r="BC63" i="1"/>
  <c r="BC61" i="1"/>
  <c r="BC59" i="1"/>
  <c r="BC57" i="1"/>
  <c r="BC55" i="1"/>
  <c r="BC53" i="1"/>
  <c r="BC51" i="1"/>
  <c r="BC49" i="1"/>
  <c r="BC47" i="1"/>
  <c r="BC45" i="1"/>
  <c r="BC43" i="1"/>
  <c r="BC41" i="1"/>
  <c r="BC39" i="1"/>
  <c r="BC37" i="1"/>
  <c r="BC35" i="1"/>
  <c r="BC33" i="1"/>
  <c r="BC31" i="1"/>
  <c r="BC29" i="1"/>
  <c r="BC27" i="1"/>
  <c r="BC25" i="1"/>
  <c r="BC23" i="1"/>
  <c r="BC21" i="1"/>
  <c r="BC19" i="1"/>
  <c r="BC17" i="1"/>
  <c r="BC15" i="1"/>
  <c r="BC13" i="1"/>
  <c r="BC11" i="1"/>
  <c r="BC10" i="1"/>
  <c r="BC8" i="1"/>
  <c r="BC6" i="1"/>
  <c r="AZ102" i="1"/>
  <c r="AZ101" i="1"/>
  <c r="AZ98" i="1"/>
  <c r="AZ97" i="1"/>
  <c r="AZ94" i="1"/>
  <c r="AZ93" i="1"/>
  <c r="AZ90" i="1"/>
  <c r="AZ89" i="1"/>
  <c r="AZ86" i="1"/>
  <c r="AZ85" i="1"/>
  <c r="AZ82" i="1"/>
  <c r="AZ81" i="1"/>
  <c r="AZ78" i="1"/>
  <c r="AZ77" i="1"/>
  <c r="AZ74" i="1"/>
  <c r="AZ73" i="1"/>
  <c r="AZ70" i="1"/>
  <c r="AZ69" i="1"/>
  <c r="AZ66" i="1"/>
  <c r="AZ65" i="1"/>
  <c r="AZ62" i="1"/>
  <c r="AZ61" i="1"/>
  <c r="AZ58" i="1"/>
  <c r="AZ57" i="1"/>
  <c r="AZ54" i="1"/>
  <c r="AZ53" i="1"/>
  <c r="AZ50" i="1"/>
  <c r="AZ49" i="1"/>
  <c r="AZ46" i="1"/>
  <c r="AZ45" i="1"/>
  <c r="AZ42" i="1"/>
  <c r="AZ41" i="1"/>
  <c r="AZ38" i="1"/>
  <c r="AZ37" i="1"/>
  <c r="AZ34" i="1"/>
  <c r="AZ33" i="1"/>
  <c r="AZ30" i="1"/>
  <c r="AZ29" i="1"/>
  <c r="AZ26" i="1"/>
  <c r="AZ25" i="1"/>
  <c r="AZ22" i="1"/>
  <c r="AZ21" i="1"/>
  <c r="AZ18" i="1"/>
  <c r="AZ17" i="1"/>
  <c r="AZ14" i="1"/>
  <c r="AZ13" i="1"/>
  <c r="AZ10" i="1"/>
  <c r="AZ7" i="1"/>
  <c r="AZ6" i="1"/>
  <c r="AW99" i="1"/>
  <c r="AW91" i="1"/>
  <c r="AW83" i="1"/>
  <c r="AW75" i="1"/>
  <c r="AW67" i="1"/>
  <c r="AW59" i="1"/>
  <c r="AW51" i="1"/>
  <c r="AW43" i="1"/>
  <c r="AW35" i="1"/>
  <c r="AW27" i="1"/>
  <c r="AW19" i="1"/>
  <c r="AW11"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T7" i="1"/>
  <c r="AT6" i="1"/>
  <c r="AT5" i="1"/>
  <c r="AQ103" i="1"/>
  <c r="AQ101" i="1"/>
  <c r="AQ99" i="1"/>
  <c r="AQ97" i="1"/>
  <c r="AQ95" i="1"/>
  <c r="AQ93" i="1"/>
  <c r="AQ91" i="1"/>
  <c r="AQ89" i="1"/>
  <c r="AQ87" i="1"/>
  <c r="AQ85" i="1"/>
  <c r="AQ83" i="1"/>
  <c r="AQ81" i="1"/>
  <c r="AQ79" i="1"/>
  <c r="AQ77" i="1"/>
  <c r="AQ75" i="1"/>
  <c r="AQ73" i="1"/>
  <c r="AQ71" i="1"/>
  <c r="AQ69" i="1"/>
  <c r="AQ67" i="1"/>
  <c r="AQ65" i="1"/>
  <c r="AQ63" i="1"/>
  <c r="AQ61" i="1"/>
  <c r="AQ59" i="1"/>
  <c r="AQ57" i="1"/>
  <c r="AQ55" i="1"/>
  <c r="AQ53" i="1"/>
  <c r="AQ51" i="1"/>
  <c r="AQ49" i="1"/>
  <c r="AQ47" i="1"/>
  <c r="AQ45" i="1"/>
  <c r="AQ43" i="1"/>
  <c r="AQ41" i="1"/>
  <c r="AQ39" i="1"/>
  <c r="AQ37" i="1"/>
  <c r="AQ35" i="1"/>
  <c r="AQ33" i="1"/>
  <c r="AQ31" i="1"/>
  <c r="AQ29" i="1"/>
  <c r="AQ27" i="1"/>
  <c r="AQ25" i="1"/>
  <c r="AQ23" i="1"/>
  <c r="AQ21" i="1"/>
  <c r="AQ19" i="1"/>
  <c r="AQ17" i="1"/>
  <c r="AQ15" i="1"/>
  <c r="AQ13" i="1"/>
  <c r="AQ11" i="1"/>
  <c r="AQ10" i="1"/>
  <c r="AQ8" i="1"/>
  <c r="AQ6" i="1"/>
  <c r="AN102" i="1"/>
  <c r="AN100" i="1"/>
  <c r="AN98" i="1"/>
  <c r="AN96" i="1"/>
  <c r="AN94" i="1"/>
  <c r="AN92" i="1"/>
  <c r="AN90" i="1"/>
  <c r="AN88" i="1"/>
  <c r="AN86" i="1"/>
  <c r="AN84" i="1"/>
  <c r="AN82" i="1"/>
  <c r="AN80" i="1"/>
  <c r="AN78" i="1"/>
  <c r="AN76" i="1"/>
  <c r="AN74" i="1"/>
  <c r="AN72" i="1"/>
  <c r="AN70" i="1"/>
  <c r="AN68" i="1"/>
  <c r="AN66" i="1"/>
  <c r="AN64" i="1"/>
  <c r="AN62" i="1"/>
  <c r="AN60" i="1"/>
  <c r="AN58" i="1"/>
  <c r="AN56" i="1"/>
  <c r="AN54" i="1"/>
  <c r="AN52" i="1"/>
  <c r="AN50" i="1"/>
  <c r="AN48" i="1"/>
  <c r="AN46" i="1"/>
  <c r="AN44" i="1"/>
  <c r="AN42" i="1"/>
  <c r="AN40" i="1"/>
  <c r="AN38" i="1"/>
  <c r="AN36" i="1"/>
  <c r="AN34" i="1"/>
  <c r="AN32" i="1"/>
  <c r="AN30" i="1"/>
  <c r="AN28" i="1"/>
  <c r="AN26" i="1"/>
  <c r="AN24" i="1"/>
  <c r="AN22" i="1"/>
  <c r="AN20" i="1"/>
  <c r="AN18" i="1"/>
  <c r="AN16" i="1"/>
  <c r="AN14" i="1"/>
  <c r="AN12" i="1"/>
  <c r="AN9" i="1"/>
  <c r="AN7" i="1"/>
  <c r="AN5"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H94" i="1"/>
  <c r="AH70" i="1"/>
  <c r="AH46" i="1"/>
  <c r="AH22"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Y103" i="1"/>
  <c r="Y99" i="1"/>
  <c r="Y95" i="1"/>
  <c r="Y91" i="1"/>
  <c r="Y87" i="1"/>
  <c r="Y83" i="1"/>
  <c r="Y79" i="1"/>
  <c r="Y75" i="1"/>
  <c r="Y71" i="1"/>
  <c r="Y67" i="1"/>
  <c r="Y63" i="1"/>
  <c r="Y59" i="1"/>
  <c r="Y55" i="1"/>
  <c r="Y51" i="1"/>
  <c r="Y47" i="1"/>
  <c r="Y43" i="1"/>
  <c r="Y39" i="1"/>
  <c r="Y35" i="1"/>
  <c r="Y31" i="1"/>
  <c r="Y27" i="1"/>
  <c r="Y23" i="1"/>
  <c r="Y19" i="1"/>
  <c r="Y15" i="1"/>
  <c r="Y11" i="1"/>
  <c r="Y8"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S100" i="1"/>
  <c r="S96" i="1"/>
  <c r="S92" i="1"/>
  <c r="S88" i="1"/>
  <c r="S84" i="1"/>
  <c r="S80" i="1"/>
  <c r="S76" i="1"/>
  <c r="S72" i="1"/>
  <c r="S68" i="1"/>
  <c r="S64" i="1"/>
  <c r="S60" i="1"/>
  <c r="S56" i="1"/>
  <c r="S52" i="1"/>
  <c r="S48" i="1"/>
  <c r="S44" i="1"/>
  <c r="S40" i="1"/>
  <c r="S36" i="1"/>
  <c r="S32" i="1"/>
  <c r="S28" i="1"/>
  <c r="S24" i="1"/>
  <c r="S20" i="1"/>
  <c r="S16" i="1"/>
  <c r="S12" i="1"/>
  <c r="S9" i="1"/>
  <c r="S5" i="1"/>
  <c r="P96" i="1"/>
  <c r="P84" i="1"/>
  <c r="P72" i="1"/>
  <c r="P60" i="1"/>
  <c r="P48" i="1"/>
  <c r="P36" i="1"/>
  <c r="P24" i="1"/>
  <c r="P12" i="1"/>
  <c r="LB94" i="1"/>
  <c r="KZ94" i="1"/>
  <c r="KW94" i="1"/>
  <c r="KT94" i="1"/>
  <c r="KQ94" i="1"/>
  <c r="KN94" i="1"/>
  <c r="KK94" i="1"/>
  <c r="KH94" i="1"/>
  <c r="KE94" i="1"/>
  <c r="KB94" i="1"/>
  <c r="JY94" i="1"/>
  <c r="JV94" i="1"/>
  <c r="JS94" i="1"/>
  <c r="JP94" i="1"/>
  <c r="JM94" i="1"/>
  <c r="JJ94" i="1"/>
  <c r="JG94" i="1"/>
  <c r="JD94" i="1"/>
  <c r="JA94" i="1"/>
  <c r="IX94" i="1"/>
  <c r="IU94" i="1"/>
  <c r="IR94" i="1"/>
  <c r="IO94" i="1"/>
  <c r="IL94" i="1"/>
  <c r="II94" i="1"/>
  <c r="IF94" i="1"/>
  <c r="IC94" i="1"/>
  <c r="HZ94" i="1"/>
  <c r="HW94" i="1"/>
  <c r="HT94" i="1"/>
  <c r="HQ94" i="1"/>
  <c r="HN94" i="1"/>
  <c r="HK94" i="1"/>
  <c r="HH94" i="1"/>
  <c r="HE94" i="1"/>
  <c r="HB94" i="1"/>
  <c r="GY94" i="1"/>
  <c r="GV94" i="1"/>
  <c r="GS94" i="1"/>
  <c r="GP94" i="1"/>
  <c r="GM94" i="1"/>
  <c r="GJ94" i="1"/>
  <c r="GG94" i="1"/>
  <c r="GD94" i="1"/>
  <c r="GA94" i="1"/>
  <c r="FX94" i="1"/>
  <c r="FU94" i="1"/>
  <c r="FR94" i="1"/>
  <c r="FO94" i="1"/>
  <c r="FL94" i="1"/>
  <c r="FI94" i="1"/>
  <c r="FF94" i="1"/>
  <c r="FC94" i="1"/>
  <c r="EZ94" i="1"/>
  <c r="EW94" i="1"/>
  <c r="ET94" i="1"/>
  <c r="EQ94" i="1"/>
  <c r="EN94" i="1"/>
  <c r="EK94" i="1"/>
  <c r="EH94" i="1"/>
  <c r="EE94" i="1"/>
  <c r="EB94" i="1"/>
  <c r="DY94" i="1"/>
  <c r="DV94" i="1"/>
  <c r="DS94" i="1"/>
  <c r="DP94" i="1"/>
  <c r="DM94" i="1"/>
  <c r="DJ94" i="1"/>
  <c r="DD94" i="1"/>
  <c r="DA94" i="1"/>
  <c r="CX94" i="1"/>
  <c r="CU94" i="1"/>
  <c r="CR94" i="1"/>
  <c r="CO94" i="1"/>
  <c r="CL94" i="1"/>
  <c r="CI94" i="1"/>
  <c r="CF94" i="1"/>
  <c r="CC94" i="1"/>
  <c r="BZ94" i="1"/>
  <c r="BW94" i="1"/>
  <c r="BT94" i="1"/>
  <c r="BQ94" i="1"/>
  <c r="BN94" i="1"/>
  <c r="BK94" i="1"/>
  <c r="BH94" i="1"/>
  <c r="BE94" i="1"/>
  <c r="BB94" i="1"/>
  <c r="AY94" i="1"/>
  <c r="AV94" i="1"/>
  <c r="AS94" i="1"/>
  <c r="AP94" i="1"/>
  <c r="AM94" i="1"/>
  <c r="AJ94" i="1"/>
  <c r="AG94" i="1"/>
  <c r="AD94" i="1"/>
  <c r="AA94" i="1"/>
  <c r="X94" i="1"/>
  <c r="U94" i="1"/>
  <c r="R94" i="1"/>
  <c r="O94" i="1"/>
  <c r="LB93" i="1"/>
  <c r="LC93" i="1" s="1"/>
  <c r="KZ93" i="1"/>
  <c r="KW93" i="1"/>
  <c r="KT93" i="1"/>
  <c r="KQ93" i="1"/>
  <c r="KN93" i="1"/>
  <c r="KK93" i="1"/>
  <c r="KH93" i="1"/>
  <c r="KE93" i="1"/>
  <c r="KB93" i="1"/>
  <c r="JY93" i="1"/>
  <c r="JV93" i="1"/>
  <c r="JS93" i="1"/>
  <c r="JP93" i="1"/>
  <c r="JM93" i="1"/>
  <c r="JJ93" i="1"/>
  <c r="JG93" i="1"/>
  <c r="JD93" i="1"/>
  <c r="JA93" i="1"/>
  <c r="IX93" i="1"/>
  <c r="IU93" i="1"/>
  <c r="IR93" i="1"/>
  <c r="IO93" i="1"/>
  <c r="IL93" i="1"/>
  <c r="II93" i="1"/>
  <c r="IF93" i="1"/>
  <c r="IC93" i="1"/>
  <c r="HZ93" i="1"/>
  <c r="HW93" i="1"/>
  <c r="HT93" i="1"/>
  <c r="HQ93" i="1"/>
  <c r="HN93" i="1"/>
  <c r="HK93" i="1"/>
  <c r="HH93" i="1"/>
  <c r="HE93" i="1"/>
  <c r="HB93" i="1"/>
  <c r="GY93" i="1"/>
  <c r="GV93" i="1"/>
  <c r="GS93" i="1"/>
  <c r="GP93" i="1"/>
  <c r="GM93" i="1"/>
  <c r="GJ93" i="1"/>
  <c r="GG93" i="1"/>
  <c r="GD93" i="1"/>
  <c r="GA93" i="1"/>
  <c r="FX93" i="1"/>
  <c r="FU93" i="1"/>
  <c r="FR93" i="1"/>
  <c r="FO93" i="1"/>
  <c r="FL93" i="1"/>
  <c r="FI93" i="1"/>
  <c r="FF93" i="1"/>
  <c r="FC93" i="1"/>
  <c r="EZ93" i="1"/>
  <c r="EW93" i="1"/>
  <c r="ET93" i="1"/>
  <c r="EQ93" i="1"/>
  <c r="EN93" i="1"/>
  <c r="EK93" i="1"/>
  <c r="EH93" i="1"/>
  <c r="EE93" i="1"/>
  <c r="EB93" i="1"/>
  <c r="DY93" i="1"/>
  <c r="DV93" i="1"/>
  <c r="DS93" i="1"/>
  <c r="DP93" i="1"/>
  <c r="DM93" i="1"/>
  <c r="DJ93" i="1"/>
  <c r="DD93" i="1"/>
  <c r="DA93" i="1"/>
  <c r="CX93" i="1"/>
  <c r="CU93" i="1"/>
  <c r="CR93" i="1"/>
  <c r="CO93" i="1"/>
  <c r="CL93" i="1"/>
  <c r="CI93" i="1"/>
  <c r="CF93" i="1"/>
  <c r="CC93" i="1"/>
  <c r="BZ93" i="1"/>
  <c r="BW93" i="1"/>
  <c r="BT93" i="1"/>
  <c r="BQ93" i="1"/>
  <c r="BN93" i="1"/>
  <c r="BK93" i="1"/>
  <c r="BH93" i="1"/>
  <c r="BE93" i="1"/>
  <c r="BB93" i="1"/>
  <c r="AY93" i="1"/>
  <c r="AV93" i="1"/>
  <c r="AS93" i="1"/>
  <c r="AP93" i="1"/>
  <c r="AM93" i="1"/>
  <c r="AJ93" i="1"/>
  <c r="AG93" i="1"/>
  <c r="AD93" i="1"/>
  <c r="AA93" i="1"/>
  <c r="X93" i="1"/>
  <c r="U93" i="1"/>
  <c r="R93" i="1"/>
  <c r="O93" i="1"/>
  <c r="LB92" i="1"/>
  <c r="LC92" i="1" s="1"/>
  <c r="KZ92" i="1"/>
  <c r="KW92" i="1"/>
  <c r="KT92" i="1"/>
  <c r="KQ92" i="1"/>
  <c r="KN92" i="1"/>
  <c r="KK92" i="1"/>
  <c r="KH92" i="1"/>
  <c r="KE92" i="1"/>
  <c r="KB92" i="1"/>
  <c r="JY92" i="1"/>
  <c r="JV92" i="1"/>
  <c r="JS92" i="1"/>
  <c r="JP92" i="1"/>
  <c r="JM92" i="1"/>
  <c r="JJ92" i="1"/>
  <c r="JG92" i="1"/>
  <c r="JD92" i="1"/>
  <c r="JA92" i="1"/>
  <c r="IX92" i="1"/>
  <c r="IU92" i="1"/>
  <c r="IR92" i="1"/>
  <c r="IO92" i="1"/>
  <c r="IL92" i="1"/>
  <c r="II92" i="1"/>
  <c r="IF92" i="1"/>
  <c r="IC92" i="1"/>
  <c r="HZ92" i="1"/>
  <c r="HW92" i="1"/>
  <c r="HT92" i="1"/>
  <c r="HQ92" i="1"/>
  <c r="HN92" i="1"/>
  <c r="HK92" i="1"/>
  <c r="HH92" i="1"/>
  <c r="HE92" i="1"/>
  <c r="HB92" i="1"/>
  <c r="GY92" i="1"/>
  <c r="GV92" i="1"/>
  <c r="GS92" i="1"/>
  <c r="GP92" i="1"/>
  <c r="GM92" i="1"/>
  <c r="GJ92" i="1"/>
  <c r="GG92" i="1"/>
  <c r="GD92" i="1"/>
  <c r="GA92" i="1"/>
  <c r="FX92" i="1"/>
  <c r="FU92" i="1"/>
  <c r="FR92" i="1"/>
  <c r="FO92" i="1"/>
  <c r="FL92" i="1"/>
  <c r="FI92" i="1"/>
  <c r="FF92" i="1"/>
  <c r="FC92" i="1"/>
  <c r="EZ92" i="1"/>
  <c r="EW92" i="1"/>
  <c r="ET92" i="1"/>
  <c r="EQ92" i="1"/>
  <c r="EN92" i="1"/>
  <c r="EK92" i="1"/>
  <c r="EH92" i="1"/>
  <c r="EE92" i="1"/>
  <c r="EB92" i="1"/>
  <c r="DY92" i="1"/>
  <c r="DV92" i="1"/>
  <c r="DS92" i="1"/>
  <c r="DP92" i="1"/>
  <c r="DM92" i="1"/>
  <c r="DJ92" i="1"/>
  <c r="DD92" i="1"/>
  <c r="DA92" i="1"/>
  <c r="CX92" i="1"/>
  <c r="CU92" i="1"/>
  <c r="CR92" i="1"/>
  <c r="CO92" i="1"/>
  <c r="CL92" i="1"/>
  <c r="CI92" i="1"/>
  <c r="CF92" i="1"/>
  <c r="CC92" i="1"/>
  <c r="BZ92" i="1"/>
  <c r="BW92" i="1"/>
  <c r="BT92" i="1"/>
  <c r="BQ92" i="1"/>
  <c r="BN92" i="1"/>
  <c r="BK92" i="1"/>
  <c r="BH92" i="1"/>
  <c r="BE92" i="1"/>
  <c r="BB92" i="1"/>
  <c r="AY92" i="1"/>
  <c r="AV92" i="1"/>
  <c r="AS92" i="1"/>
  <c r="AP92" i="1"/>
  <c r="AM92" i="1"/>
  <c r="AJ92" i="1"/>
  <c r="AG92" i="1"/>
  <c r="AD92" i="1"/>
  <c r="AA92" i="1"/>
  <c r="X92" i="1"/>
  <c r="U92" i="1"/>
  <c r="R92" i="1"/>
  <c r="O92" i="1"/>
  <c r="LB91" i="1"/>
  <c r="KZ91" i="1"/>
  <c r="KW91" i="1"/>
  <c r="KT91" i="1"/>
  <c r="KQ91" i="1"/>
  <c r="KN91" i="1"/>
  <c r="KK91" i="1"/>
  <c r="KH91" i="1"/>
  <c r="KE91" i="1"/>
  <c r="KB91" i="1"/>
  <c r="JY91" i="1"/>
  <c r="JV91" i="1"/>
  <c r="JS91" i="1"/>
  <c r="JP91" i="1"/>
  <c r="JM91" i="1"/>
  <c r="JJ91" i="1"/>
  <c r="JG91" i="1"/>
  <c r="JD91" i="1"/>
  <c r="JA91" i="1"/>
  <c r="IX91" i="1"/>
  <c r="IU91" i="1"/>
  <c r="IR91" i="1"/>
  <c r="IO91" i="1"/>
  <c r="IL91" i="1"/>
  <c r="II91" i="1"/>
  <c r="IF91" i="1"/>
  <c r="IC91" i="1"/>
  <c r="HZ91" i="1"/>
  <c r="HW91" i="1"/>
  <c r="HT91" i="1"/>
  <c r="HQ91" i="1"/>
  <c r="HN91" i="1"/>
  <c r="HK91" i="1"/>
  <c r="HH91" i="1"/>
  <c r="HE91" i="1"/>
  <c r="HB91" i="1"/>
  <c r="GY91" i="1"/>
  <c r="GV91" i="1"/>
  <c r="GS91" i="1"/>
  <c r="GP91" i="1"/>
  <c r="GM91" i="1"/>
  <c r="GJ91" i="1"/>
  <c r="GG91" i="1"/>
  <c r="GD91" i="1"/>
  <c r="GA91" i="1"/>
  <c r="FX91" i="1"/>
  <c r="FU91" i="1"/>
  <c r="FR91" i="1"/>
  <c r="FO91" i="1"/>
  <c r="FL91" i="1"/>
  <c r="FI91" i="1"/>
  <c r="FF91" i="1"/>
  <c r="FC91" i="1"/>
  <c r="EZ91" i="1"/>
  <c r="EW91" i="1"/>
  <c r="ET91" i="1"/>
  <c r="EQ91" i="1"/>
  <c r="EN91" i="1"/>
  <c r="EK91" i="1"/>
  <c r="EH91" i="1"/>
  <c r="EE91" i="1"/>
  <c r="EB91" i="1"/>
  <c r="DY91" i="1"/>
  <c r="DV91" i="1"/>
  <c r="DS91" i="1"/>
  <c r="DP91" i="1"/>
  <c r="DM91" i="1"/>
  <c r="DJ91" i="1"/>
  <c r="DD91" i="1"/>
  <c r="DA91" i="1"/>
  <c r="CX91" i="1"/>
  <c r="CU91" i="1"/>
  <c r="CR91" i="1"/>
  <c r="CO91" i="1"/>
  <c r="CL91" i="1"/>
  <c r="CI91" i="1"/>
  <c r="CF91" i="1"/>
  <c r="CC91" i="1"/>
  <c r="BZ91" i="1"/>
  <c r="BW91" i="1"/>
  <c r="BT91" i="1"/>
  <c r="BQ91" i="1"/>
  <c r="BN91" i="1"/>
  <c r="BK91" i="1"/>
  <c r="BH91" i="1"/>
  <c r="BE91" i="1"/>
  <c r="BB91" i="1"/>
  <c r="AY91" i="1"/>
  <c r="AV91" i="1"/>
  <c r="AS91" i="1"/>
  <c r="AP91" i="1"/>
  <c r="AM91" i="1"/>
  <c r="AJ91" i="1"/>
  <c r="AG91" i="1"/>
  <c r="AD91" i="1"/>
  <c r="AA91" i="1"/>
  <c r="X91" i="1"/>
  <c r="U91" i="1"/>
  <c r="R91" i="1"/>
  <c r="O91" i="1"/>
  <c r="LB90" i="1"/>
  <c r="LC90" i="1" s="1"/>
  <c r="KZ90" i="1"/>
  <c r="KW90" i="1"/>
  <c r="KT90" i="1"/>
  <c r="KQ90" i="1"/>
  <c r="KN90" i="1"/>
  <c r="KK90" i="1"/>
  <c r="KH90" i="1"/>
  <c r="KE90" i="1"/>
  <c r="KB90" i="1"/>
  <c r="JY90" i="1"/>
  <c r="JV90" i="1"/>
  <c r="JS90" i="1"/>
  <c r="JP90" i="1"/>
  <c r="JM90" i="1"/>
  <c r="JJ90" i="1"/>
  <c r="JG90" i="1"/>
  <c r="JD90" i="1"/>
  <c r="JA90" i="1"/>
  <c r="IX90" i="1"/>
  <c r="IU90" i="1"/>
  <c r="IR90" i="1"/>
  <c r="IO90" i="1"/>
  <c r="IL90" i="1"/>
  <c r="II90" i="1"/>
  <c r="IF90" i="1"/>
  <c r="IC90" i="1"/>
  <c r="HZ90" i="1"/>
  <c r="HW90" i="1"/>
  <c r="HT90" i="1"/>
  <c r="HQ90" i="1"/>
  <c r="HN90" i="1"/>
  <c r="HK90" i="1"/>
  <c r="HH90" i="1"/>
  <c r="HE90" i="1"/>
  <c r="HB90" i="1"/>
  <c r="GY90" i="1"/>
  <c r="GV90" i="1"/>
  <c r="GS90" i="1"/>
  <c r="GP90" i="1"/>
  <c r="GM90" i="1"/>
  <c r="GJ90" i="1"/>
  <c r="GG90" i="1"/>
  <c r="GD90" i="1"/>
  <c r="GA90" i="1"/>
  <c r="FX90" i="1"/>
  <c r="FU90" i="1"/>
  <c r="FR90" i="1"/>
  <c r="FO90" i="1"/>
  <c r="FL90" i="1"/>
  <c r="FI90" i="1"/>
  <c r="FF90" i="1"/>
  <c r="FC90" i="1"/>
  <c r="EZ90" i="1"/>
  <c r="EW90" i="1"/>
  <c r="ET90" i="1"/>
  <c r="EQ90" i="1"/>
  <c r="EN90" i="1"/>
  <c r="EK90" i="1"/>
  <c r="EH90" i="1"/>
  <c r="EE90" i="1"/>
  <c r="EB90" i="1"/>
  <c r="DY90" i="1"/>
  <c r="DV90" i="1"/>
  <c r="DS90" i="1"/>
  <c r="DP90" i="1"/>
  <c r="DM90" i="1"/>
  <c r="DJ90" i="1"/>
  <c r="DD90" i="1"/>
  <c r="DA90" i="1"/>
  <c r="CX90" i="1"/>
  <c r="CU90" i="1"/>
  <c r="CR90" i="1"/>
  <c r="CO90" i="1"/>
  <c r="CL90" i="1"/>
  <c r="CI90" i="1"/>
  <c r="CF90" i="1"/>
  <c r="CC90" i="1"/>
  <c r="BZ90" i="1"/>
  <c r="BW90" i="1"/>
  <c r="BT90" i="1"/>
  <c r="BQ90" i="1"/>
  <c r="BN90" i="1"/>
  <c r="BK90" i="1"/>
  <c r="BH90" i="1"/>
  <c r="BE90" i="1"/>
  <c r="BB90" i="1"/>
  <c r="AY90" i="1"/>
  <c r="AV90" i="1"/>
  <c r="AS90" i="1"/>
  <c r="AP90" i="1"/>
  <c r="AM90" i="1"/>
  <c r="AJ90" i="1"/>
  <c r="AG90" i="1"/>
  <c r="AD90" i="1"/>
  <c r="AA90" i="1"/>
  <c r="X90" i="1"/>
  <c r="U90" i="1"/>
  <c r="R90" i="1"/>
  <c r="O90" i="1"/>
  <c r="LB89" i="1"/>
  <c r="LC89" i="1" s="1"/>
  <c r="KZ89" i="1"/>
  <c r="KW89" i="1"/>
  <c r="KT89" i="1"/>
  <c r="KQ89" i="1"/>
  <c r="KN89" i="1"/>
  <c r="KK89" i="1"/>
  <c r="KH89" i="1"/>
  <c r="KE89" i="1"/>
  <c r="KB89" i="1"/>
  <c r="JY89" i="1"/>
  <c r="JV89" i="1"/>
  <c r="JS89" i="1"/>
  <c r="JP89" i="1"/>
  <c r="JM89" i="1"/>
  <c r="JJ89" i="1"/>
  <c r="JG89" i="1"/>
  <c r="JD89" i="1"/>
  <c r="JA89" i="1"/>
  <c r="IX89" i="1"/>
  <c r="IU89" i="1"/>
  <c r="IR89" i="1"/>
  <c r="IO89" i="1"/>
  <c r="IL89" i="1"/>
  <c r="II89" i="1"/>
  <c r="IF89" i="1"/>
  <c r="IC89" i="1"/>
  <c r="HZ89" i="1"/>
  <c r="HW89" i="1"/>
  <c r="HT89" i="1"/>
  <c r="HQ89" i="1"/>
  <c r="HN89" i="1"/>
  <c r="HK89" i="1"/>
  <c r="HH89" i="1"/>
  <c r="HE89" i="1"/>
  <c r="HB89" i="1"/>
  <c r="GY89" i="1"/>
  <c r="GV89" i="1"/>
  <c r="GS89" i="1"/>
  <c r="GP89" i="1"/>
  <c r="GM89" i="1"/>
  <c r="GJ89" i="1"/>
  <c r="GG89" i="1"/>
  <c r="GD89" i="1"/>
  <c r="GA89" i="1"/>
  <c r="FX89" i="1"/>
  <c r="FU89" i="1"/>
  <c r="FR89" i="1"/>
  <c r="FO89" i="1"/>
  <c r="FL89" i="1"/>
  <c r="FI89" i="1"/>
  <c r="FF89" i="1"/>
  <c r="FC89" i="1"/>
  <c r="EZ89" i="1"/>
  <c r="EW89" i="1"/>
  <c r="ET89" i="1"/>
  <c r="EQ89" i="1"/>
  <c r="EN89" i="1"/>
  <c r="EK89" i="1"/>
  <c r="EH89" i="1"/>
  <c r="EE89" i="1"/>
  <c r="EB89" i="1"/>
  <c r="DY89" i="1"/>
  <c r="DV89" i="1"/>
  <c r="DS89" i="1"/>
  <c r="DP89" i="1"/>
  <c r="DM89" i="1"/>
  <c r="DJ89" i="1"/>
  <c r="DD89" i="1"/>
  <c r="DA89" i="1"/>
  <c r="CX89" i="1"/>
  <c r="CU89" i="1"/>
  <c r="CR89" i="1"/>
  <c r="CO89" i="1"/>
  <c r="CL89" i="1"/>
  <c r="CI89" i="1"/>
  <c r="CF89" i="1"/>
  <c r="CC89" i="1"/>
  <c r="BZ89" i="1"/>
  <c r="BW89" i="1"/>
  <c r="BT89" i="1"/>
  <c r="BQ89" i="1"/>
  <c r="BN89" i="1"/>
  <c r="BK89" i="1"/>
  <c r="BH89" i="1"/>
  <c r="BE89" i="1"/>
  <c r="BB89" i="1"/>
  <c r="AY89" i="1"/>
  <c r="AV89" i="1"/>
  <c r="AS89" i="1"/>
  <c r="AP89" i="1"/>
  <c r="AM89" i="1"/>
  <c r="AJ89" i="1"/>
  <c r="AG89" i="1"/>
  <c r="AD89" i="1"/>
  <c r="AA89" i="1"/>
  <c r="X89" i="1"/>
  <c r="U89" i="1"/>
  <c r="R89" i="1"/>
  <c r="O89" i="1"/>
  <c r="LB88" i="1"/>
  <c r="LC88" i="1" s="1"/>
  <c r="KZ88" i="1"/>
  <c r="KW88" i="1"/>
  <c r="KT88" i="1"/>
  <c r="KQ88" i="1"/>
  <c r="KN88" i="1"/>
  <c r="KK88" i="1"/>
  <c r="KH88" i="1"/>
  <c r="KE88" i="1"/>
  <c r="KB88" i="1"/>
  <c r="JY88" i="1"/>
  <c r="JV88" i="1"/>
  <c r="JS88" i="1"/>
  <c r="JP88" i="1"/>
  <c r="JM88" i="1"/>
  <c r="JJ88" i="1"/>
  <c r="JG88" i="1"/>
  <c r="JD88" i="1"/>
  <c r="JA88" i="1"/>
  <c r="IX88" i="1"/>
  <c r="IU88" i="1"/>
  <c r="IR88" i="1"/>
  <c r="IO88" i="1"/>
  <c r="IL88" i="1"/>
  <c r="II88" i="1"/>
  <c r="IF88" i="1"/>
  <c r="IC88" i="1"/>
  <c r="HZ88" i="1"/>
  <c r="HW88" i="1"/>
  <c r="HT88" i="1"/>
  <c r="HQ88" i="1"/>
  <c r="HN88" i="1"/>
  <c r="HK88" i="1"/>
  <c r="HH88" i="1"/>
  <c r="HE88" i="1"/>
  <c r="HB88" i="1"/>
  <c r="GY88" i="1"/>
  <c r="GV88" i="1"/>
  <c r="GS88" i="1"/>
  <c r="GP88" i="1"/>
  <c r="GM88" i="1"/>
  <c r="GJ88" i="1"/>
  <c r="GG88" i="1"/>
  <c r="GD88" i="1"/>
  <c r="GA88" i="1"/>
  <c r="FX88" i="1"/>
  <c r="FU88" i="1"/>
  <c r="FR88" i="1"/>
  <c r="FO88" i="1"/>
  <c r="FL88" i="1"/>
  <c r="FI88" i="1"/>
  <c r="FF88" i="1"/>
  <c r="FC88" i="1"/>
  <c r="EZ88" i="1"/>
  <c r="EW88" i="1"/>
  <c r="ET88" i="1"/>
  <c r="EQ88" i="1"/>
  <c r="EN88" i="1"/>
  <c r="EK88" i="1"/>
  <c r="EH88" i="1"/>
  <c r="EE88" i="1"/>
  <c r="EB88" i="1"/>
  <c r="DY88" i="1"/>
  <c r="DV88" i="1"/>
  <c r="DS88" i="1"/>
  <c r="DP88" i="1"/>
  <c r="DM88" i="1"/>
  <c r="DJ88" i="1"/>
  <c r="DD88" i="1"/>
  <c r="DA88" i="1"/>
  <c r="CX88" i="1"/>
  <c r="CU88" i="1"/>
  <c r="CR88" i="1"/>
  <c r="CO88" i="1"/>
  <c r="CL88" i="1"/>
  <c r="CI88" i="1"/>
  <c r="CF88" i="1"/>
  <c r="CC88" i="1"/>
  <c r="BZ88" i="1"/>
  <c r="BW88" i="1"/>
  <c r="BT88" i="1"/>
  <c r="BQ88" i="1"/>
  <c r="BN88" i="1"/>
  <c r="BK88" i="1"/>
  <c r="BH88" i="1"/>
  <c r="BE88" i="1"/>
  <c r="BB88" i="1"/>
  <c r="AY88" i="1"/>
  <c r="AV88" i="1"/>
  <c r="AS88" i="1"/>
  <c r="AP88" i="1"/>
  <c r="AM88" i="1"/>
  <c r="AJ88" i="1"/>
  <c r="AG88" i="1"/>
  <c r="AD88" i="1"/>
  <c r="AA88" i="1"/>
  <c r="X88" i="1"/>
  <c r="U88" i="1"/>
  <c r="R88" i="1"/>
  <c r="O88" i="1"/>
  <c r="LB87" i="1"/>
  <c r="KZ87" i="1"/>
  <c r="KW87" i="1"/>
  <c r="KT87" i="1"/>
  <c r="KQ87" i="1"/>
  <c r="KN87" i="1"/>
  <c r="KK87" i="1"/>
  <c r="KH87" i="1"/>
  <c r="KE87" i="1"/>
  <c r="KB87" i="1"/>
  <c r="JY87" i="1"/>
  <c r="JV87" i="1"/>
  <c r="JS87" i="1"/>
  <c r="JP87" i="1"/>
  <c r="JM87" i="1"/>
  <c r="JJ87" i="1"/>
  <c r="JG87" i="1"/>
  <c r="JD87" i="1"/>
  <c r="JA87" i="1"/>
  <c r="IX87" i="1"/>
  <c r="IU87" i="1"/>
  <c r="IR87" i="1"/>
  <c r="IO87" i="1"/>
  <c r="IL87" i="1"/>
  <c r="II87" i="1"/>
  <c r="IF87" i="1"/>
  <c r="IC87" i="1"/>
  <c r="HZ87" i="1"/>
  <c r="HW87" i="1"/>
  <c r="HT87" i="1"/>
  <c r="HQ87" i="1"/>
  <c r="HN87" i="1"/>
  <c r="HK87" i="1"/>
  <c r="HH87" i="1"/>
  <c r="HE87" i="1"/>
  <c r="HB87" i="1"/>
  <c r="GY87" i="1"/>
  <c r="GV87" i="1"/>
  <c r="GS87" i="1"/>
  <c r="GP87" i="1"/>
  <c r="GM87" i="1"/>
  <c r="GJ87" i="1"/>
  <c r="GG87" i="1"/>
  <c r="GD87" i="1"/>
  <c r="GA87" i="1"/>
  <c r="FX87" i="1"/>
  <c r="FU87" i="1"/>
  <c r="FR87" i="1"/>
  <c r="FO87" i="1"/>
  <c r="FL87" i="1"/>
  <c r="FI87" i="1"/>
  <c r="FF87" i="1"/>
  <c r="FC87" i="1"/>
  <c r="EZ87" i="1"/>
  <c r="EW87" i="1"/>
  <c r="ET87" i="1"/>
  <c r="EQ87" i="1"/>
  <c r="EN87" i="1"/>
  <c r="EK87" i="1"/>
  <c r="EH87" i="1"/>
  <c r="EE87" i="1"/>
  <c r="EB87" i="1"/>
  <c r="DY87" i="1"/>
  <c r="DV87" i="1"/>
  <c r="DS87" i="1"/>
  <c r="DP87" i="1"/>
  <c r="DM87" i="1"/>
  <c r="DJ87" i="1"/>
  <c r="DD87" i="1"/>
  <c r="DA87" i="1"/>
  <c r="CX87" i="1"/>
  <c r="CU87" i="1"/>
  <c r="CR87" i="1"/>
  <c r="CO87" i="1"/>
  <c r="CL87" i="1"/>
  <c r="CI87" i="1"/>
  <c r="CF87" i="1"/>
  <c r="CC87" i="1"/>
  <c r="BZ87" i="1"/>
  <c r="BW87" i="1"/>
  <c r="BT87" i="1"/>
  <c r="BQ87" i="1"/>
  <c r="BN87" i="1"/>
  <c r="BK87" i="1"/>
  <c r="BH87" i="1"/>
  <c r="BE87" i="1"/>
  <c r="BB87" i="1"/>
  <c r="AY87" i="1"/>
  <c r="AV87" i="1"/>
  <c r="AS87" i="1"/>
  <c r="AP87" i="1"/>
  <c r="AM87" i="1"/>
  <c r="AJ87" i="1"/>
  <c r="AG87" i="1"/>
  <c r="AD87" i="1"/>
  <c r="AA87" i="1"/>
  <c r="X87" i="1"/>
  <c r="U87" i="1"/>
  <c r="R87" i="1"/>
  <c r="O87" i="1"/>
  <c r="LB98" i="1"/>
  <c r="KZ98" i="1"/>
  <c r="KW98" i="1"/>
  <c r="KT98" i="1"/>
  <c r="KQ98" i="1"/>
  <c r="KN98" i="1"/>
  <c r="KK98" i="1"/>
  <c r="KH98" i="1"/>
  <c r="KE98" i="1"/>
  <c r="KB98" i="1"/>
  <c r="JY98" i="1"/>
  <c r="JV98" i="1"/>
  <c r="JS98" i="1"/>
  <c r="JP98" i="1"/>
  <c r="JM98" i="1"/>
  <c r="JJ98" i="1"/>
  <c r="JG98" i="1"/>
  <c r="JD98" i="1"/>
  <c r="JA98" i="1"/>
  <c r="IX98" i="1"/>
  <c r="IU98" i="1"/>
  <c r="IR98" i="1"/>
  <c r="IO98" i="1"/>
  <c r="IL98" i="1"/>
  <c r="II98" i="1"/>
  <c r="IF98" i="1"/>
  <c r="IC98" i="1"/>
  <c r="HZ98" i="1"/>
  <c r="HW98" i="1"/>
  <c r="HT98" i="1"/>
  <c r="HQ98" i="1"/>
  <c r="HN98" i="1"/>
  <c r="HK98" i="1"/>
  <c r="HH98" i="1"/>
  <c r="HE98" i="1"/>
  <c r="HB98" i="1"/>
  <c r="GY98" i="1"/>
  <c r="GV98" i="1"/>
  <c r="GS98" i="1"/>
  <c r="GP98" i="1"/>
  <c r="GM98" i="1"/>
  <c r="GJ98" i="1"/>
  <c r="GG98" i="1"/>
  <c r="GD98" i="1"/>
  <c r="GA98" i="1"/>
  <c r="FX98" i="1"/>
  <c r="FU98" i="1"/>
  <c r="FR98" i="1"/>
  <c r="FO98" i="1"/>
  <c r="FL98" i="1"/>
  <c r="FI98" i="1"/>
  <c r="FF98" i="1"/>
  <c r="FC98" i="1"/>
  <c r="EZ98" i="1"/>
  <c r="EW98" i="1"/>
  <c r="ET98" i="1"/>
  <c r="EQ98" i="1"/>
  <c r="EN98" i="1"/>
  <c r="EK98" i="1"/>
  <c r="EH98" i="1"/>
  <c r="EE98" i="1"/>
  <c r="EB98" i="1"/>
  <c r="DY98" i="1"/>
  <c r="DV98" i="1"/>
  <c r="DS98" i="1"/>
  <c r="DP98" i="1"/>
  <c r="DM98" i="1"/>
  <c r="DJ98" i="1"/>
  <c r="DD98" i="1"/>
  <c r="DA98" i="1"/>
  <c r="CX98" i="1"/>
  <c r="CU98" i="1"/>
  <c r="CR98" i="1"/>
  <c r="CO98" i="1"/>
  <c r="CL98" i="1"/>
  <c r="CI98" i="1"/>
  <c r="CF98" i="1"/>
  <c r="CC98" i="1"/>
  <c r="BZ98" i="1"/>
  <c r="BW98" i="1"/>
  <c r="BT98" i="1"/>
  <c r="BQ98" i="1"/>
  <c r="BN98" i="1"/>
  <c r="BK98" i="1"/>
  <c r="BH98" i="1"/>
  <c r="BE98" i="1"/>
  <c r="BB98" i="1"/>
  <c r="AY98" i="1"/>
  <c r="AV98" i="1"/>
  <c r="AS98" i="1"/>
  <c r="AP98" i="1"/>
  <c r="AM98" i="1"/>
  <c r="AJ98" i="1"/>
  <c r="AG98" i="1"/>
  <c r="AD98" i="1"/>
  <c r="AA98" i="1"/>
  <c r="X98" i="1"/>
  <c r="U98" i="1"/>
  <c r="R98" i="1"/>
  <c r="O98" i="1"/>
  <c r="LB97" i="1"/>
  <c r="LC97" i="1" s="1"/>
  <c r="KZ97" i="1"/>
  <c r="KW97" i="1"/>
  <c r="KT97" i="1"/>
  <c r="KQ97" i="1"/>
  <c r="KN97" i="1"/>
  <c r="KK97" i="1"/>
  <c r="KH97" i="1"/>
  <c r="KE97" i="1"/>
  <c r="KB97" i="1"/>
  <c r="JY97" i="1"/>
  <c r="JV97" i="1"/>
  <c r="JS97" i="1"/>
  <c r="JP97" i="1"/>
  <c r="JM97" i="1"/>
  <c r="JJ97" i="1"/>
  <c r="JG97" i="1"/>
  <c r="JD97" i="1"/>
  <c r="JA97" i="1"/>
  <c r="IX97" i="1"/>
  <c r="IU97" i="1"/>
  <c r="IR97" i="1"/>
  <c r="IO97" i="1"/>
  <c r="IL97" i="1"/>
  <c r="II97" i="1"/>
  <c r="IF97" i="1"/>
  <c r="IC97" i="1"/>
  <c r="HZ97" i="1"/>
  <c r="HW97" i="1"/>
  <c r="HT97" i="1"/>
  <c r="HQ97" i="1"/>
  <c r="HN97" i="1"/>
  <c r="HK97" i="1"/>
  <c r="HH97" i="1"/>
  <c r="HE97" i="1"/>
  <c r="HB97" i="1"/>
  <c r="GY97" i="1"/>
  <c r="GV97" i="1"/>
  <c r="GS97" i="1"/>
  <c r="GP97" i="1"/>
  <c r="GM97" i="1"/>
  <c r="GJ97" i="1"/>
  <c r="GG97" i="1"/>
  <c r="GD97" i="1"/>
  <c r="GA97" i="1"/>
  <c r="FX97" i="1"/>
  <c r="FU97" i="1"/>
  <c r="FR97" i="1"/>
  <c r="FO97" i="1"/>
  <c r="FL97" i="1"/>
  <c r="FI97" i="1"/>
  <c r="FF97" i="1"/>
  <c r="FC97" i="1"/>
  <c r="EZ97" i="1"/>
  <c r="EW97" i="1"/>
  <c r="ET97" i="1"/>
  <c r="EQ97" i="1"/>
  <c r="EN97" i="1"/>
  <c r="EK97" i="1"/>
  <c r="EH97" i="1"/>
  <c r="EE97" i="1"/>
  <c r="EB97" i="1"/>
  <c r="DY97" i="1"/>
  <c r="DV97" i="1"/>
  <c r="DS97" i="1"/>
  <c r="DP97" i="1"/>
  <c r="DM97" i="1"/>
  <c r="DJ97" i="1"/>
  <c r="DD97" i="1"/>
  <c r="DA97" i="1"/>
  <c r="CX97" i="1"/>
  <c r="CU97" i="1"/>
  <c r="CR97" i="1"/>
  <c r="CO97" i="1"/>
  <c r="CL97" i="1"/>
  <c r="CI97" i="1"/>
  <c r="CF97" i="1"/>
  <c r="CC97" i="1"/>
  <c r="BZ97" i="1"/>
  <c r="BW97" i="1"/>
  <c r="BT97" i="1"/>
  <c r="BQ97" i="1"/>
  <c r="BN97" i="1"/>
  <c r="BK97" i="1"/>
  <c r="BH97" i="1"/>
  <c r="BE97" i="1"/>
  <c r="BB97" i="1"/>
  <c r="AY97" i="1"/>
  <c r="AV97" i="1"/>
  <c r="AS97" i="1"/>
  <c r="AP97" i="1"/>
  <c r="AM97" i="1"/>
  <c r="AJ97" i="1"/>
  <c r="AG97" i="1"/>
  <c r="AD97" i="1"/>
  <c r="AA97" i="1"/>
  <c r="X97" i="1"/>
  <c r="U97" i="1"/>
  <c r="R97" i="1"/>
  <c r="O97" i="1"/>
  <c r="LB96" i="1"/>
  <c r="LC96" i="1" s="1"/>
  <c r="KZ96" i="1"/>
  <c r="KW96" i="1"/>
  <c r="KT96" i="1"/>
  <c r="KQ96" i="1"/>
  <c r="KN96" i="1"/>
  <c r="KK96" i="1"/>
  <c r="KH96" i="1"/>
  <c r="KE96" i="1"/>
  <c r="KB96" i="1"/>
  <c r="JY96" i="1"/>
  <c r="JV96" i="1"/>
  <c r="JS96" i="1"/>
  <c r="JP96" i="1"/>
  <c r="JM96" i="1"/>
  <c r="JJ96" i="1"/>
  <c r="JG96" i="1"/>
  <c r="JD96" i="1"/>
  <c r="JA96" i="1"/>
  <c r="IX96" i="1"/>
  <c r="IU96" i="1"/>
  <c r="IR96" i="1"/>
  <c r="IO96" i="1"/>
  <c r="IL96" i="1"/>
  <c r="II96" i="1"/>
  <c r="IF96" i="1"/>
  <c r="IC96" i="1"/>
  <c r="HZ96" i="1"/>
  <c r="HW96" i="1"/>
  <c r="HT96" i="1"/>
  <c r="HQ96" i="1"/>
  <c r="HN96" i="1"/>
  <c r="HK96" i="1"/>
  <c r="HH96" i="1"/>
  <c r="HE96" i="1"/>
  <c r="HB96" i="1"/>
  <c r="GY96" i="1"/>
  <c r="GV96" i="1"/>
  <c r="GS96" i="1"/>
  <c r="GP96" i="1"/>
  <c r="GM96" i="1"/>
  <c r="GJ96" i="1"/>
  <c r="GG96" i="1"/>
  <c r="GD96" i="1"/>
  <c r="GA96" i="1"/>
  <c r="FX96" i="1"/>
  <c r="FU96" i="1"/>
  <c r="FR96" i="1"/>
  <c r="FO96" i="1"/>
  <c r="FL96" i="1"/>
  <c r="FI96" i="1"/>
  <c r="FF96" i="1"/>
  <c r="FC96" i="1"/>
  <c r="EZ96" i="1"/>
  <c r="EW96" i="1"/>
  <c r="ET96" i="1"/>
  <c r="EQ96" i="1"/>
  <c r="EN96" i="1"/>
  <c r="EK96" i="1"/>
  <c r="EH96" i="1"/>
  <c r="EE96" i="1"/>
  <c r="EB96" i="1"/>
  <c r="DY96" i="1"/>
  <c r="DV96" i="1"/>
  <c r="DS96" i="1"/>
  <c r="DP96" i="1"/>
  <c r="DM96" i="1"/>
  <c r="DJ96" i="1"/>
  <c r="DD96" i="1"/>
  <c r="DA96" i="1"/>
  <c r="CX96" i="1"/>
  <c r="CU96" i="1"/>
  <c r="CR96" i="1"/>
  <c r="CO96" i="1"/>
  <c r="CL96" i="1"/>
  <c r="CI96" i="1"/>
  <c r="CF96" i="1"/>
  <c r="CC96" i="1"/>
  <c r="BZ96" i="1"/>
  <c r="BW96" i="1"/>
  <c r="BT96" i="1"/>
  <c r="BQ96" i="1"/>
  <c r="BN96" i="1"/>
  <c r="BK96" i="1"/>
  <c r="BH96" i="1"/>
  <c r="BE96" i="1"/>
  <c r="BB96" i="1"/>
  <c r="AY96" i="1"/>
  <c r="AV96" i="1"/>
  <c r="AS96" i="1"/>
  <c r="AP96" i="1"/>
  <c r="AM96" i="1"/>
  <c r="AJ96" i="1"/>
  <c r="AG96" i="1"/>
  <c r="AD96" i="1"/>
  <c r="AA96" i="1"/>
  <c r="X96" i="1"/>
  <c r="U96" i="1"/>
  <c r="R96" i="1"/>
  <c r="O96" i="1"/>
  <c r="LB95" i="1"/>
  <c r="LC95" i="1" s="1"/>
  <c r="KZ95" i="1"/>
  <c r="KW95" i="1"/>
  <c r="KT95" i="1"/>
  <c r="KQ95" i="1"/>
  <c r="KN95" i="1"/>
  <c r="KK95" i="1"/>
  <c r="KH95" i="1"/>
  <c r="KE95" i="1"/>
  <c r="KB95" i="1"/>
  <c r="JY95" i="1"/>
  <c r="JV95" i="1"/>
  <c r="JS95" i="1"/>
  <c r="JP95" i="1"/>
  <c r="JM95" i="1"/>
  <c r="JJ95" i="1"/>
  <c r="JG95" i="1"/>
  <c r="JD95" i="1"/>
  <c r="JA95" i="1"/>
  <c r="IX95" i="1"/>
  <c r="IU95" i="1"/>
  <c r="IR95" i="1"/>
  <c r="IO95" i="1"/>
  <c r="IL95" i="1"/>
  <c r="II95" i="1"/>
  <c r="IF95" i="1"/>
  <c r="IC95" i="1"/>
  <c r="HZ95" i="1"/>
  <c r="HW95" i="1"/>
  <c r="HT95" i="1"/>
  <c r="HQ95" i="1"/>
  <c r="HN95" i="1"/>
  <c r="HK95" i="1"/>
  <c r="HH95" i="1"/>
  <c r="HE95" i="1"/>
  <c r="HB95" i="1"/>
  <c r="GY95" i="1"/>
  <c r="GV95" i="1"/>
  <c r="GS95" i="1"/>
  <c r="GP95" i="1"/>
  <c r="GM95" i="1"/>
  <c r="GJ95" i="1"/>
  <c r="GG95" i="1"/>
  <c r="GD95" i="1"/>
  <c r="GA95" i="1"/>
  <c r="FX95" i="1"/>
  <c r="FU95" i="1"/>
  <c r="FR95" i="1"/>
  <c r="FO95" i="1"/>
  <c r="FL95" i="1"/>
  <c r="FI95" i="1"/>
  <c r="FF95" i="1"/>
  <c r="FC95" i="1"/>
  <c r="EZ95" i="1"/>
  <c r="EW95" i="1"/>
  <c r="ET95" i="1"/>
  <c r="EQ95" i="1"/>
  <c r="EN95" i="1"/>
  <c r="EK95" i="1"/>
  <c r="EH95" i="1"/>
  <c r="EE95" i="1"/>
  <c r="EB95" i="1"/>
  <c r="DY95" i="1"/>
  <c r="DV95" i="1"/>
  <c r="DS95" i="1"/>
  <c r="DP95" i="1"/>
  <c r="DM95" i="1"/>
  <c r="DJ95" i="1"/>
  <c r="DD95" i="1"/>
  <c r="DA95" i="1"/>
  <c r="CX95" i="1"/>
  <c r="CU95" i="1"/>
  <c r="CR95" i="1"/>
  <c r="CO95" i="1"/>
  <c r="CL95" i="1"/>
  <c r="CI95" i="1"/>
  <c r="CF95" i="1"/>
  <c r="CC95" i="1"/>
  <c r="BZ95" i="1"/>
  <c r="BW95" i="1"/>
  <c r="BT95" i="1"/>
  <c r="BQ95" i="1"/>
  <c r="BN95" i="1"/>
  <c r="BK95" i="1"/>
  <c r="BH95" i="1"/>
  <c r="BE95" i="1"/>
  <c r="BB95" i="1"/>
  <c r="AY95" i="1"/>
  <c r="AV95" i="1"/>
  <c r="AS95" i="1"/>
  <c r="AP95" i="1"/>
  <c r="AM95" i="1"/>
  <c r="AJ95" i="1"/>
  <c r="AG95" i="1"/>
  <c r="AD95" i="1"/>
  <c r="AA95" i="1"/>
  <c r="X95" i="1"/>
  <c r="U95" i="1"/>
  <c r="R95" i="1"/>
  <c r="O95" i="1"/>
  <c r="LB86" i="1"/>
  <c r="LB85" i="1"/>
  <c r="LB84" i="1"/>
  <c r="LB81" i="1"/>
  <c r="LB80" i="1"/>
  <c r="LB79" i="1"/>
  <c r="LB78" i="1"/>
  <c r="LB77" i="1"/>
  <c r="LB76" i="1"/>
  <c r="LB75" i="1"/>
  <c r="LB74" i="1"/>
  <c r="LB73" i="1"/>
  <c r="LB72" i="1"/>
  <c r="LB71" i="1"/>
  <c r="LB70" i="1"/>
  <c r="LB69" i="1"/>
  <c r="LB65" i="1"/>
  <c r="LB64" i="1"/>
  <c r="LB63" i="1"/>
  <c r="LB62" i="1"/>
  <c r="LB25" i="1"/>
  <c r="LB24" i="1"/>
  <c r="LB23" i="1"/>
  <c r="LB22" i="1"/>
  <c r="LB21" i="1"/>
  <c r="LB20" i="1"/>
  <c r="LB19" i="1"/>
  <c r="LB18" i="1"/>
  <c r="LB17" i="1"/>
  <c r="LB103" i="1"/>
  <c r="LB102" i="1"/>
  <c r="LB101" i="1"/>
  <c r="LB100" i="1"/>
  <c r="LB99" i="1"/>
  <c r="LB83" i="1"/>
  <c r="LB82" i="1"/>
  <c r="LB68" i="1"/>
  <c r="LB67" i="1"/>
  <c r="LB66" i="1"/>
  <c r="LB61" i="1"/>
  <c r="LB60" i="1"/>
  <c r="LB59" i="1"/>
  <c r="LB58" i="1"/>
  <c r="LB57" i="1"/>
  <c r="LB56" i="1"/>
  <c r="LB55" i="1"/>
  <c r="LB54" i="1"/>
  <c r="LB53" i="1"/>
  <c r="LB52" i="1"/>
  <c r="LB51" i="1"/>
  <c r="LB50" i="1"/>
  <c r="LB49" i="1"/>
  <c r="LB48" i="1"/>
  <c r="LB47" i="1"/>
  <c r="LB46" i="1"/>
  <c r="LB45" i="1"/>
  <c r="LB44" i="1"/>
  <c r="LB43" i="1"/>
  <c r="LB42" i="1"/>
  <c r="LB41" i="1"/>
  <c r="LB40" i="1"/>
  <c r="LB39" i="1"/>
  <c r="LB38" i="1"/>
  <c r="LB37" i="1"/>
  <c r="LB36" i="1"/>
  <c r="LB35" i="1"/>
  <c r="LB34" i="1"/>
  <c r="LB33" i="1"/>
  <c r="LB32" i="1"/>
  <c r="LB31" i="1"/>
  <c r="LB30" i="1"/>
  <c r="LB29" i="1"/>
  <c r="LB28" i="1"/>
  <c r="LB27" i="1"/>
  <c r="LB26" i="1"/>
  <c r="LB16" i="1"/>
  <c r="LB15" i="1"/>
  <c r="LB14" i="1"/>
  <c r="LB13" i="1"/>
  <c r="LB12" i="1"/>
  <c r="LB11" i="1"/>
  <c r="LB10" i="1"/>
  <c r="LB9" i="1"/>
  <c r="LB8" i="1"/>
  <c r="LB7" i="1"/>
  <c r="LB6" i="1"/>
  <c r="KN103" i="1"/>
  <c r="KK103" i="1"/>
  <c r="KH103" i="1"/>
  <c r="KE103" i="1"/>
  <c r="KB103" i="1"/>
  <c r="JY103" i="1"/>
  <c r="JV103" i="1"/>
  <c r="JS103" i="1"/>
  <c r="JP103" i="1"/>
  <c r="JM103" i="1"/>
  <c r="JJ103" i="1"/>
  <c r="KN102" i="1"/>
  <c r="KK102" i="1"/>
  <c r="KH102" i="1"/>
  <c r="KE102" i="1"/>
  <c r="KB102" i="1"/>
  <c r="JY102" i="1"/>
  <c r="JV102" i="1"/>
  <c r="JS102" i="1"/>
  <c r="JP102" i="1"/>
  <c r="JM102" i="1"/>
  <c r="JJ102" i="1"/>
  <c r="KN101" i="1"/>
  <c r="KK101" i="1"/>
  <c r="KH101" i="1"/>
  <c r="KE101" i="1"/>
  <c r="KB101" i="1"/>
  <c r="JY101" i="1"/>
  <c r="JV101" i="1"/>
  <c r="JS101" i="1"/>
  <c r="JP101" i="1"/>
  <c r="JM101" i="1"/>
  <c r="JJ101" i="1"/>
  <c r="KN100" i="1"/>
  <c r="KK100" i="1"/>
  <c r="KH100" i="1"/>
  <c r="KE100" i="1"/>
  <c r="KB100" i="1"/>
  <c r="JY100" i="1"/>
  <c r="JV100" i="1"/>
  <c r="JS100" i="1"/>
  <c r="JP100" i="1"/>
  <c r="JM100" i="1"/>
  <c r="JJ100" i="1"/>
  <c r="KN99" i="1"/>
  <c r="KK99" i="1"/>
  <c r="KH99" i="1"/>
  <c r="KE99" i="1"/>
  <c r="KB99" i="1"/>
  <c r="JY99" i="1"/>
  <c r="JV99" i="1"/>
  <c r="JS99" i="1"/>
  <c r="JP99" i="1"/>
  <c r="JM99" i="1"/>
  <c r="JJ99" i="1"/>
  <c r="KN86" i="1"/>
  <c r="KK86" i="1"/>
  <c r="KH86" i="1"/>
  <c r="KE86" i="1"/>
  <c r="KB86" i="1"/>
  <c r="JY86" i="1"/>
  <c r="JV86" i="1"/>
  <c r="JS86" i="1"/>
  <c r="JP86" i="1"/>
  <c r="JM86" i="1"/>
  <c r="JJ86" i="1"/>
  <c r="KN85" i="1"/>
  <c r="KK85" i="1"/>
  <c r="KH85" i="1"/>
  <c r="KE85" i="1"/>
  <c r="KB85" i="1"/>
  <c r="JY85" i="1"/>
  <c r="JV85" i="1"/>
  <c r="JS85" i="1"/>
  <c r="JP85" i="1"/>
  <c r="JM85" i="1"/>
  <c r="JJ85" i="1"/>
  <c r="KN84" i="1"/>
  <c r="KK84" i="1"/>
  <c r="KH84" i="1"/>
  <c r="KE84" i="1"/>
  <c r="KB84" i="1"/>
  <c r="JY84" i="1"/>
  <c r="JV84" i="1"/>
  <c r="JS84" i="1"/>
  <c r="JP84" i="1"/>
  <c r="JM84" i="1"/>
  <c r="JJ84" i="1"/>
  <c r="KN83" i="1"/>
  <c r="KK83" i="1"/>
  <c r="KH83" i="1"/>
  <c r="KE83" i="1"/>
  <c r="KB83" i="1"/>
  <c r="JY83" i="1"/>
  <c r="JV83" i="1"/>
  <c r="JS83" i="1"/>
  <c r="JP83" i="1"/>
  <c r="JM83" i="1"/>
  <c r="JJ83" i="1"/>
  <c r="KN82" i="1"/>
  <c r="KK82" i="1"/>
  <c r="KH82" i="1"/>
  <c r="KE82" i="1"/>
  <c r="KB82" i="1"/>
  <c r="JY82" i="1"/>
  <c r="JV82" i="1"/>
  <c r="JS82" i="1"/>
  <c r="JP82" i="1"/>
  <c r="JM82" i="1"/>
  <c r="JJ82" i="1"/>
  <c r="KN81" i="1"/>
  <c r="KK81" i="1"/>
  <c r="KH81" i="1"/>
  <c r="KE81" i="1"/>
  <c r="KB81" i="1"/>
  <c r="JY81" i="1"/>
  <c r="JV81" i="1"/>
  <c r="JS81" i="1"/>
  <c r="JP81" i="1"/>
  <c r="JM81" i="1"/>
  <c r="JJ81" i="1"/>
  <c r="KN80" i="1"/>
  <c r="KK80" i="1"/>
  <c r="KH80" i="1"/>
  <c r="KE80" i="1"/>
  <c r="KB80" i="1"/>
  <c r="JY80" i="1"/>
  <c r="JV80" i="1"/>
  <c r="JS80" i="1"/>
  <c r="JP80" i="1"/>
  <c r="JM80" i="1"/>
  <c r="JJ80" i="1"/>
  <c r="KN79" i="1"/>
  <c r="KK79" i="1"/>
  <c r="KH79" i="1"/>
  <c r="KE79" i="1"/>
  <c r="KB79" i="1"/>
  <c r="JY79" i="1"/>
  <c r="JV79" i="1"/>
  <c r="JS79" i="1"/>
  <c r="JP79" i="1"/>
  <c r="JM79" i="1"/>
  <c r="JJ79" i="1"/>
  <c r="KN78" i="1"/>
  <c r="KK78" i="1"/>
  <c r="KH78" i="1"/>
  <c r="KE78" i="1"/>
  <c r="KB78" i="1"/>
  <c r="JY78" i="1"/>
  <c r="JV78" i="1"/>
  <c r="JS78" i="1"/>
  <c r="JP78" i="1"/>
  <c r="JM78" i="1"/>
  <c r="JJ78" i="1"/>
  <c r="KN77" i="1"/>
  <c r="KK77" i="1"/>
  <c r="KH77" i="1"/>
  <c r="KE77" i="1"/>
  <c r="KB77" i="1"/>
  <c r="JY77" i="1"/>
  <c r="JV77" i="1"/>
  <c r="JS77" i="1"/>
  <c r="JP77" i="1"/>
  <c r="JM77" i="1"/>
  <c r="JJ77" i="1"/>
  <c r="KN76" i="1"/>
  <c r="KK76" i="1"/>
  <c r="KH76" i="1"/>
  <c r="KE76" i="1"/>
  <c r="KB76" i="1"/>
  <c r="JY76" i="1"/>
  <c r="JV76" i="1"/>
  <c r="JS76" i="1"/>
  <c r="JP76" i="1"/>
  <c r="JM76" i="1"/>
  <c r="JJ76" i="1"/>
  <c r="KN75" i="1"/>
  <c r="KK75" i="1"/>
  <c r="KH75" i="1"/>
  <c r="KE75" i="1"/>
  <c r="KB75" i="1"/>
  <c r="JY75" i="1"/>
  <c r="JV75" i="1"/>
  <c r="JS75" i="1"/>
  <c r="JP75" i="1"/>
  <c r="JM75" i="1"/>
  <c r="JJ75" i="1"/>
  <c r="KN74" i="1"/>
  <c r="KK74" i="1"/>
  <c r="KH74" i="1"/>
  <c r="KE74" i="1"/>
  <c r="KB74" i="1"/>
  <c r="JY74" i="1"/>
  <c r="JV74" i="1"/>
  <c r="JS74" i="1"/>
  <c r="JP74" i="1"/>
  <c r="JM74" i="1"/>
  <c r="JJ74" i="1"/>
  <c r="KN73" i="1"/>
  <c r="KK73" i="1"/>
  <c r="KH73" i="1"/>
  <c r="KE73" i="1"/>
  <c r="KB73" i="1"/>
  <c r="JY73" i="1"/>
  <c r="JV73" i="1"/>
  <c r="JS73" i="1"/>
  <c r="JP73" i="1"/>
  <c r="JM73" i="1"/>
  <c r="JJ73" i="1"/>
  <c r="KN72" i="1"/>
  <c r="KK72" i="1"/>
  <c r="KH72" i="1"/>
  <c r="KE72" i="1"/>
  <c r="KB72" i="1"/>
  <c r="JY72" i="1"/>
  <c r="JV72" i="1"/>
  <c r="JS72" i="1"/>
  <c r="JP72" i="1"/>
  <c r="JM72" i="1"/>
  <c r="JJ72" i="1"/>
  <c r="KN71" i="1"/>
  <c r="KK71" i="1"/>
  <c r="KH71" i="1"/>
  <c r="KE71" i="1"/>
  <c r="KB71" i="1"/>
  <c r="JY71" i="1"/>
  <c r="JV71" i="1"/>
  <c r="JS71" i="1"/>
  <c r="JP71" i="1"/>
  <c r="JM71" i="1"/>
  <c r="JJ71" i="1"/>
  <c r="KN70" i="1"/>
  <c r="KK70" i="1"/>
  <c r="KH70" i="1"/>
  <c r="KE70" i="1"/>
  <c r="KB70" i="1"/>
  <c r="JY70" i="1"/>
  <c r="JV70" i="1"/>
  <c r="JS70" i="1"/>
  <c r="JP70" i="1"/>
  <c r="JM70" i="1"/>
  <c r="JJ70" i="1"/>
  <c r="KN69" i="1"/>
  <c r="KK69" i="1"/>
  <c r="KH69" i="1"/>
  <c r="KE69" i="1"/>
  <c r="KB69" i="1"/>
  <c r="JY69" i="1"/>
  <c r="JV69" i="1"/>
  <c r="JS69" i="1"/>
  <c r="JP69" i="1"/>
  <c r="JM69" i="1"/>
  <c r="JJ69" i="1"/>
  <c r="KN68" i="1"/>
  <c r="KK68" i="1"/>
  <c r="KH68" i="1"/>
  <c r="KE68" i="1"/>
  <c r="KB68" i="1"/>
  <c r="JY68" i="1"/>
  <c r="JV68" i="1"/>
  <c r="JS68" i="1"/>
  <c r="JP68" i="1"/>
  <c r="JM68" i="1"/>
  <c r="JJ68" i="1"/>
  <c r="KN67" i="1"/>
  <c r="KK67" i="1"/>
  <c r="KH67" i="1"/>
  <c r="KE67" i="1"/>
  <c r="KB67" i="1"/>
  <c r="JY67" i="1"/>
  <c r="JV67" i="1"/>
  <c r="JS67" i="1"/>
  <c r="JP67" i="1"/>
  <c r="JM67" i="1"/>
  <c r="JJ67" i="1"/>
  <c r="KN66" i="1"/>
  <c r="KK66" i="1"/>
  <c r="KH66" i="1"/>
  <c r="KE66" i="1"/>
  <c r="KB66" i="1"/>
  <c r="JY66" i="1"/>
  <c r="JV66" i="1"/>
  <c r="JS66" i="1"/>
  <c r="JP66" i="1"/>
  <c r="JM66" i="1"/>
  <c r="JJ66" i="1"/>
  <c r="KN65" i="1"/>
  <c r="KK65" i="1"/>
  <c r="KH65" i="1"/>
  <c r="KE65" i="1"/>
  <c r="KB65" i="1"/>
  <c r="JY65" i="1"/>
  <c r="JV65" i="1"/>
  <c r="JS65" i="1"/>
  <c r="JP65" i="1"/>
  <c r="JM65" i="1"/>
  <c r="JJ65" i="1"/>
  <c r="KN64" i="1"/>
  <c r="KK64" i="1"/>
  <c r="KH64" i="1"/>
  <c r="KE64" i="1"/>
  <c r="KB64" i="1"/>
  <c r="JY64" i="1"/>
  <c r="JV64" i="1"/>
  <c r="JS64" i="1"/>
  <c r="JP64" i="1"/>
  <c r="JM64" i="1"/>
  <c r="JJ64" i="1"/>
  <c r="KN63" i="1"/>
  <c r="KK63" i="1"/>
  <c r="KH63" i="1"/>
  <c r="KE63" i="1"/>
  <c r="KB63" i="1"/>
  <c r="JY63" i="1"/>
  <c r="JV63" i="1"/>
  <c r="JS63" i="1"/>
  <c r="JP63" i="1"/>
  <c r="JM63" i="1"/>
  <c r="JJ63" i="1"/>
  <c r="KN62" i="1"/>
  <c r="KK62" i="1"/>
  <c r="KH62" i="1"/>
  <c r="KE62" i="1"/>
  <c r="KB62" i="1"/>
  <c r="JY62" i="1"/>
  <c r="JV62" i="1"/>
  <c r="JS62" i="1"/>
  <c r="JP62" i="1"/>
  <c r="JM62" i="1"/>
  <c r="JJ62" i="1"/>
  <c r="KN61" i="1"/>
  <c r="KK61" i="1"/>
  <c r="KH61" i="1"/>
  <c r="KE61" i="1"/>
  <c r="KB61" i="1"/>
  <c r="JY61" i="1"/>
  <c r="JV61" i="1"/>
  <c r="JS61" i="1"/>
  <c r="JP61" i="1"/>
  <c r="JM61" i="1"/>
  <c r="JJ61" i="1"/>
  <c r="KN60" i="1"/>
  <c r="KK60" i="1"/>
  <c r="KH60" i="1"/>
  <c r="KE60" i="1"/>
  <c r="KB60" i="1"/>
  <c r="JY60" i="1"/>
  <c r="JV60" i="1"/>
  <c r="JS60" i="1"/>
  <c r="JP60" i="1"/>
  <c r="JM60" i="1"/>
  <c r="JJ60" i="1"/>
  <c r="KN59" i="1"/>
  <c r="KK59" i="1"/>
  <c r="KH59" i="1"/>
  <c r="KE59" i="1"/>
  <c r="KB59" i="1"/>
  <c r="JY59" i="1"/>
  <c r="JV59" i="1"/>
  <c r="JS59" i="1"/>
  <c r="JP59" i="1"/>
  <c r="JM59" i="1"/>
  <c r="JJ59" i="1"/>
  <c r="KN58" i="1"/>
  <c r="KK58" i="1"/>
  <c r="KH58" i="1"/>
  <c r="KE58" i="1"/>
  <c r="KB58" i="1"/>
  <c r="JY58" i="1"/>
  <c r="JV58" i="1"/>
  <c r="JS58" i="1"/>
  <c r="JP58" i="1"/>
  <c r="JM58" i="1"/>
  <c r="JJ58" i="1"/>
  <c r="KN57" i="1"/>
  <c r="KK57" i="1"/>
  <c r="KH57" i="1"/>
  <c r="KE57" i="1"/>
  <c r="KB57" i="1"/>
  <c r="JY57" i="1"/>
  <c r="JV57" i="1"/>
  <c r="JS57" i="1"/>
  <c r="JP57" i="1"/>
  <c r="JM57" i="1"/>
  <c r="JJ57" i="1"/>
  <c r="KN56" i="1"/>
  <c r="KK56" i="1"/>
  <c r="KH56" i="1"/>
  <c r="KE56" i="1"/>
  <c r="KB56" i="1"/>
  <c r="JY56" i="1"/>
  <c r="JV56" i="1"/>
  <c r="JS56" i="1"/>
  <c r="JP56" i="1"/>
  <c r="JM56" i="1"/>
  <c r="JJ56" i="1"/>
  <c r="KN55" i="1"/>
  <c r="KK55" i="1"/>
  <c r="KH55" i="1"/>
  <c r="KE55" i="1"/>
  <c r="KB55" i="1"/>
  <c r="JY55" i="1"/>
  <c r="JV55" i="1"/>
  <c r="JS55" i="1"/>
  <c r="JP55" i="1"/>
  <c r="JM55" i="1"/>
  <c r="JJ55" i="1"/>
  <c r="KN54" i="1"/>
  <c r="KK54" i="1"/>
  <c r="KH54" i="1"/>
  <c r="KE54" i="1"/>
  <c r="KB54" i="1"/>
  <c r="JY54" i="1"/>
  <c r="JV54" i="1"/>
  <c r="JS54" i="1"/>
  <c r="JP54" i="1"/>
  <c r="JM54" i="1"/>
  <c r="JJ54" i="1"/>
  <c r="KN53" i="1"/>
  <c r="KK53" i="1"/>
  <c r="KH53" i="1"/>
  <c r="KE53" i="1"/>
  <c r="KB53" i="1"/>
  <c r="JY53" i="1"/>
  <c r="JV53" i="1"/>
  <c r="JS53" i="1"/>
  <c r="JP53" i="1"/>
  <c r="JM53" i="1"/>
  <c r="JJ53" i="1"/>
  <c r="KN52" i="1"/>
  <c r="KK52" i="1"/>
  <c r="KH52" i="1"/>
  <c r="KE52" i="1"/>
  <c r="KB52" i="1"/>
  <c r="JY52" i="1"/>
  <c r="JV52" i="1"/>
  <c r="JS52" i="1"/>
  <c r="JP52" i="1"/>
  <c r="JM52" i="1"/>
  <c r="JJ52" i="1"/>
  <c r="KN51" i="1"/>
  <c r="KK51" i="1"/>
  <c r="KH51" i="1"/>
  <c r="KE51" i="1"/>
  <c r="KB51" i="1"/>
  <c r="JY51" i="1"/>
  <c r="JV51" i="1"/>
  <c r="JS51" i="1"/>
  <c r="JP51" i="1"/>
  <c r="JM51" i="1"/>
  <c r="JJ51" i="1"/>
  <c r="KN50" i="1"/>
  <c r="KK50" i="1"/>
  <c r="KH50" i="1"/>
  <c r="KE50" i="1"/>
  <c r="KB50" i="1"/>
  <c r="JY50" i="1"/>
  <c r="JV50" i="1"/>
  <c r="JS50" i="1"/>
  <c r="JP50" i="1"/>
  <c r="JM50" i="1"/>
  <c r="JJ50" i="1"/>
  <c r="KN49" i="1"/>
  <c r="KK49" i="1"/>
  <c r="KH49" i="1"/>
  <c r="KE49" i="1"/>
  <c r="KB49" i="1"/>
  <c r="JY49" i="1"/>
  <c r="JV49" i="1"/>
  <c r="JS49" i="1"/>
  <c r="JP49" i="1"/>
  <c r="JM49" i="1"/>
  <c r="JJ49" i="1"/>
  <c r="KN48" i="1"/>
  <c r="KK48" i="1"/>
  <c r="KH48" i="1"/>
  <c r="KE48" i="1"/>
  <c r="KB48" i="1"/>
  <c r="JY48" i="1"/>
  <c r="JV48" i="1"/>
  <c r="JS48" i="1"/>
  <c r="JP48" i="1"/>
  <c r="JM48" i="1"/>
  <c r="JJ48" i="1"/>
  <c r="KN47" i="1"/>
  <c r="KK47" i="1"/>
  <c r="KH47" i="1"/>
  <c r="KE47" i="1"/>
  <c r="KB47" i="1"/>
  <c r="JY47" i="1"/>
  <c r="JV47" i="1"/>
  <c r="JS47" i="1"/>
  <c r="JP47" i="1"/>
  <c r="JM47" i="1"/>
  <c r="JJ47" i="1"/>
  <c r="KN46" i="1"/>
  <c r="KK46" i="1"/>
  <c r="KH46" i="1"/>
  <c r="KE46" i="1"/>
  <c r="KB46" i="1"/>
  <c r="JY46" i="1"/>
  <c r="JV46" i="1"/>
  <c r="JS46" i="1"/>
  <c r="JP46" i="1"/>
  <c r="JM46" i="1"/>
  <c r="JJ46" i="1"/>
  <c r="KN45" i="1"/>
  <c r="KK45" i="1"/>
  <c r="KH45" i="1"/>
  <c r="KE45" i="1"/>
  <c r="KB45" i="1"/>
  <c r="JY45" i="1"/>
  <c r="JV45" i="1"/>
  <c r="JS45" i="1"/>
  <c r="JP45" i="1"/>
  <c r="JM45" i="1"/>
  <c r="JJ45" i="1"/>
  <c r="KN44" i="1"/>
  <c r="KK44" i="1"/>
  <c r="KH44" i="1"/>
  <c r="KE44" i="1"/>
  <c r="KB44" i="1"/>
  <c r="JY44" i="1"/>
  <c r="JV44" i="1"/>
  <c r="JS44" i="1"/>
  <c r="JP44" i="1"/>
  <c r="JM44" i="1"/>
  <c r="JJ44" i="1"/>
  <c r="KN43" i="1"/>
  <c r="KK43" i="1"/>
  <c r="KH43" i="1"/>
  <c r="KE43" i="1"/>
  <c r="KB43" i="1"/>
  <c r="JY43" i="1"/>
  <c r="JV43" i="1"/>
  <c r="JS43" i="1"/>
  <c r="JP43" i="1"/>
  <c r="JM43" i="1"/>
  <c r="JJ43" i="1"/>
  <c r="KN42" i="1"/>
  <c r="KK42" i="1"/>
  <c r="KH42" i="1"/>
  <c r="KE42" i="1"/>
  <c r="KB42" i="1"/>
  <c r="JY42" i="1"/>
  <c r="JV42" i="1"/>
  <c r="JS42" i="1"/>
  <c r="JP42" i="1"/>
  <c r="JM42" i="1"/>
  <c r="JJ42" i="1"/>
  <c r="KN41" i="1"/>
  <c r="KK41" i="1"/>
  <c r="KH41" i="1"/>
  <c r="KE41" i="1"/>
  <c r="KB41" i="1"/>
  <c r="JY41" i="1"/>
  <c r="JV41" i="1"/>
  <c r="JS41" i="1"/>
  <c r="JP41" i="1"/>
  <c r="JM41" i="1"/>
  <c r="JJ41" i="1"/>
  <c r="KN40" i="1"/>
  <c r="KK40" i="1"/>
  <c r="KH40" i="1"/>
  <c r="KE40" i="1"/>
  <c r="KB40" i="1"/>
  <c r="JY40" i="1"/>
  <c r="JV40" i="1"/>
  <c r="JS40" i="1"/>
  <c r="JP40" i="1"/>
  <c r="JM40" i="1"/>
  <c r="JJ40" i="1"/>
  <c r="KN39" i="1"/>
  <c r="KK39" i="1"/>
  <c r="KH39" i="1"/>
  <c r="KE39" i="1"/>
  <c r="KB39" i="1"/>
  <c r="JY39" i="1"/>
  <c r="JV39" i="1"/>
  <c r="JS39" i="1"/>
  <c r="JP39" i="1"/>
  <c r="JM39" i="1"/>
  <c r="JJ39" i="1"/>
  <c r="KN38" i="1"/>
  <c r="KK38" i="1"/>
  <c r="KH38" i="1"/>
  <c r="KE38" i="1"/>
  <c r="KB38" i="1"/>
  <c r="JY38" i="1"/>
  <c r="JV38" i="1"/>
  <c r="JS38" i="1"/>
  <c r="JP38" i="1"/>
  <c r="JM38" i="1"/>
  <c r="JJ38" i="1"/>
  <c r="KN37" i="1"/>
  <c r="KK37" i="1"/>
  <c r="KH37" i="1"/>
  <c r="KE37" i="1"/>
  <c r="KB37" i="1"/>
  <c r="JY37" i="1"/>
  <c r="JV37" i="1"/>
  <c r="JS37" i="1"/>
  <c r="JP37" i="1"/>
  <c r="JM37" i="1"/>
  <c r="JJ37" i="1"/>
  <c r="KN36" i="1"/>
  <c r="KK36" i="1"/>
  <c r="KH36" i="1"/>
  <c r="KE36" i="1"/>
  <c r="KB36" i="1"/>
  <c r="JY36" i="1"/>
  <c r="JV36" i="1"/>
  <c r="JS36" i="1"/>
  <c r="JP36" i="1"/>
  <c r="JM36" i="1"/>
  <c r="JJ36" i="1"/>
  <c r="KN35" i="1"/>
  <c r="KK35" i="1"/>
  <c r="KH35" i="1"/>
  <c r="KE35" i="1"/>
  <c r="KB35" i="1"/>
  <c r="JY35" i="1"/>
  <c r="JV35" i="1"/>
  <c r="JS35" i="1"/>
  <c r="JP35" i="1"/>
  <c r="JM35" i="1"/>
  <c r="JJ35" i="1"/>
  <c r="KN34" i="1"/>
  <c r="KK34" i="1"/>
  <c r="KH34" i="1"/>
  <c r="KE34" i="1"/>
  <c r="KB34" i="1"/>
  <c r="JY34" i="1"/>
  <c r="JV34" i="1"/>
  <c r="JS34" i="1"/>
  <c r="JP34" i="1"/>
  <c r="JM34" i="1"/>
  <c r="JJ34" i="1"/>
  <c r="KN33" i="1"/>
  <c r="KK33" i="1"/>
  <c r="KH33" i="1"/>
  <c r="KE33" i="1"/>
  <c r="KB33" i="1"/>
  <c r="JY33" i="1"/>
  <c r="JV33" i="1"/>
  <c r="JS33" i="1"/>
  <c r="JP33" i="1"/>
  <c r="JM33" i="1"/>
  <c r="JJ33" i="1"/>
  <c r="KN32" i="1"/>
  <c r="KK32" i="1"/>
  <c r="KH32" i="1"/>
  <c r="KE32" i="1"/>
  <c r="KB32" i="1"/>
  <c r="JY32" i="1"/>
  <c r="JV32" i="1"/>
  <c r="JS32" i="1"/>
  <c r="JP32" i="1"/>
  <c r="JM32" i="1"/>
  <c r="JJ32" i="1"/>
  <c r="KN31" i="1"/>
  <c r="KK31" i="1"/>
  <c r="KH31" i="1"/>
  <c r="KE31" i="1"/>
  <c r="KB31" i="1"/>
  <c r="JY31" i="1"/>
  <c r="JV31" i="1"/>
  <c r="JS31" i="1"/>
  <c r="JP31" i="1"/>
  <c r="JM31" i="1"/>
  <c r="JJ31" i="1"/>
  <c r="KN30" i="1"/>
  <c r="KK30" i="1"/>
  <c r="KH30" i="1"/>
  <c r="KE30" i="1"/>
  <c r="KB30" i="1"/>
  <c r="JY30" i="1"/>
  <c r="JV30" i="1"/>
  <c r="JS30" i="1"/>
  <c r="JP30" i="1"/>
  <c r="JM30" i="1"/>
  <c r="JJ30" i="1"/>
  <c r="KN29" i="1"/>
  <c r="KK29" i="1"/>
  <c r="KH29" i="1"/>
  <c r="KE29" i="1"/>
  <c r="KB29" i="1"/>
  <c r="JY29" i="1"/>
  <c r="JV29" i="1"/>
  <c r="JS29" i="1"/>
  <c r="JP29" i="1"/>
  <c r="JM29" i="1"/>
  <c r="JJ29" i="1"/>
  <c r="KN28" i="1"/>
  <c r="KK28" i="1"/>
  <c r="KH28" i="1"/>
  <c r="KE28" i="1"/>
  <c r="KB28" i="1"/>
  <c r="JY28" i="1"/>
  <c r="JV28" i="1"/>
  <c r="JS28" i="1"/>
  <c r="JP28" i="1"/>
  <c r="JM28" i="1"/>
  <c r="JJ28" i="1"/>
  <c r="KN27" i="1"/>
  <c r="KK27" i="1"/>
  <c r="KH27" i="1"/>
  <c r="KE27" i="1"/>
  <c r="KB27" i="1"/>
  <c r="JY27" i="1"/>
  <c r="JV27" i="1"/>
  <c r="JS27" i="1"/>
  <c r="JP27" i="1"/>
  <c r="JM27" i="1"/>
  <c r="JJ27" i="1"/>
  <c r="KN26" i="1"/>
  <c r="KK26" i="1"/>
  <c r="KH26" i="1"/>
  <c r="KE26" i="1"/>
  <c r="KB26" i="1"/>
  <c r="JY26" i="1"/>
  <c r="JV26" i="1"/>
  <c r="JS26" i="1"/>
  <c r="JP26" i="1"/>
  <c r="JM26" i="1"/>
  <c r="JJ26" i="1"/>
  <c r="KN25" i="1"/>
  <c r="KK25" i="1"/>
  <c r="KH25" i="1"/>
  <c r="KE25" i="1"/>
  <c r="KB25" i="1"/>
  <c r="JY25" i="1"/>
  <c r="JV25" i="1"/>
  <c r="JS25" i="1"/>
  <c r="JP25" i="1"/>
  <c r="JM25" i="1"/>
  <c r="JJ25" i="1"/>
  <c r="KN24" i="1"/>
  <c r="KK24" i="1"/>
  <c r="KH24" i="1"/>
  <c r="KE24" i="1"/>
  <c r="KB24" i="1"/>
  <c r="JY24" i="1"/>
  <c r="JV24" i="1"/>
  <c r="JS24" i="1"/>
  <c r="JP24" i="1"/>
  <c r="JM24" i="1"/>
  <c r="JJ24" i="1"/>
  <c r="KN23" i="1"/>
  <c r="KK23" i="1"/>
  <c r="KH23" i="1"/>
  <c r="KE23" i="1"/>
  <c r="KB23" i="1"/>
  <c r="JY23" i="1"/>
  <c r="JV23" i="1"/>
  <c r="JS23" i="1"/>
  <c r="JP23" i="1"/>
  <c r="JM23" i="1"/>
  <c r="JJ23" i="1"/>
  <c r="KN22" i="1"/>
  <c r="KK22" i="1"/>
  <c r="KH22" i="1"/>
  <c r="KE22" i="1"/>
  <c r="KB22" i="1"/>
  <c r="JY22" i="1"/>
  <c r="JV22" i="1"/>
  <c r="JS22" i="1"/>
  <c r="JP22" i="1"/>
  <c r="JM22" i="1"/>
  <c r="JJ22" i="1"/>
  <c r="KN21" i="1"/>
  <c r="KK21" i="1"/>
  <c r="KH21" i="1"/>
  <c r="KE21" i="1"/>
  <c r="KB21" i="1"/>
  <c r="JY21" i="1"/>
  <c r="JV21" i="1"/>
  <c r="JS21" i="1"/>
  <c r="JP21" i="1"/>
  <c r="JM21" i="1"/>
  <c r="JJ21" i="1"/>
  <c r="KN20" i="1"/>
  <c r="KK20" i="1"/>
  <c r="KH20" i="1"/>
  <c r="KE20" i="1"/>
  <c r="KB20" i="1"/>
  <c r="JY20" i="1"/>
  <c r="JV20" i="1"/>
  <c r="JS20" i="1"/>
  <c r="JP20" i="1"/>
  <c r="JM20" i="1"/>
  <c r="JJ20" i="1"/>
  <c r="KN19" i="1"/>
  <c r="KK19" i="1"/>
  <c r="KH19" i="1"/>
  <c r="KE19" i="1"/>
  <c r="KB19" i="1"/>
  <c r="JY19" i="1"/>
  <c r="JV19" i="1"/>
  <c r="JS19" i="1"/>
  <c r="JP19" i="1"/>
  <c r="JM19" i="1"/>
  <c r="JJ19" i="1"/>
  <c r="KN18" i="1"/>
  <c r="KK18" i="1"/>
  <c r="KH18" i="1"/>
  <c r="KE18" i="1"/>
  <c r="KB18" i="1"/>
  <c r="JY18" i="1"/>
  <c r="JV18" i="1"/>
  <c r="JS18" i="1"/>
  <c r="JP18" i="1"/>
  <c r="JM18" i="1"/>
  <c r="JJ18" i="1"/>
  <c r="KN17" i="1"/>
  <c r="KK17" i="1"/>
  <c r="KH17" i="1"/>
  <c r="KE17" i="1"/>
  <c r="KB17" i="1"/>
  <c r="JY17" i="1"/>
  <c r="JV17" i="1"/>
  <c r="JS17" i="1"/>
  <c r="JP17" i="1"/>
  <c r="JM17" i="1"/>
  <c r="JJ17" i="1"/>
  <c r="KN16" i="1"/>
  <c r="KK16" i="1"/>
  <c r="KH16" i="1"/>
  <c r="KE16" i="1"/>
  <c r="KB16" i="1"/>
  <c r="JY16" i="1"/>
  <c r="JV16" i="1"/>
  <c r="JS16" i="1"/>
  <c r="JP16" i="1"/>
  <c r="JM16" i="1"/>
  <c r="JJ16" i="1"/>
  <c r="KN15" i="1"/>
  <c r="KK15" i="1"/>
  <c r="KH15" i="1"/>
  <c r="KE15" i="1"/>
  <c r="KB15" i="1"/>
  <c r="JY15" i="1"/>
  <c r="JV15" i="1"/>
  <c r="JS15" i="1"/>
  <c r="JP15" i="1"/>
  <c r="JM15" i="1"/>
  <c r="JJ15" i="1"/>
  <c r="KN14" i="1"/>
  <c r="KK14" i="1"/>
  <c r="KH14" i="1"/>
  <c r="KE14" i="1"/>
  <c r="KB14" i="1"/>
  <c r="JY14" i="1"/>
  <c r="JV14" i="1"/>
  <c r="JS14" i="1"/>
  <c r="JP14" i="1"/>
  <c r="JM14" i="1"/>
  <c r="JJ14" i="1"/>
  <c r="KN13" i="1"/>
  <c r="KK13" i="1"/>
  <c r="KH13" i="1"/>
  <c r="KE13" i="1"/>
  <c r="KB13" i="1"/>
  <c r="JY13" i="1"/>
  <c r="JV13" i="1"/>
  <c r="JS13" i="1"/>
  <c r="JP13" i="1"/>
  <c r="JM13" i="1"/>
  <c r="JJ13" i="1"/>
  <c r="KN12" i="1"/>
  <c r="KK12" i="1"/>
  <c r="KH12" i="1"/>
  <c r="KE12" i="1"/>
  <c r="KB12" i="1"/>
  <c r="JY12" i="1"/>
  <c r="JV12" i="1"/>
  <c r="JS12" i="1"/>
  <c r="JP12" i="1"/>
  <c r="JM12" i="1"/>
  <c r="JJ12" i="1"/>
  <c r="KN11" i="1"/>
  <c r="KK11" i="1"/>
  <c r="KH11" i="1"/>
  <c r="KE11" i="1"/>
  <c r="KB11" i="1"/>
  <c r="JY11" i="1"/>
  <c r="JV11" i="1"/>
  <c r="JS11" i="1"/>
  <c r="JP11" i="1"/>
  <c r="JM11" i="1"/>
  <c r="JJ11" i="1"/>
  <c r="KN10" i="1"/>
  <c r="KK10" i="1"/>
  <c r="KH10" i="1"/>
  <c r="KE10" i="1"/>
  <c r="KB10" i="1"/>
  <c r="JY10" i="1"/>
  <c r="JV10" i="1"/>
  <c r="JS10" i="1"/>
  <c r="JP10" i="1"/>
  <c r="JM10" i="1"/>
  <c r="JJ10" i="1"/>
  <c r="KN9" i="1"/>
  <c r="KK9" i="1"/>
  <c r="KH9" i="1"/>
  <c r="KE9" i="1"/>
  <c r="KB9" i="1"/>
  <c r="JY9" i="1"/>
  <c r="JV9" i="1"/>
  <c r="JS9" i="1"/>
  <c r="JP9" i="1"/>
  <c r="JM9" i="1"/>
  <c r="JJ9" i="1"/>
  <c r="KN8" i="1"/>
  <c r="KK8" i="1"/>
  <c r="KH8" i="1"/>
  <c r="KE8" i="1"/>
  <c r="KB8" i="1"/>
  <c r="JY8" i="1"/>
  <c r="JV8" i="1"/>
  <c r="JS8" i="1"/>
  <c r="JP8" i="1"/>
  <c r="JM8" i="1"/>
  <c r="JJ8" i="1"/>
  <c r="KN7" i="1"/>
  <c r="KK7" i="1"/>
  <c r="KH7" i="1"/>
  <c r="KE7" i="1"/>
  <c r="KB7" i="1"/>
  <c r="JY7" i="1"/>
  <c r="JV7" i="1"/>
  <c r="JS7" i="1"/>
  <c r="JP7" i="1"/>
  <c r="JM7" i="1"/>
  <c r="JJ7" i="1"/>
  <c r="KN6" i="1"/>
  <c r="KK6" i="1"/>
  <c r="KH6" i="1"/>
  <c r="KE6" i="1"/>
  <c r="KB6" i="1"/>
  <c r="JY6" i="1"/>
  <c r="JV6" i="1"/>
  <c r="JS6" i="1"/>
  <c r="JP6" i="1"/>
  <c r="JM6" i="1"/>
  <c r="JJ6" i="1"/>
  <c r="KN5" i="1"/>
  <c r="KK5" i="1"/>
  <c r="KH5" i="1"/>
  <c r="KE5" i="1"/>
  <c r="KB5" i="1"/>
  <c r="JY5" i="1"/>
  <c r="JV5" i="1"/>
  <c r="JS5" i="1"/>
  <c r="JP5" i="1"/>
  <c r="JM5" i="1"/>
  <c r="JJ5" i="1"/>
  <c r="KO4" i="1"/>
  <c r="KN4" i="1"/>
  <c r="KL4" i="1"/>
  <c r="KK4" i="1"/>
  <c r="KI4" i="1"/>
  <c r="KH4" i="1"/>
  <c r="KF4" i="1"/>
  <c r="KE4" i="1"/>
  <c r="KC4" i="1"/>
  <c r="KB4" i="1"/>
  <c r="JZ4" i="1"/>
  <c r="JY4" i="1"/>
  <c r="JW4" i="1"/>
  <c r="JV4" i="1"/>
  <c r="JT4" i="1"/>
  <c r="JS4" i="1"/>
  <c r="JQ4" i="1"/>
  <c r="JP4" i="1"/>
  <c r="JN4" i="1"/>
  <c r="JM4" i="1"/>
  <c r="JK4" i="1"/>
  <c r="JJ4" i="1"/>
  <c r="KO3" i="1"/>
  <c r="KN3" i="1"/>
  <c r="KL3" i="1"/>
  <c r="KK3" i="1"/>
  <c r="KI3" i="1"/>
  <c r="KH3" i="1"/>
  <c r="KF3" i="1"/>
  <c r="KE3" i="1"/>
  <c r="KC3" i="1"/>
  <c r="KB3" i="1"/>
  <c r="JZ3" i="1"/>
  <c r="JY3" i="1"/>
  <c r="JW3" i="1"/>
  <c r="JV3" i="1"/>
  <c r="JT3" i="1"/>
  <c r="JS3" i="1"/>
  <c r="JQ3" i="1"/>
  <c r="JP3" i="1"/>
  <c r="JN3" i="1"/>
  <c r="JM3" i="1"/>
  <c r="JK3" i="1"/>
  <c r="JJ3" i="1"/>
  <c r="KM2" i="1"/>
  <c r="KJ2" i="1"/>
  <c r="KG2" i="1"/>
  <c r="KD2" i="1"/>
  <c r="KA2" i="1"/>
  <c r="JX2" i="1"/>
  <c r="JU2" i="1"/>
  <c r="JR2" i="1"/>
  <c r="JO2" i="1"/>
  <c r="JL2" i="1"/>
  <c r="JI2" i="1"/>
  <c r="KM1" i="1"/>
  <c r="KJ1" i="1"/>
  <c r="KG1" i="1"/>
  <c r="KD1" i="1"/>
  <c r="KA1" i="1"/>
  <c r="JX1" i="1"/>
  <c r="JU1" i="1"/>
  <c r="JR1" i="1"/>
  <c r="JO1" i="1"/>
  <c r="JL1" i="1"/>
  <c r="JI1" i="1"/>
  <c r="KW103" i="1"/>
  <c r="KW102" i="1"/>
  <c r="KW101" i="1"/>
  <c r="KW100" i="1"/>
  <c r="KW99" i="1"/>
  <c r="KW86" i="1"/>
  <c r="KW85" i="1"/>
  <c r="KW84" i="1"/>
  <c r="KW83" i="1"/>
  <c r="KW82" i="1"/>
  <c r="KW81" i="1"/>
  <c r="KW80" i="1"/>
  <c r="KW79" i="1"/>
  <c r="KW78" i="1"/>
  <c r="KW77" i="1"/>
  <c r="KW76" i="1"/>
  <c r="KW75" i="1"/>
  <c r="KW74" i="1"/>
  <c r="KW73" i="1"/>
  <c r="KW72" i="1"/>
  <c r="KW71" i="1"/>
  <c r="KW70" i="1"/>
  <c r="KW69" i="1"/>
  <c r="KW68" i="1"/>
  <c r="KW67" i="1"/>
  <c r="KW66" i="1"/>
  <c r="KW65" i="1"/>
  <c r="KW64" i="1"/>
  <c r="KW63" i="1"/>
  <c r="KW62" i="1"/>
  <c r="KW61" i="1"/>
  <c r="KW60" i="1"/>
  <c r="KW59" i="1"/>
  <c r="KW58" i="1"/>
  <c r="KW57" i="1"/>
  <c r="KW56" i="1"/>
  <c r="KW55" i="1"/>
  <c r="KW54" i="1"/>
  <c r="KW53" i="1"/>
  <c r="KW52" i="1"/>
  <c r="KW51" i="1"/>
  <c r="KW50" i="1"/>
  <c r="KW49" i="1"/>
  <c r="KW48" i="1"/>
  <c r="KW47" i="1"/>
  <c r="KW46" i="1"/>
  <c r="KW45" i="1"/>
  <c r="KW44" i="1"/>
  <c r="KW43" i="1"/>
  <c r="KW42" i="1"/>
  <c r="KW41" i="1"/>
  <c r="KW40" i="1"/>
  <c r="KW39" i="1"/>
  <c r="KW38" i="1"/>
  <c r="KW37" i="1"/>
  <c r="KW36" i="1"/>
  <c r="KW35" i="1"/>
  <c r="KW34" i="1"/>
  <c r="KW33" i="1"/>
  <c r="KW32" i="1"/>
  <c r="KW31" i="1"/>
  <c r="KW30" i="1"/>
  <c r="KW29" i="1"/>
  <c r="KW28" i="1"/>
  <c r="KW27" i="1"/>
  <c r="KW26" i="1"/>
  <c r="KW25" i="1"/>
  <c r="KW24" i="1"/>
  <c r="KW23" i="1"/>
  <c r="KW22" i="1"/>
  <c r="KW21" i="1"/>
  <c r="KW20" i="1"/>
  <c r="KW19" i="1"/>
  <c r="KW18" i="1"/>
  <c r="KW17" i="1"/>
  <c r="KW16" i="1"/>
  <c r="KW15" i="1"/>
  <c r="KW14" i="1"/>
  <c r="KW13" i="1"/>
  <c r="KW12" i="1"/>
  <c r="KW11" i="1"/>
  <c r="KW10" i="1"/>
  <c r="KW9" i="1"/>
  <c r="KW8" i="1"/>
  <c r="KW7" i="1"/>
  <c r="KW6" i="1"/>
  <c r="KW5" i="1"/>
  <c r="KX4" i="1"/>
  <c r="KW4" i="1"/>
  <c r="KX3" i="1"/>
  <c r="KW3" i="1"/>
  <c r="KV2" i="1"/>
  <c r="KV1" i="1"/>
  <c r="KT103" i="1"/>
  <c r="KQ103" i="1"/>
  <c r="JG103" i="1"/>
  <c r="JD103" i="1"/>
  <c r="JA103" i="1"/>
  <c r="IX103" i="1"/>
  <c r="IU103" i="1"/>
  <c r="KT102" i="1"/>
  <c r="KQ102" i="1"/>
  <c r="JG102" i="1"/>
  <c r="JD102" i="1"/>
  <c r="JA102" i="1"/>
  <c r="IX102" i="1"/>
  <c r="IU102" i="1"/>
  <c r="KT101" i="1"/>
  <c r="KQ101" i="1"/>
  <c r="JG101" i="1"/>
  <c r="JD101" i="1"/>
  <c r="JA101" i="1"/>
  <c r="IX101" i="1"/>
  <c r="IU101" i="1"/>
  <c r="KT100" i="1"/>
  <c r="KQ100" i="1"/>
  <c r="JG100" i="1"/>
  <c r="JD100" i="1"/>
  <c r="JA100" i="1"/>
  <c r="IX100" i="1"/>
  <c r="IU100" i="1"/>
  <c r="KT99" i="1"/>
  <c r="KQ99" i="1"/>
  <c r="JG99" i="1"/>
  <c r="JD99" i="1"/>
  <c r="JA99" i="1"/>
  <c r="IX99" i="1"/>
  <c r="IU99" i="1"/>
  <c r="KT86" i="1"/>
  <c r="KQ86" i="1"/>
  <c r="JG86" i="1"/>
  <c r="JD86" i="1"/>
  <c r="JA86" i="1"/>
  <c r="IX86" i="1"/>
  <c r="IU86" i="1"/>
  <c r="KT85" i="1"/>
  <c r="KQ85" i="1"/>
  <c r="JG85" i="1"/>
  <c r="JD85" i="1"/>
  <c r="JA85" i="1"/>
  <c r="IX85" i="1"/>
  <c r="IU85" i="1"/>
  <c r="KT84" i="1"/>
  <c r="KQ84" i="1"/>
  <c r="JG84" i="1"/>
  <c r="JD84" i="1"/>
  <c r="JA84" i="1"/>
  <c r="IX84" i="1"/>
  <c r="IU84" i="1"/>
  <c r="KT83" i="1"/>
  <c r="KQ83" i="1"/>
  <c r="JG83" i="1"/>
  <c r="JD83" i="1"/>
  <c r="JA83" i="1"/>
  <c r="IX83" i="1"/>
  <c r="IU83" i="1"/>
  <c r="KT82" i="1"/>
  <c r="KQ82" i="1"/>
  <c r="JG82" i="1"/>
  <c r="JD82" i="1"/>
  <c r="JA82" i="1"/>
  <c r="IX82" i="1"/>
  <c r="IU82" i="1"/>
  <c r="KT81" i="1"/>
  <c r="KQ81" i="1"/>
  <c r="JG81" i="1"/>
  <c r="JD81" i="1"/>
  <c r="JA81" i="1"/>
  <c r="IX81" i="1"/>
  <c r="IU81" i="1"/>
  <c r="KT80" i="1"/>
  <c r="KQ80" i="1"/>
  <c r="JG80" i="1"/>
  <c r="JD80" i="1"/>
  <c r="JA80" i="1"/>
  <c r="IX80" i="1"/>
  <c r="IU80" i="1"/>
  <c r="KT79" i="1"/>
  <c r="KQ79" i="1"/>
  <c r="JG79" i="1"/>
  <c r="JD79" i="1"/>
  <c r="JA79" i="1"/>
  <c r="IX79" i="1"/>
  <c r="IU79" i="1"/>
  <c r="KT78" i="1"/>
  <c r="KQ78" i="1"/>
  <c r="JG78" i="1"/>
  <c r="JD78" i="1"/>
  <c r="JA78" i="1"/>
  <c r="IX78" i="1"/>
  <c r="IU78" i="1"/>
  <c r="KT77" i="1"/>
  <c r="KQ77" i="1"/>
  <c r="JG77" i="1"/>
  <c r="JD77" i="1"/>
  <c r="JA77" i="1"/>
  <c r="IX77" i="1"/>
  <c r="IU77" i="1"/>
  <c r="KT76" i="1"/>
  <c r="KQ76" i="1"/>
  <c r="JG76" i="1"/>
  <c r="JD76" i="1"/>
  <c r="JA76" i="1"/>
  <c r="IX76" i="1"/>
  <c r="IU76" i="1"/>
  <c r="KT75" i="1"/>
  <c r="KQ75" i="1"/>
  <c r="JG75" i="1"/>
  <c r="JD75" i="1"/>
  <c r="JA75" i="1"/>
  <c r="IX75" i="1"/>
  <c r="IU75" i="1"/>
  <c r="KT74" i="1"/>
  <c r="KQ74" i="1"/>
  <c r="JG74" i="1"/>
  <c r="JD74" i="1"/>
  <c r="JA74" i="1"/>
  <c r="IX74" i="1"/>
  <c r="IU74" i="1"/>
  <c r="KT73" i="1"/>
  <c r="KQ73" i="1"/>
  <c r="JG73" i="1"/>
  <c r="JD73" i="1"/>
  <c r="JA73" i="1"/>
  <c r="IX73" i="1"/>
  <c r="IU73" i="1"/>
  <c r="KT72" i="1"/>
  <c r="KQ72" i="1"/>
  <c r="JG72" i="1"/>
  <c r="JD72" i="1"/>
  <c r="JA72" i="1"/>
  <c r="IX72" i="1"/>
  <c r="IU72" i="1"/>
  <c r="KT71" i="1"/>
  <c r="KQ71" i="1"/>
  <c r="JG71" i="1"/>
  <c r="JD71" i="1"/>
  <c r="JA71" i="1"/>
  <c r="IX71" i="1"/>
  <c r="IU71" i="1"/>
  <c r="KT70" i="1"/>
  <c r="KQ70" i="1"/>
  <c r="JG70" i="1"/>
  <c r="JD70" i="1"/>
  <c r="JA70" i="1"/>
  <c r="IX70" i="1"/>
  <c r="IU70" i="1"/>
  <c r="KT69" i="1"/>
  <c r="KQ69" i="1"/>
  <c r="JG69" i="1"/>
  <c r="JD69" i="1"/>
  <c r="JA69" i="1"/>
  <c r="IX69" i="1"/>
  <c r="IU69" i="1"/>
  <c r="KT68" i="1"/>
  <c r="KQ68" i="1"/>
  <c r="JG68" i="1"/>
  <c r="JD68" i="1"/>
  <c r="JA68" i="1"/>
  <c r="IX68" i="1"/>
  <c r="IU68" i="1"/>
  <c r="KT67" i="1"/>
  <c r="KQ67" i="1"/>
  <c r="JG67" i="1"/>
  <c r="JD67" i="1"/>
  <c r="JA67" i="1"/>
  <c r="IX67" i="1"/>
  <c r="IU67" i="1"/>
  <c r="KT66" i="1"/>
  <c r="KQ66" i="1"/>
  <c r="JG66" i="1"/>
  <c r="JD66" i="1"/>
  <c r="JA66" i="1"/>
  <c r="IX66" i="1"/>
  <c r="IU66" i="1"/>
  <c r="KT65" i="1"/>
  <c r="KQ65" i="1"/>
  <c r="JG65" i="1"/>
  <c r="JD65" i="1"/>
  <c r="JA65" i="1"/>
  <c r="IX65" i="1"/>
  <c r="IU65" i="1"/>
  <c r="KT64" i="1"/>
  <c r="KQ64" i="1"/>
  <c r="JG64" i="1"/>
  <c r="JD64" i="1"/>
  <c r="JA64" i="1"/>
  <c r="IX64" i="1"/>
  <c r="IU64" i="1"/>
  <c r="KT63" i="1"/>
  <c r="KQ63" i="1"/>
  <c r="JG63" i="1"/>
  <c r="JD63" i="1"/>
  <c r="JA63" i="1"/>
  <c r="IX63" i="1"/>
  <c r="IU63" i="1"/>
  <c r="KT62" i="1"/>
  <c r="KQ62" i="1"/>
  <c r="JG62" i="1"/>
  <c r="JD62" i="1"/>
  <c r="JA62" i="1"/>
  <c r="IX62" i="1"/>
  <c r="IU62" i="1"/>
  <c r="KT61" i="1"/>
  <c r="KQ61" i="1"/>
  <c r="JG61" i="1"/>
  <c r="JD61" i="1"/>
  <c r="JA61" i="1"/>
  <c r="IX61" i="1"/>
  <c r="IU61" i="1"/>
  <c r="KT60" i="1"/>
  <c r="KQ60" i="1"/>
  <c r="JG60" i="1"/>
  <c r="JD60" i="1"/>
  <c r="JA60" i="1"/>
  <c r="IX60" i="1"/>
  <c r="IU60" i="1"/>
  <c r="KT59" i="1"/>
  <c r="KQ59" i="1"/>
  <c r="JG59" i="1"/>
  <c r="JD59" i="1"/>
  <c r="JA59" i="1"/>
  <c r="IX59" i="1"/>
  <c r="IU59" i="1"/>
  <c r="KT58" i="1"/>
  <c r="KQ58" i="1"/>
  <c r="JG58" i="1"/>
  <c r="JD58" i="1"/>
  <c r="JA58" i="1"/>
  <c r="IX58" i="1"/>
  <c r="IU58" i="1"/>
  <c r="KT57" i="1"/>
  <c r="KQ57" i="1"/>
  <c r="JG57" i="1"/>
  <c r="JD57" i="1"/>
  <c r="JA57" i="1"/>
  <c r="IX57" i="1"/>
  <c r="IU57" i="1"/>
  <c r="KT56" i="1"/>
  <c r="KQ56" i="1"/>
  <c r="JG56" i="1"/>
  <c r="JD56" i="1"/>
  <c r="JA56" i="1"/>
  <c r="IX56" i="1"/>
  <c r="IU56" i="1"/>
  <c r="KT55" i="1"/>
  <c r="KQ55" i="1"/>
  <c r="JG55" i="1"/>
  <c r="JD55" i="1"/>
  <c r="JA55" i="1"/>
  <c r="IX55" i="1"/>
  <c r="IU55" i="1"/>
  <c r="KT54" i="1"/>
  <c r="KQ54" i="1"/>
  <c r="JG54" i="1"/>
  <c r="JD54" i="1"/>
  <c r="JA54" i="1"/>
  <c r="IX54" i="1"/>
  <c r="IU54" i="1"/>
  <c r="KT53" i="1"/>
  <c r="KQ53" i="1"/>
  <c r="JG53" i="1"/>
  <c r="JD53" i="1"/>
  <c r="JA53" i="1"/>
  <c r="IX53" i="1"/>
  <c r="IU53" i="1"/>
  <c r="KT52" i="1"/>
  <c r="KQ52" i="1"/>
  <c r="JG52" i="1"/>
  <c r="JD52" i="1"/>
  <c r="JA52" i="1"/>
  <c r="IX52" i="1"/>
  <c r="IU52" i="1"/>
  <c r="KT51" i="1"/>
  <c r="KQ51" i="1"/>
  <c r="JG51" i="1"/>
  <c r="JD51" i="1"/>
  <c r="JA51" i="1"/>
  <c r="IX51" i="1"/>
  <c r="IU51" i="1"/>
  <c r="KT50" i="1"/>
  <c r="KQ50" i="1"/>
  <c r="JG50" i="1"/>
  <c r="JD50" i="1"/>
  <c r="JA50" i="1"/>
  <c r="IX50" i="1"/>
  <c r="IU50" i="1"/>
  <c r="KT49" i="1"/>
  <c r="KQ49" i="1"/>
  <c r="JG49" i="1"/>
  <c r="JD49" i="1"/>
  <c r="JA49" i="1"/>
  <c r="IX49" i="1"/>
  <c r="IU49" i="1"/>
  <c r="KT48" i="1"/>
  <c r="KQ48" i="1"/>
  <c r="JG48" i="1"/>
  <c r="JD48" i="1"/>
  <c r="JA48" i="1"/>
  <c r="IX48" i="1"/>
  <c r="IU48" i="1"/>
  <c r="KT47" i="1"/>
  <c r="KQ47" i="1"/>
  <c r="JG47" i="1"/>
  <c r="JD47" i="1"/>
  <c r="JA47" i="1"/>
  <c r="IX47" i="1"/>
  <c r="IU47" i="1"/>
  <c r="KT46" i="1"/>
  <c r="KQ46" i="1"/>
  <c r="JG46" i="1"/>
  <c r="JD46" i="1"/>
  <c r="JA46" i="1"/>
  <c r="IX46" i="1"/>
  <c r="IU46" i="1"/>
  <c r="KT45" i="1"/>
  <c r="KQ45" i="1"/>
  <c r="JG45" i="1"/>
  <c r="JD45" i="1"/>
  <c r="JA45" i="1"/>
  <c r="IX45" i="1"/>
  <c r="IU45" i="1"/>
  <c r="KT44" i="1"/>
  <c r="KQ44" i="1"/>
  <c r="JG44" i="1"/>
  <c r="JD44" i="1"/>
  <c r="JA44" i="1"/>
  <c r="IX44" i="1"/>
  <c r="IU44" i="1"/>
  <c r="KT43" i="1"/>
  <c r="KQ43" i="1"/>
  <c r="JG43" i="1"/>
  <c r="JD43" i="1"/>
  <c r="JA43" i="1"/>
  <c r="IX43" i="1"/>
  <c r="IU43" i="1"/>
  <c r="KT42" i="1"/>
  <c r="KQ42" i="1"/>
  <c r="JG42" i="1"/>
  <c r="JD42" i="1"/>
  <c r="JA42" i="1"/>
  <c r="IX42" i="1"/>
  <c r="IU42" i="1"/>
  <c r="KT41" i="1"/>
  <c r="KQ41" i="1"/>
  <c r="JG41" i="1"/>
  <c r="JD41" i="1"/>
  <c r="JA41" i="1"/>
  <c r="IX41" i="1"/>
  <c r="IU41" i="1"/>
  <c r="KT40" i="1"/>
  <c r="KQ40" i="1"/>
  <c r="JG40" i="1"/>
  <c r="JD40" i="1"/>
  <c r="JA40" i="1"/>
  <c r="IX40" i="1"/>
  <c r="IU40" i="1"/>
  <c r="KT39" i="1"/>
  <c r="KQ39" i="1"/>
  <c r="JG39" i="1"/>
  <c r="JD39" i="1"/>
  <c r="JA39" i="1"/>
  <c r="IX39" i="1"/>
  <c r="IU39" i="1"/>
  <c r="KT38" i="1"/>
  <c r="KQ38" i="1"/>
  <c r="JG38" i="1"/>
  <c r="JD38" i="1"/>
  <c r="JA38" i="1"/>
  <c r="IX38" i="1"/>
  <c r="IU38" i="1"/>
  <c r="KT37" i="1"/>
  <c r="KQ37" i="1"/>
  <c r="JG37" i="1"/>
  <c r="JD37" i="1"/>
  <c r="JA37" i="1"/>
  <c r="IX37" i="1"/>
  <c r="IU37" i="1"/>
  <c r="KT36" i="1"/>
  <c r="KQ36" i="1"/>
  <c r="JG36" i="1"/>
  <c r="JD36" i="1"/>
  <c r="JA36" i="1"/>
  <c r="IX36" i="1"/>
  <c r="IU36" i="1"/>
  <c r="KT35" i="1"/>
  <c r="KQ35" i="1"/>
  <c r="JG35" i="1"/>
  <c r="JD35" i="1"/>
  <c r="JA35" i="1"/>
  <c r="IX35" i="1"/>
  <c r="IU35" i="1"/>
  <c r="KT34" i="1"/>
  <c r="KQ34" i="1"/>
  <c r="JG34" i="1"/>
  <c r="JD34" i="1"/>
  <c r="JA34" i="1"/>
  <c r="IX34" i="1"/>
  <c r="IU34" i="1"/>
  <c r="KT33" i="1"/>
  <c r="KQ33" i="1"/>
  <c r="JG33" i="1"/>
  <c r="JD33" i="1"/>
  <c r="JA33" i="1"/>
  <c r="IX33" i="1"/>
  <c r="IU33" i="1"/>
  <c r="KT32" i="1"/>
  <c r="KQ32" i="1"/>
  <c r="JG32" i="1"/>
  <c r="JD32" i="1"/>
  <c r="JA32" i="1"/>
  <c r="IX32" i="1"/>
  <c r="IU32" i="1"/>
  <c r="KT31" i="1"/>
  <c r="KQ31" i="1"/>
  <c r="JG31" i="1"/>
  <c r="JD31" i="1"/>
  <c r="JA31" i="1"/>
  <c r="IX31" i="1"/>
  <c r="IU31" i="1"/>
  <c r="KT30" i="1"/>
  <c r="KQ30" i="1"/>
  <c r="JG30" i="1"/>
  <c r="JD30" i="1"/>
  <c r="JA30" i="1"/>
  <c r="IX30" i="1"/>
  <c r="IU30" i="1"/>
  <c r="KT29" i="1"/>
  <c r="KQ29" i="1"/>
  <c r="JG29" i="1"/>
  <c r="JD29" i="1"/>
  <c r="JA29" i="1"/>
  <c r="IX29" i="1"/>
  <c r="IU29" i="1"/>
  <c r="KT28" i="1"/>
  <c r="KQ28" i="1"/>
  <c r="JG28" i="1"/>
  <c r="JD28" i="1"/>
  <c r="JA28" i="1"/>
  <c r="IX28" i="1"/>
  <c r="IU28" i="1"/>
  <c r="KT27" i="1"/>
  <c r="KQ27" i="1"/>
  <c r="JG27" i="1"/>
  <c r="JD27" i="1"/>
  <c r="JA27" i="1"/>
  <c r="IX27" i="1"/>
  <c r="IU27" i="1"/>
  <c r="KT26" i="1"/>
  <c r="KQ26" i="1"/>
  <c r="JG26" i="1"/>
  <c r="JD26" i="1"/>
  <c r="JA26" i="1"/>
  <c r="IX26" i="1"/>
  <c r="IU26" i="1"/>
  <c r="KT25" i="1"/>
  <c r="KQ25" i="1"/>
  <c r="JG25" i="1"/>
  <c r="JD25" i="1"/>
  <c r="JA25" i="1"/>
  <c r="IX25" i="1"/>
  <c r="IU25" i="1"/>
  <c r="KT24" i="1"/>
  <c r="KQ24" i="1"/>
  <c r="JG24" i="1"/>
  <c r="JD24" i="1"/>
  <c r="JA24" i="1"/>
  <c r="IX24" i="1"/>
  <c r="IU24" i="1"/>
  <c r="KT23" i="1"/>
  <c r="KQ23" i="1"/>
  <c r="JG23" i="1"/>
  <c r="JD23" i="1"/>
  <c r="JA23" i="1"/>
  <c r="IX23" i="1"/>
  <c r="IU23" i="1"/>
  <c r="KT22" i="1"/>
  <c r="KQ22" i="1"/>
  <c r="JG22" i="1"/>
  <c r="JD22" i="1"/>
  <c r="JA22" i="1"/>
  <c r="IX22" i="1"/>
  <c r="IU22" i="1"/>
  <c r="KT21" i="1"/>
  <c r="KQ21" i="1"/>
  <c r="JG21" i="1"/>
  <c r="JD21" i="1"/>
  <c r="JA21" i="1"/>
  <c r="IX21" i="1"/>
  <c r="IU21" i="1"/>
  <c r="KT20" i="1"/>
  <c r="KQ20" i="1"/>
  <c r="JG20" i="1"/>
  <c r="JD20" i="1"/>
  <c r="JA20" i="1"/>
  <c r="IX20" i="1"/>
  <c r="IU20" i="1"/>
  <c r="KT19" i="1"/>
  <c r="KQ19" i="1"/>
  <c r="JG19" i="1"/>
  <c r="JD19" i="1"/>
  <c r="JA19" i="1"/>
  <c r="IX19" i="1"/>
  <c r="IU19" i="1"/>
  <c r="KT18" i="1"/>
  <c r="KQ18" i="1"/>
  <c r="JG18" i="1"/>
  <c r="JD18" i="1"/>
  <c r="JA18" i="1"/>
  <c r="IX18" i="1"/>
  <c r="IU18" i="1"/>
  <c r="KT17" i="1"/>
  <c r="KQ17" i="1"/>
  <c r="JG17" i="1"/>
  <c r="JD17" i="1"/>
  <c r="JA17" i="1"/>
  <c r="IX17" i="1"/>
  <c r="IU17" i="1"/>
  <c r="KT16" i="1"/>
  <c r="KQ16" i="1"/>
  <c r="JG16" i="1"/>
  <c r="JD16" i="1"/>
  <c r="JA16" i="1"/>
  <c r="IX16" i="1"/>
  <c r="IU16" i="1"/>
  <c r="KT15" i="1"/>
  <c r="KQ15" i="1"/>
  <c r="JG15" i="1"/>
  <c r="JD15" i="1"/>
  <c r="JA15" i="1"/>
  <c r="IX15" i="1"/>
  <c r="IU15" i="1"/>
  <c r="KT14" i="1"/>
  <c r="KQ14" i="1"/>
  <c r="JG14" i="1"/>
  <c r="JD14" i="1"/>
  <c r="JA14" i="1"/>
  <c r="IX14" i="1"/>
  <c r="IU14" i="1"/>
  <c r="KT13" i="1"/>
  <c r="KQ13" i="1"/>
  <c r="JG13" i="1"/>
  <c r="JD13" i="1"/>
  <c r="JA13" i="1"/>
  <c r="IX13" i="1"/>
  <c r="IU13" i="1"/>
  <c r="KT12" i="1"/>
  <c r="KQ12" i="1"/>
  <c r="JG12" i="1"/>
  <c r="JD12" i="1"/>
  <c r="JA12" i="1"/>
  <c r="IX12" i="1"/>
  <c r="IU12" i="1"/>
  <c r="KT11" i="1"/>
  <c r="KQ11" i="1"/>
  <c r="JG11" i="1"/>
  <c r="JD11" i="1"/>
  <c r="JA11" i="1"/>
  <c r="IX11" i="1"/>
  <c r="IU11" i="1"/>
  <c r="KT10" i="1"/>
  <c r="KQ10" i="1"/>
  <c r="JG10" i="1"/>
  <c r="JD10" i="1"/>
  <c r="JA10" i="1"/>
  <c r="IX10" i="1"/>
  <c r="IU10" i="1"/>
  <c r="KT9" i="1"/>
  <c r="KQ9" i="1"/>
  <c r="JG9" i="1"/>
  <c r="JD9" i="1"/>
  <c r="JA9" i="1"/>
  <c r="IX9" i="1"/>
  <c r="IU9" i="1"/>
  <c r="KT8" i="1"/>
  <c r="KQ8" i="1"/>
  <c r="JG8" i="1"/>
  <c r="JD8" i="1"/>
  <c r="JA8" i="1"/>
  <c r="IX8" i="1"/>
  <c r="IU8" i="1"/>
  <c r="KT7" i="1"/>
  <c r="KQ7" i="1"/>
  <c r="JG7" i="1"/>
  <c r="JD7" i="1"/>
  <c r="JA7" i="1"/>
  <c r="IX7" i="1"/>
  <c r="IU7" i="1"/>
  <c r="KT6" i="1"/>
  <c r="KQ6" i="1"/>
  <c r="JG6" i="1"/>
  <c r="JD6" i="1"/>
  <c r="JA6" i="1"/>
  <c r="IX6" i="1"/>
  <c r="IU6" i="1"/>
  <c r="KT5" i="1"/>
  <c r="KQ5" i="1"/>
  <c r="JG5" i="1"/>
  <c r="JD5" i="1"/>
  <c r="JA5" i="1"/>
  <c r="IX5" i="1"/>
  <c r="IU5" i="1"/>
  <c r="KU4" i="1"/>
  <c r="KT4" i="1"/>
  <c r="KR4" i="1"/>
  <c r="KQ4" i="1"/>
  <c r="JH4" i="1"/>
  <c r="JG4" i="1"/>
  <c r="JE4" i="1"/>
  <c r="JD4" i="1"/>
  <c r="JB4" i="1"/>
  <c r="JA4" i="1"/>
  <c r="IY4" i="1"/>
  <c r="IX4" i="1"/>
  <c r="IV4" i="1"/>
  <c r="IU4" i="1"/>
  <c r="KU3" i="1"/>
  <c r="KT3" i="1"/>
  <c r="KR3" i="1"/>
  <c r="KQ3" i="1"/>
  <c r="JH3" i="1"/>
  <c r="JG3" i="1"/>
  <c r="JE3" i="1"/>
  <c r="JD3" i="1"/>
  <c r="JB3" i="1"/>
  <c r="JA3" i="1"/>
  <c r="IY3" i="1"/>
  <c r="IX3" i="1"/>
  <c r="IV3" i="1"/>
  <c r="IU3" i="1"/>
  <c r="KS2" i="1"/>
  <c r="KP2" i="1"/>
  <c r="JF2" i="1"/>
  <c r="JC2" i="1"/>
  <c r="IZ2" i="1"/>
  <c r="IW2" i="1"/>
  <c r="IT2" i="1"/>
  <c r="KS1" i="1"/>
  <c r="KP1" i="1"/>
  <c r="JF1" i="1"/>
  <c r="JC1" i="1"/>
  <c r="IZ1" i="1"/>
  <c r="IW1" i="1"/>
  <c r="IT1" i="1"/>
  <c r="KH109" i="1" l="1"/>
  <c r="JG109" i="1"/>
  <c r="KB109" i="1"/>
  <c r="JT23" i="1"/>
  <c r="JT35" i="1"/>
  <c r="JT47" i="1"/>
  <c r="JT59" i="1"/>
  <c r="JT71" i="1"/>
  <c r="JT83" i="1"/>
  <c r="JT95" i="1"/>
  <c r="BL17" i="1"/>
  <c r="BL41" i="1"/>
  <c r="BL65" i="1"/>
  <c r="BL89" i="1"/>
  <c r="CV6" i="1"/>
  <c r="CV18" i="1"/>
  <c r="CV30" i="1"/>
  <c r="CV42" i="1"/>
  <c r="CV54" i="1"/>
  <c r="CV66" i="1"/>
  <c r="CV78" i="1"/>
  <c r="CV90" i="1"/>
  <c r="CV102" i="1"/>
  <c r="EF20" i="1"/>
  <c r="EF44" i="1"/>
  <c r="EF68" i="1"/>
  <c r="EF92" i="1"/>
  <c r="FP18" i="1"/>
  <c r="FP66" i="1"/>
  <c r="GZ25" i="1"/>
  <c r="GZ49" i="1"/>
  <c r="GZ73" i="1"/>
  <c r="GZ97" i="1"/>
  <c r="IJ12" i="1"/>
  <c r="IJ24" i="1"/>
  <c r="IJ36" i="1"/>
  <c r="IJ48" i="1"/>
  <c r="IJ60" i="1"/>
  <c r="IJ72" i="1"/>
  <c r="IJ84" i="1"/>
  <c r="IJ96" i="1"/>
  <c r="JT12" i="1"/>
  <c r="JT24" i="1"/>
  <c r="JT36" i="1"/>
  <c r="JT48" i="1"/>
  <c r="JT60" i="1"/>
  <c r="JT72" i="1"/>
  <c r="JT84" i="1"/>
  <c r="JT96" i="1"/>
  <c r="JT11" i="1"/>
  <c r="BL18" i="1"/>
  <c r="BL42" i="1"/>
  <c r="BL66" i="1"/>
  <c r="BL90" i="1"/>
  <c r="CV7" i="1"/>
  <c r="CV19" i="1"/>
  <c r="CV31" i="1"/>
  <c r="CV43" i="1"/>
  <c r="CV55" i="1"/>
  <c r="CV67" i="1"/>
  <c r="CV79" i="1"/>
  <c r="CV91" i="1"/>
  <c r="CV103" i="1"/>
  <c r="EF22" i="1"/>
  <c r="EF46" i="1"/>
  <c r="EF70" i="1"/>
  <c r="EF94" i="1"/>
  <c r="FP22" i="1"/>
  <c r="FP70" i="1"/>
  <c r="GZ27" i="1"/>
  <c r="GZ51" i="1"/>
  <c r="GZ75" i="1"/>
  <c r="GZ99" i="1"/>
  <c r="IJ13" i="1"/>
  <c r="IJ25" i="1"/>
  <c r="IJ37" i="1"/>
  <c r="IJ49" i="1"/>
  <c r="IJ61" i="1"/>
  <c r="IJ73" i="1"/>
  <c r="IJ85" i="1"/>
  <c r="IJ97" i="1"/>
  <c r="JT13" i="1"/>
  <c r="JT25" i="1"/>
  <c r="JT37" i="1"/>
  <c r="JT49" i="1"/>
  <c r="JT61" i="1"/>
  <c r="JT73" i="1"/>
  <c r="JT85" i="1"/>
  <c r="JT97" i="1"/>
  <c r="BL21" i="1"/>
  <c r="BL45" i="1"/>
  <c r="BL69" i="1"/>
  <c r="BL93" i="1"/>
  <c r="CV8" i="1"/>
  <c r="CV20" i="1"/>
  <c r="CV32" i="1"/>
  <c r="CV44" i="1"/>
  <c r="CV56" i="1"/>
  <c r="CV68" i="1"/>
  <c r="CV80" i="1"/>
  <c r="CV92" i="1"/>
  <c r="EF24" i="1"/>
  <c r="EF48" i="1"/>
  <c r="EF72" i="1"/>
  <c r="EF96" i="1"/>
  <c r="FP26" i="1"/>
  <c r="FP74" i="1"/>
  <c r="GZ5" i="1"/>
  <c r="GZ29" i="1"/>
  <c r="GZ53" i="1"/>
  <c r="GZ77" i="1"/>
  <c r="GZ101" i="1"/>
  <c r="IJ14" i="1"/>
  <c r="IJ26" i="1"/>
  <c r="IJ38" i="1"/>
  <c r="IJ50" i="1"/>
  <c r="IJ62" i="1"/>
  <c r="IJ74" i="1"/>
  <c r="IJ86" i="1"/>
  <c r="IJ98" i="1"/>
  <c r="JT14" i="1"/>
  <c r="JT26" i="1"/>
  <c r="JT38" i="1"/>
  <c r="JT50" i="1"/>
  <c r="JT62" i="1"/>
  <c r="JT74" i="1"/>
  <c r="JT86" i="1"/>
  <c r="JT98" i="1"/>
  <c r="BL22" i="1"/>
  <c r="BL46" i="1"/>
  <c r="BL70" i="1"/>
  <c r="BL94" i="1"/>
  <c r="CV9" i="1"/>
  <c r="CV21" i="1"/>
  <c r="CV33" i="1"/>
  <c r="CV45" i="1"/>
  <c r="CV57" i="1"/>
  <c r="CV69" i="1"/>
  <c r="CV81" i="1"/>
  <c r="CV93" i="1"/>
  <c r="EF26" i="1"/>
  <c r="EF50" i="1"/>
  <c r="EF74" i="1"/>
  <c r="EF98" i="1"/>
  <c r="FP30" i="1"/>
  <c r="FP78" i="1"/>
  <c r="GZ7" i="1"/>
  <c r="GZ31" i="1"/>
  <c r="GZ55" i="1"/>
  <c r="GZ79" i="1"/>
  <c r="GZ103" i="1"/>
  <c r="IJ15" i="1"/>
  <c r="IJ27" i="1"/>
  <c r="IJ39" i="1"/>
  <c r="IJ51" i="1"/>
  <c r="IJ63" i="1"/>
  <c r="IJ75" i="1"/>
  <c r="IJ87" i="1"/>
  <c r="IJ99" i="1"/>
  <c r="JT15" i="1"/>
  <c r="JT27" i="1"/>
  <c r="JT39" i="1"/>
  <c r="JT51" i="1"/>
  <c r="JT63" i="1"/>
  <c r="JT75" i="1"/>
  <c r="JT87" i="1"/>
  <c r="JT99" i="1"/>
  <c r="BL25" i="1"/>
  <c r="BL49" i="1"/>
  <c r="BL73" i="1"/>
  <c r="BL97" i="1"/>
  <c r="CV10" i="1"/>
  <c r="CV22" i="1"/>
  <c r="CV34" i="1"/>
  <c r="CV46" i="1"/>
  <c r="CV58" i="1"/>
  <c r="CV70" i="1"/>
  <c r="CV82" i="1"/>
  <c r="CV94" i="1"/>
  <c r="EF28" i="1"/>
  <c r="EF52" i="1"/>
  <c r="EF76" i="1"/>
  <c r="EF100" i="1"/>
  <c r="FP34" i="1"/>
  <c r="FP82" i="1"/>
  <c r="GZ9" i="1"/>
  <c r="GZ33" i="1"/>
  <c r="GZ57" i="1"/>
  <c r="GZ81" i="1"/>
  <c r="IJ16" i="1"/>
  <c r="IJ28" i="1"/>
  <c r="IJ40" i="1"/>
  <c r="IJ52" i="1"/>
  <c r="IJ64" i="1"/>
  <c r="IJ76" i="1"/>
  <c r="IJ88" i="1"/>
  <c r="IJ100" i="1"/>
  <c r="JT16" i="1"/>
  <c r="JT28" i="1"/>
  <c r="JT40" i="1"/>
  <c r="JT52" i="1"/>
  <c r="JT64" i="1"/>
  <c r="JT76" i="1"/>
  <c r="JT88" i="1"/>
  <c r="JT100" i="1"/>
  <c r="BL26" i="1"/>
  <c r="BL50" i="1"/>
  <c r="BL74" i="1"/>
  <c r="BL98" i="1"/>
  <c r="CV11" i="1"/>
  <c r="CV23" i="1"/>
  <c r="CV35" i="1"/>
  <c r="CV47" i="1"/>
  <c r="CV59" i="1"/>
  <c r="CV71" i="1"/>
  <c r="CV83" i="1"/>
  <c r="CV95" i="1"/>
  <c r="EF5" i="1"/>
  <c r="EF30" i="1"/>
  <c r="EF54" i="1"/>
  <c r="EF78" i="1"/>
  <c r="EF102" i="1"/>
  <c r="FP38" i="1"/>
  <c r="FP86" i="1"/>
  <c r="GZ11" i="1"/>
  <c r="GZ35" i="1"/>
  <c r="GZ59" i="1"/>
  <c r="GZ83" i="1"/>
  <c r="IJ5" i="1"/>
  <c r="IJ17" i="1"/>
  <c r="IJ29" i="1"/>
  <c r="IJ41" i="1"/>
  <c r="IJ53" i="1"/>
  <c r="IJ65" i="1"/>
  <c r="IJ77" i="1"/>
  <c r="IJ89" i="1"/>
  <c r="IJ101" i="1"/>
  <c r="JT5" i="1"/>
  <c r="JT17" i="1"/>
  <c r="JT29" i="1"/>
  <c r="JT41" i="1"/>
  <c r="JT53" i="1"/>
  <c r="JT65" i="1"/>
  <c r="JT77" i="1"/>
  <c r="JT89" i="1"/>
  <c r="JT101" i="1"/>
  <c r="IC109" i="1"/>
  <c r="BL29" i="1"/>
  <c r="BL53" i="1"/>
  <c r="BL77" i="1"/>
  <c r="BL101" i="1"/>
  <c r="CV12" i="1"/>
  <c r="CV24" i="1"/>
  <c r="CV36" i="1"/>
  <c r="CV48" i="1"/>
  <c r="CV60" i="1"/>
  <c r="CV72" i="1"/>
  <c r="CV84" i="1"/>
  <c r="CV96" i="1"/>
  <c r="EF7" i="1"/>
  <c r="EF32" i="1"/>
  <c r="EF56" i="1"/>
  <c r="EF80" i="1"/>
  <c r="FP42" i="1"/>
  <c r="FP90" i="1"/>
  <c r="GZ13" i="1"/>
  <c r="GZ37" i="1"/>
  <c r="GZ61" i="1"/>
  <c r="GZ85" i="1"/>
  <c r="IJ6" i="1"/>
  <c r="IJ18" i="1"/>
  <c r="IJ30" i="1"/>
  <c r="IJ42" i="1"/>
  <c r="IJ54" i="1"/>
  <c r="IJ66" i="1"/>
  <c r="IJ78" i="1"/>
  <c r="IJ90" i="1"/>
  <c r="IJ102" i="1"/>
  <c r="JT6" i="1"/>
  <c r="JT18" i="1"/>
  <c r="JT30" i="1"/>
  <c r="JT42" i="1"/>
  <c r="JT54" i="1"/>
  <c r="JT66" i="1"/>
  <c r="JT78" i="1"/>
  <c r="JT90" i="1"/>
  <c r="JT102" i="1"/>
  <c r="X109" i="1"/>
  <c r="BH109" i="1"/>
  <c r="EB109" i="1"/>
  <c r="IF109" i="1"/>
  <c r="JP109" i="1"/>
  <c r="KZ109" i="1"/>
  <c r="BL6" i="1"/>
  <c r="BL30" i="1"/>
  <c r="BL54" i="1"/>
  <c r="BL78" i="1"/>
  <c r="BL102" i="1"/>
  <c r="CV13" i="1"/>
  <c r="CV25" i="1"/>
  <c r="CV37" i="1"/>
  <c r="CV49" i="1"/>
  <c r="CV61" i="1"/>
  <c r="CV73" i="1"/>
  <c r="CV85" i="1"/>
  <c r="CV97" i="1"/>
  <c r="EF9" i="1"/>
  <c r="EF34" i="1"/>
  <c r="EF58" i="1"/>
  <c r="EF82" i="1"/>
  <c r="FP46" i="1"/>
  <c r="FP94" i="1"/>
  <c r="GZ15" i="1"/>
  <c r="GZ39" i="1"/>
  <c r="GZ63" i="1"/>
  <c r="GZ87" i="1"/>
  <c r="IJ7" i="1"/>
  <c r="IJ19" i="1"/>
  <c r="IJ31" i="1"/>
  <c r="IJ43" i="1"/>
  <c r="IJ55" i="1"/>
  <c r="IJ67" i="1"/>
  <c r="IJ79" i="1"/>
  <c r="IJ91" i="1"/>
  <c r="IJ103" i="1"/>
  <c r="JT7" i="1"/>
  <c r="JT19" i="1"/>
  <c r="JT31" i="1"/>
  <c r="JT43" i="1"/>
  <c r="JT55" i="1"/>
  <c r="JT67" i="1"/>
  <c r="JT79" i="1"/>
  <c r="JT91" i="1"/>
  <c r="JT103" i="1"/>
  <c r="BL7" i="1"/>
  <c r="BL33" i="1"/>
  <c r="BL57" i="1"/>
  <c r="BL81" i="1"/>
  <c r="CV14" i="1"/>
  <c r="CV26" i="1"/>
  <c r="CV38" i="1"/>
  <c r="CV50" i="1"/>
  <c r="CV62" i="1"/>
  <c r="CV74" i="1"/>
  <c r="CV86" i="1"/>
  <c r="CV98" i="1"/>
  <c r="EF12" i="1"/>
  <c r="EF36" i="1"/>
  <c r="EF60" i="1"/>
  <c r="EF84" i="1"/>
  <c r="FP50" i="1"/>
  <c r="FP98" i="1"/>
  <c r="GZ17" i="1"/>
  <c r="GZ41" i="1"/>
  <c r="GZ65" i="1"/>
  <c r="GZ89" i="1"/>
  <c r="IJ8" i="1"/>
  <c r="IJ20" i="1"/>
  <c r="IJ32" i="1"/>
  <c r="IJ44" i="1"/>
  <c r="IJ56" i="1"/>
  <c r="IJ68" i="1"/>
  <c r="IJ80" i="1"/>
  <c r="IJ92" i="1"/>
  <c r="JT8" i="1"/>
  <c r="JT20" i="1"/>
  <c r="JT32" i="1"/>
  <c r="JT44" i="1"/>
  <c r="JT56" i="1"/>
  <c r="JT68" i="1"/>
  <c r="JT80" i="1"/>
  <c r="JT92" i="1"/>
  <c r="BL10" i="1"/>
  <c r="BL34" i="1"/>
  <c r="BL58" i="1"/>
  <c r="BL82" i="1"/>
  <c r="CV15" i="1"/>
  <c r="CV27" i="1"/>
  <c r="CV39" i="1"/>
  <c r="CV51" i="1"/>
  <c r="CV63" i="1"/>
  <c r="CV75" i="1"/>
  <c r="CV87" i="1"/>
  <c r="CV99" i="1"/>
  <c r="EF14" i="1"/>
  <c r="EF38" i="1"/>
  <c r="EF62" i="1"/>
  <c r="EF86" i="1"/>
  <c r="FP54" i="1"/>
  <c r="FP102" i="1"/>
  <c r="GZ19" i="1"/>
  <c r="GZ43" i="1"/>
  <c r="GZ67" i="1"/>
  <c r="GZ91" i="1"/>
  <c r="IJ9" i="1"/>
  <c r="IJ21" i="1"/>
  <c r="IJ33" i="1"/>
  <c r="IJ45" i="1"/>
  <c r="IJ57" i="1"/>
  <c r="IJ69" i="1"/>
  <c r="IJ81" i="1"/>
  <c r="IJ93" i="1"/>
  <c r="JT9" i="1"/>
  <c r="JT21" i="1"/>
  <c r="JT33" i="1"/>
  <c r="JT45" i="1"/>
  <c r="JT57" i="1"/>
  <c r="JT69" i="1"/>
  <c r="JT81" i="1"/>
  <c r="JT93" i="1"/>
  <c r="BL13" i="1"/>
  <c r="BL37" i="1"/>
  <c r="BL61" i="1"/>
  <c r="BL85" i="1"/>
  <c r="CV16" i="1"/>
  <c r="CV28" i="1"/>
  <c r="CV40" i="1"/>
  <c r="CV52" i="1"/>
  <c r="CV64" i="1"/>
  <c r="CV76" i="1"/>
  <c r="CV88" i="1"/>
  <c r="EF16" i="1"/>
  <c r="EF40" i="1"/>
  <c r="EF64" i="1"/>
  <c r="EF88" i="1"/>
  <c r="FP7" i="1"/>
  <c r="FP58" i="1"/>
  <c r="GZ21" i="1"/>
  <c r="GZ45" i="1"/>
  <c r="GZ69" i="1"/>
  <c r="GZ93" i="1"/>
  <c r="IJ10" i="1"/>
  <c r="IJ22" i="1"/>
  <c r="IJ34" i="1"/>
  <c r="IJ46" i="1"/>
  <c r="IJ58" i="1"/>
  <c r="IJ70" i="1"/>
  <c r="IJ82" i="1"/>
  <c r="JT10" i="1"/>
  <c r="JT22" i="1"/>
  <c r="JT34" i="1"/>
  <c r="JT46" i="1"/>
  <c r="JT58" i="1"/>
  <c r="JT70" i="1"/>
  <c r="JT82" i="1"/>
  <c r="AB30" i="1"/>
  <c r="AB38" i="1"/>
  <c r="AB78" i="1"/>
  <c r="AB101" i="1"/>
  <c r="AB33" i="1"/>
  <c r="AB34" i="1"/>
  <c r="AB82" i="1"/>
  <c r="AB42" i="1"/>
  <c r="AB90" i="1"/>
  <c r="AB46" i="1"/>
  <c r="AB94" i="1"/>
  <c r="AB50" i="1"/>
  <c r="AB98" i="1"/>
  <c r="AB54" i="1"/>
  <c r="AB102" i="1"/>
  <c r="AB7" i="1"/>
  <c r="AB58" i="1"/>
  <c r="AB14" i="1"/>
  <c r="AB62" i="1"/>
  <c r="AA109" i="1"/>
  <c r="AB18" i="1"/>
  <c r="AB66" i="1"/>
  <c r="AB22" i="1"/>
  <c r="AB70" i="1"/>
  <c r="AB26" i="1"/>
  <c r="AB74" i="1"/>
  <c r="P20" i="1"/>
  <c r="P44" i="1"/>
  <c r="P68" i="1"/>
  <c r="P92" i="1"/>
  <c r="AH38" i="1"/>
  <c r="P10" i="1"/>
  <c r="P22" i="1"/>
  <c r="P34" i="1"/>
  <c r="P46" i="1"/>
  <c r="P58" i="1"/>
  <c r="P70" i="1"/>
  <c r="P82" i="1"/>
  <c r="P94" i="1"/>
  <c r="AH18" i="1"/>
  <c r="AH42" i="1"/>
  <c r="AH66" i="1"/>
  <c r="AH90" i="1"/>
  <c r="BR12" i="1"/>
  <c r="BR24" i="1"/>
  <c r="BR36" i="1"/>
  <c r="BR48" i="1"/>
  <c r="BR60" i="1"/>
  <c r="BR72" i="1"/>
  <c r="BR84" i="1"/>
  <c r="BR96" i="1"/>
  <c r="DB13" i="1"/>
  <c r="DB25" i="1"/>
  <c r="DB37" i="1"/>
  <c r="DB49" i="1"/>
  <c r="DB61" i="1"/>
  <c r="DB73" i="1"/>
  <c r="DB85" i="1"/>
  <c r="DB97" i="1"/>
  <c r="EL14" i="1"/>
  <c r="EL26" i="1"/>
  <c r="EL38" i="1"/>
  <c r="EL50" i="1"/>
  <c r="EL62" i="1"/>
  <c r="EL74" i="1"/>
  <c r="EL86" i="1"/>
  <c r="EL98" i="1"/>
  <c r="FV16" i="1"/>
  <c r="FV32" i="1"/>
  <c r="FV48" i="1"/>
  <c r="FV64" i="1"/>
  <c r="FV80" i="1"/>
  <c r="FV96" i="1"/>
  <c r="HF36" i="1"/>
  <c r="HF84" i="1"/>
  <c r="IP8" i="1"/>
  <c r="IP20" i="1"/>
  <c r="IP32" i="1"/>
  <c r="IP44" i="1"/>
  <c r="IP56" i="1"/>
  <c r="IP68" i="1"/>
  <c r="IP80" i="1"/>
  <c r="IP92" i="1"/>
  <c r="JZ13" i="1"/>
  <c r="JZ25" i="1"/>
  <c r="JZ37" i="1"/>
  <c r="JZ49" i="1"/>
  <c r="JZ61" i="1"/>
  <c r="JZ73" i="1"/>
  <c r="JZ85" i="1"/>
  <c r="JZ97" i="1"/>
  <c r="KC14" i="1"/>
  <c r="KC38" i="1"/>
  <c r="KC62" i="1"/>
  <c r="KC86" i="1"/>
  <c r="AM109" i="1"/>
  <c r="GA109" i="1"/>
  <c r="HK109" i="1"/>
  <c r="P8" i="1"/>
  <c r="P32" i="1"/>
  <c r="P56" i="1"/>
  <c r="P80" i="1"/>
  <c r="AH62" i="1"/>
  <c r="BR10" i="1"/>
  <c r="BR22" i="1"/>
  <c r="BR46" i="1"/>
  <c r="BR58" i="1"/>
  <c r="BR70" i="1"/>
  <c r="BR94" i="1"/>
  <c r="P11" i="1"/>
  <c r="P23" i="1"/>
  <c r="P35" i="1"/>
  <c r="P47" i="1"/>
  <c r="P59" i="1"/>
  <c r="P71" i="1"/>
  <c r="P83" i="1"/>
  <c r="P95" i="1"/>
  <c r="AH20" i="1"/>
  <c r="AH44" i="1"/>
  <c r="AH68" i="1"/>
  <c r="AH92" i="1"/>
  <c r="BR13" i="1"/>
  <c r="BR25" i="1"/>
  <c r="BR37" i="1"/>
  <c r="BR49" i="1"/>
  <c r="BR61" i="1"/>
  <c r="BR73" i="1"/>
  <c r="BR85" i="1"/>
  <c r="BR97" i="1"/>
  <c r="DB14" i="1"/>
  <c r="DB26" i="1"/>
  <c r="DB38" i="1"/>
  <c r="DB50" i="1"/>
  <c r="DB62" i="1"/>
  <c r="DB74" i="1"/>
  <c r="DB86" i="1"/>
  <c r="DB98" i="1"/>
  <c r="EL15" i="1"/>
  <c r="EL27" i="1"/>
  <c r="EL39" i="1"/>
  <c r="EL51" i="1"/>
  <c r="EL63" i="1"/>
  <c r="EL75" i="1"/>
  <c r="EL87" i="1"/>
  <c r="EL99" i="1"/>
  <c r="FV18" i="1"/>
  <c r="FV34" i="1"/>
  <c r="FV50" i="1"/>
  <c r="FV66" i="1"/>
  <c r="FV82" i="1"/>
  <c r="FV98" i="1"/>
  <c r="HF40" i="1"/>
  <c r="HF88" i="1"/>
  <c r="IP9" i="1"/>
  <c r="IP21" i="1"/>
  <c r="IP33" i="1"/>
  <c r="IP45" i="1"/>
  <c r="IP57" i="1"/>
  <c r="IP69" i="1"/>
  <c r="IP81" i="1"/>
  <c r="IP93" i="1"/>
  <c r="JZ14" i="1"/>
  <c r="JZ26" i="1"/>
  <c r="JZ38" i="1"/>
  <c r="JZ50" i="1"/>
  <c r="JZ62" i="1"/>
  <c r="JZ74" i="1"/>
  <c r="JZ86" i="1"/>
  <c r="JZ98" i="1"/>
  <c r="KC17" i="1"/>
  <c r="KC41" i="1"/>
  <c r="KC65" i="1"/>
  <c r="KC89" i="1"/>
  <c r="P13" i="1"/>
  <c r="P25" i="1"/>
  <c r="P37" i="1"/>
  <c r="P49" i="1"/>
  <c r="P61" i="1"/>
  <c r="P73" i="1"/>
  <c r="P85" i="1"/>
  <c r="P97" i="1"/>
  <c r="AH24" i="1"/>
  <c r="AH48" i="1"/>
  <c r="AH72" i="1"/>
  <c r="AH96" i="1"/>
  <c r="BR15" i="1"/>
  <c r="BR27" i="1"/>
  <c r="BR39" i="1"/>
  <c r="BR51" i="1"/>
  <c r="BR63" i="1"/>
  <c r="BR75" i="1"/>
  <c r="BR87" i="1"/>
  <c r="BR99" i="1"/>
  <c r="DB16" i="1"/>
  <c r="DB28" i="1"/>
  <c r="DB40" i="1"/>
  <c r="DB52" i="1"/>
  <c r="DB64" i="1"/>
  <c r="DB76" i="1"/>
  <c r="DB88" i="1"/>
  <c r="DB100" i="1"/>
  <c r="EL5" i="1"/>
  <c r="EL17" i="1"/>
  <c r="EL29" i="1"/>
  <c r="EL41" i="1"/>
  <c r="EL53" i="1"/>
  <c r="EL65" i="1"/>
  <c r="EL77" i="1"/>
  <c r="EL89" i="1"/>
  <c r="EL101" i="1"/>
  <c r="FV20" i="1"/>
  <c r="FV36" i="1"/>
  <c r="FV52" i="1"/>
  <c r="FV68" i="1"/>
  <c r="FV84" i="1"/>
  <c r="FV100" i="1"/>
  <c r="HF48" i="1"/>
  <c r="HF96" i="1"/>
  <c r="IP11" i="1"/>
  <c r="IP23" i="1"/>
  <c r="IP35" i="1"/>
  <c r="IP47" i="1"/>
  <c r="IP59" i="1"/>
  <c r="IP71" i="1"/>
  <c r="IP83" i="1"/>
  <c r="IP95" i="1"/>
  <c r="JZ16" i="1"/>
  <c r="JZ28" i="1"/>
  <c r="JZ40" i="1"/>
  <c r="JZ52" i="1"/>
  <c r="JZ64" i="1"/>
  <c r="JZ76" i="1"/>
  <c r="JZ88" i="1"/>
  <c r="JZ100" i="1"/>
  <c r="P14" i="1"/>
  <c r="P26" i="1"/>
  <c r="P38" i="1"/>
  <c r="P50" i="1"/>
  <c r="P62" i="1"/>
  <c r="P74" i="1"/>
  <c r="P86" i="1"/>
  <c r="P98" i="1"/>
  <c r="AH26" i="1"/>
  <c r="AH50" i="1"/>
  <c r="AH74" i="1"/>
  <c r="AH98" i="1"/>
  <c r="BR16" i="1"/>
  <c r="BR28" i="1"/>
  <c r="BR40" i="1"/>
  <c r="BR52" i="1"/>
  <c r="BR64" i="1"/>
  <c r="BR76" i="1"/>
  <c r="BR88" i="1"/>
  <c r="BR100" i="1"/>
  <c r="DB5" i="1"/>
  <c r="DB17" i="1"/>
  <c r="DB29" i="1"/>
  <c r="DB41" i="1"/>
  <c r="DB53" i="1"/>
  <c r="DB65" i="1"/>
  <c r="DB77" i="1"/>
  <c r="DB89" i="1"/>
  <c r="DB101" i="1"/>
  <c r="EL6" i="1"/>
  <c r="EL18" i="1"/>
  <c r="EL30" i="1"/>
  <c r="EL42" i="1"/>
  <c r="EL54" i="1"/>
  <c r="EL66" i="1"/>
  <c r="EL78" i="1"/>
  <c r="EL90" i="1"/>
  <c r="EL102" i="1"/>
  <c r="FV5" i="1"/>
  <c r="FV22" i="1"/>
  <c r="FV38" i="1"/>
  <c r="FV54" i="1"/>
  <c r="FV70" i="1"/>
  <c r="FV86" i="1"/>
  <c r="FV102" i="1"/>
  <c r="HF5" i="1"/>
  <c r="HF52" i="1"/>
  <c r="HF100" i="1"/>
  <c r="IP12" i="1"/>
  <c r="IP24" i="1"/>
  <c r="IP36" i="1"/>
  <c r="IP48" i="1"/>
  <c r="IP60" i="1"/>
  <c r="IP72" i="1"/>
  <c r="IP84" i="1"/>
  <c r="IP96" i="1"/>
  <c r="JZ5" i="1"/>
  <c r="JZ17" i="1"/>
  <c r="JZ29" i="1"/>
  <c r="JZ41" i="1"/>
  <c r="JZ53" i="1"/>
  <c r="JZ65" i="1"/>
  <c r="JZ77" i="1"/>
  <c r="JZ89" i="1"/>
  <c r="JZ101" i="1"/>
  <c r="KC22" i="1"/>
  <c r="KC46" i="1"/>
  <c r="KC70" i="1"/>
  <c r="KC94" i="1"/>
  <c r="P15" i="1"/>
  <c r="P27" i="1"/>
  <c r="P39" i="1"/>
  <c r="P51" i="1"/>
  <c r="P63" i="1"/>
  <c r="P75" i="1"/>
  <c r="P87" i="1"/>
  <c r="P99" i="1"/>
  <c r="AH28" i="1"/>
  <c r="AH52" i="1"/>
  <c r="AH76" i="1"/>
  <c r="AH100" i="1"/>
  <c r="BR5" i="1"/>
  <c r="BR17" i="1"/>
  <c r="BR29" i="1"/>
  <c r="BR41" i="1"/>
  <c r="BR53" i="1"/>
  <c r="BR65" i="1"/>
  <c r="BR77" i="1"/>
  <c r="BR89" i="1"/>
  <c r="BR101" i="1"/>
  <c r="DB6" i="1"/>
  <c r="DB18" i="1"/>
  <c r="DB30" i="1"/>
  <c r="DB42" i="1"/>
  <c r="DB54" i="1"/>
  <c r="DB66" i="1"/>
  <c r="DB78" i="1"/>
  <c r="DB90" i="1"/>
  <c r="DB102" i="1"/>
  <c r="EL7" i="1"/>
  <c r="EL19" i="1"/>
  <c r="EL31" i="1"/>
  <c r="EL43" i="1"/>
  <c r="EL55" i="1"/>
  <c r="EL67" i="1"/>
  <c r="EL79" i="1"/>
  <c r="EL91" i="1"/>
  <c r="EL103" i="1"/>
  <c r="FV7" i="1"/>
  <c r="FV23" i="1"/>
  <c r="FV39" i="1"/>
  <c r="FV55" i="1"/>
  <c r="FV71" i="1"/>
  <c r="FV87" i="1"/>
  <c r="FV103" i="1"/>
  <c r="HF9" i="1"/>
  <c r="HF56" i="1"/>
  <c r="IP13" i="1"/>
  <c r="IP25" i="1"/>
  <c r="IP37" i="1"/>
  <c r="IP49" i="1"/>
  <c r="IP61" i="1"/>
  <c r="IP73" i="1"/>
  <c r="IP85" i="1"/>
  <c r="IP97" i="1"/>
  <c r="JZ6" i="1"/>
  <c r="JZ18" i="1"/>
  <c r="JZ30" i="1"/>
  <c r="JZ42" i="1"/>
  <c r="JZ54" i="1"/>
  <c r="JZ66" i="1"/>
  <c r="JZ78" i="1"/>
  <c r="JZ90" i="1"/>
  <c r="JZ102" i="1"/>
  <c r="KC25" i="1"/>
  <c r="KC49" i="1"/>
  <c r="KC73" i="1"/>
  <c r="KC97" i="1"/>
  <c r="P16" i="1"/>
  <c r="P28" i="1"/>
  <c r="P40" i="1"/>
  <c r="P52" i="1"/>
  <c r="P64" i="1"/>
  <c r="P76" i="1"/>
  <c r="P88" i="1"/>
  <c r="P100" i="1"/>
  <c r="AH5" i="1"/>
  <c r="AH30" i="1"/>
  <c r="AH54" i="1"/>
  <c r="AH78" i="1"/>
  <c r="AH102" i="1"/>
  <c r="BR6" i="1"/>
  <c r="BR18" i="1"/>
  <c r="BR30" i="1"/>
  <c r="BR42" i="1"/>
  <c r="BR54" i="1"/>
  <c r="BR66" i="1"/>
  <c r="BR78" i="1"/>
  <c r="BR90" i="1"/>
  <c r="BR102" i="1"/>
  <c r="DB7" i="1"/>
  <c r="DB19" i="1"/>
  <c r="DB31" i="1"/>
  <c r="DB43" i="1"/>
  <c r="DB55" i="1"/>
  <c r="DB67" i="1"/>
  <c r="DB79" i="1"/>
  <c r="DB91" i="1"/>
  <c r="DB103" i="1"/>
  <c r="EL8" i="1"/>
  <c r="EL20" i="1"/>
  <c r="EL32" i="1"/>
  <c r="EL44" i="1"/>
  <c r="EL56" i="1"/>
  <c r="EL68" i="1"/>
  <c r="EL80" i="1"/>
  <c r="EL92" i="1"/>
  <c r="FV8" i="1"/>
  <c r="FV24" i="1"/>
  <c r="FV40" i="1"/>
  <c r="FV56" i="1"/>
  <c r="FV72" i="1"/>
  <c r="FV88" i="1"/>
  <c r="HF12" i="1"/>
  <c r="HF60" i="1"/>
  <c r="IP14" i="1"/>
  <c r="IP26" i="1"/>
  <c r="IP38" i="1"/>
  <c r="IP50" i="1"/>
  <c r="IP62" i="1"/>
  <c r="IP74" i="1"/>
  <c r="IP86" i="1"/>
  <c r="IP98" i="1"/>
  <c r="JZ7" i="1"/>
  <c r="JZ19" i="1"/>
  <c r="JZ31" i="1"/>
  <c r="JZ43" i="1"/>
  <c r="JZ55" i="1"/>
  <c r="JZ67" i="1"/>
  <c r="JZ79" i="1"/>
  <c r="JZ91" i="1"/>
  <c r="JZ103" i="1"/>
  <c r="KC26" i="1"/>
  <c r="KC50" i="1"/>
  <c r="KC74" i="1"/>
  <c r="KC98" i="1"/>
  <c r="P5" i="1"/>
  <c r="P17" i="1"/>
  <c r="P29" i="1"/>
  <c r="P41" i="1"/>
  <c r="P53" i="1"/>
  <c r="P65" i="1"/>
  <c r="P77" i="1"/>
  <c r="P89" i="1"/>
  <c r="P101" i="1"/>
  <c r="AH7" i="1"/>
  <c r="AH32" i="1"/>
  <c r="AH56" i="1"/>
  <c r="AH80" i="1"/>
  <c r="BR7" i="1"/>
  <c r="BR19" i="1"/>
  <c r="BR31" i="1"/>
  <c r="BR43" i="1"/>
  <c r="BR55" i="1"/>
  <c r="BR67" i="1"/>
  <c r="BR79" i="1"/>
  <c r="BR91" i="1"/>
  <c r="BR103" i="1"/>
  <c r="DB8" i="1"/>
  <c r="DB20" i="1"/>
  <c r="DB32" i="1"/>
  <c r="DB44" i="1"/>
  <c r="DB56" i="1"/>
  <c r="DB68" i="1"/>
  <c r="DB80" i="1"/>
  <c r="DB92" i="1"/>
  <c r="EL9" i="1"/>
  <c r="EL21" i="1"/>
  <c r="EL33" i="1"/>
  <c r="EL45" i="1"/>
  <c r="EL57" i="1"/>
  <c r="EL69" i="1"/>
  <c r="EL81" i="1"/>
  <c r="EL93" i="1"/>
  <c r="FV9" i="1"/>
  <c r="FV26" i="1"/>
  <c r="FV42" i="1"/>
  <c r="FV58" i="1"/>
  <c r="FV74" i="1"/>
  <c r="FV90" i="1"/>
  <c r="HF16" i="1"/>
  <c r="HF64" i="1"/>
  <c r="IP15" i="1"/>
  <c r="IP27" i="1"/>
  <c r="IP39" i="1"/>
  <c r="IP51" i="1"/>
  <c r="IP63" i="1"/>
  <c r="IP75" i="1"/>
  <c r="IP87" i="1"/>
  <c r="IP99" i="1"/>
  <c r="JZ8" i="1"/>
  <c r="JZ20" i="1"/>
  <c r="JZ32" i="1"/>
  <c r="JZ44" i="1"/>
  <c r="JZ56" i="1"/>
  <c r="JZ68" i="1"/>
  <c r="JZ80" i="1"/>
  <c r="JZ92" i="1"/>
  <c r="HZ109" i="1"/>
  <c r="JJ109" i="1"/>
  <c r="KT109" i="1"/>
  <c r="P6" i="1"/>
  <c r="P18" i="1"/>
  <c r="P30" i="1"/>
  <c r="P42" i="1"/>
  <c r="P54" i="1"/>
  <c r="P66" i="1"/>
  <c r="P78" i="1"/>
  <c r="P90" i="1"/>
  <c r="P102" i="1"/>
  <c r="AH9" i="1"/>
  <c r="AH34" i="1"/>
  <c r="AH58" i="1"/>
  <c r="AH82" i="1"/>
  <c r="BR8" i="1"/>
  <c r="BR20" i="1"/>
  <c r="BR32" i="1"/>
  <c r="BR44" i="1"/>
  <c r="BR56" i="1"/>
  <c r="BR68" i="1"/>
  <c r="BR80" i="1"/>
  <c r="BR92" i="1"/>
  <c r="DB9" i="1"/>
  <c r="DB21" i="1"/>
  <c r="DB33" i="1"/>
  <c r="DB45" i="1"/>
  <c r="DB57" i="1"/>
  <c r="DB69" i="1"/>
  <c r="DB81" i="1"/>
  <c r="DB93" i="1"/>
  <c r="EL10" i="1"/>
  <c r="EL22" i="1"/>
  <c r="EL34" i="1"/>
  <c r="EL46" i="1"/>
  <c r="EL58" i="1"/>
  <c r="EL70" i="1"/>
  <c r="EL82" i="1"/>
  <c r="EL94" i="1"/>
  <c r="FV11" i="1"/>
  <c r="FV27" i="1"/>
  <c r="FV43" i="1"/>
  <c r="FV59" i="1"/>
  <c r="FV75" i="1"/>
  <c r="FV91" i="1"/>
  <c r="HF20" i="1"/>
  <c r="HF68" i="1"/>
  <c r="IP16" i="1"/>
  <c r="IP28" i="1"/>
  <c r="IP40" i="1"/>
  <c r="IP52" i="1"/>
  <c r="IP64" i="1"/>
  <c r="IP76" i="1"/>
  <c r="IP88" i="1"/>
  <c r="IP100" i="1"/>
  <c r="JZ9" i="1"/>
  <c r="JZ21" i="1"/>
  <c r="JZ33" i="1"/>
  <c r="JZ45" i="1"/>
  <c r="JZ57" i="1"/>
  <c r="JZ69" i="1"/>
  <c r="JZ81" i="1"/>
  <c r="JZ93" i="1"/>
  <c r="KC6" i="1"/>
  <c r="KC30" i="1"/>
  <c r="KC54" i="1"/>
  <c r="KC78" i="1"/>
  <c r="KC102" i="1"/>
  <c r="P7" i="1"/>
  <c r="P19" i="1"/>
  <c r="P31" i="1"/>
  <c r="P43" i="1"/>
  <c r="P55" i="1"/>
  <c r="P67" i="1"/>
  <c r="P79" i="1"/>
  <c r="P91" i="1"/>
  <c r="P103" i="1"/>
  <c r="AH12" i="1"/>
  <c r="AH36" i="1"/>
  <c r="AH60" i="1"/>
  <c r="AH84" i="1"/>
  <c r="BR9" i="1"/>
  <c r="BR21" i="1"/>
  <c r="BR33" i="1"/>
  <c r="BR45" i="1"/>
  <c r="BR57" i="1"/>
  <c r="BR69" i="1"/>
  <c r="BR81" i="1"/>
  <c r="BR93" i="1"/>
  <c r="DB10" i="1"/>
  <c r="DB22" i="1"/>
  <c r="DB34" i="1"/>
  <c r="DB46" i="1"/>
  <c r="DB58" i="1"/>
  <c r="DB70" i="1"/>
  <c r="DB82" i="1"/>
  <c r="DB94" i="1"/>
  <c r="EL11" i="1"/>
  <c r="EL23" i="1"/>
  <c r="EL35" i="1"/>
  <c r="EL47" i="1"/>
  <c r="EL59" i="1"/>
  <c r="EL71" i="1"/>
  <c r="EL83" i="1"/>
  <c r="EL95" i="1"/>
  <c r="FV12" i="1"/>
  <c r="FV28" i="1"/>
  <c r="FV44" i="1"/>
  <c r="FV60" i="1"/>
  <c r="FV76" i="1"/>
  <c r="FV92" i="1"/>
  <c r="HF24" i="1"/>
  <c r="HF72" i="1"/>
  <c r="IP5" i="1"/>
  <c r="IP17" i="1"/>
  <c r="IP29" i="1"/>
  <c r="IP41" i="1"/>
  <c r="IP53" i="1"/>
  <c r="IP65" i="1"/>
  <c r="IP77" i="1"/>
  <c r="IP89" i="1"/>
  <c r="IP101" i="1"/>
  <c r="JZ10" i="1"/>
  <c r="JZ22" i="1"/>
  <c r="JZ34" i="1"/>
  <c r="JZ46" i="1"/>
  <c r="JZ58" i="1"/>
  <c r="JZ70" i="1"/>
  <c r="JZ82" i="1"/>
  <c r="JZ94" i="1"/>
  <c r="KC9" i="1"/>
  <c r="KC33" i="1"/>
  <c r="KC57" i="1"/>
  <c r="KC81" i="1"/>
  <c r="DB11" i="1"/>
  <c r="DB23" i="1"/>
  <c r="DB35" i="1"/>
  <c r="DB47" i="1"/>
  <c r="DB59" i="1"/>
  <c r="DB71" i="1"/>
  <c r="DB83" i="1"/>
  <c r="DB95" i="1"/>
  <c r="EL12" i="1"/>
  <c r="EL24" i="1"/>
  <c r="EL36" i="1"/>
  <c r="EL48" i="1"/>
  <c r="EL60" i="1"/>
  <c r="EL72" i="1"/>
  <c r="EL84" i="1"/>
  <c r="EL96" i="1"/>
  <c r="FV14" i="1"/>
  <c r="FV30" i="1"/>
  <c r="FV46" i="1"/>
  <c r="FV62" i="1"/>
  <c r="FV78" i="1"/>
  <c r="FV94" i="1"/>
  <c r="HF28" i="1"/>
  <c r="HF76" i="1"/>
  <c r="IP6" i="1"/>
  <c r="IP18" i="1"/>
  <c r="IP30" i="1"/>
  <c r="IP42" i="1"/>
  <c r="IP54" i="1"/>
  <c r="IP66" i="1"/>
  <c r="IP78" i="1"/>
  <c r="IP90" i="1"/>
  <c r="IP102" i="1"/>
  <c r="JZ11" i="1"/>
  <c r="JZ23" i="1"/>
  <c r="JZ35" i="1"/>
  <c r="JZ47" i="1"/>
  <c r="JZ59" i="1"/>
  <c r="JZ71" i="1"/>
  <c r="JZ83" i="1"/>
  <c r="JZ95" i="1"/>
  <c r="KC10" i="1"/>
  <c r="KC34" i="1"/>
  <c r="KC58" i="1"/>
  <c r="KC82" i="1"/>
  <c r="AH14" i="1"/>
  <c r="AH86" i="1"/>
  <c r="BR34" i="1"/>
  <c r="BR82" i="1"/>
  <c r="P9" i="1"/>
  <c r="P21" i="1"/>
  <c r="P33" i="1"/>
  <c r="P45" i="1"/>
  <c r="P57" i="1"/>
  <c r="P69" i="1"/>
  <c r="P81" i="1"/>
  <c r="AH16" i="1"/>
  <c r="AH40" i="1"/>
  <c r="AH64" i="1"/>
  <c r="AH88" i="1"/>
  <c r="BR11" i="1"/>
  <c r="BR23" i="1"/>
  <c r="BR35" i="1"/>
  <c r="BR47" i="1"/>
  <c r="BR59" i="1"/>
  <c r="BR71" i="1"/>
  <c r="BR83" i="1"/>
  <c r="DB12" i="1"/>
  <c r="DB24" i="1"/>
  <c r="DB36" i="1"/>
  <c r="DB48" i="1"/>
  <c r="DB60" i="1"/>
  <c r="DB72" i="1"/>
  <c r="DB84" i="1"/>
  <c r="EL13" i="1"/>
  <c r="EL25" i="1"/>
  <c r="EL37" i="1"/>
  <c r="EL49" i="1"/>
  <c r="EL61" i="1"/>
  <c r="EL73" i="1"/>
  <c r="EL85" i="1"/>
  <c r="FV15" i="1"/>
  <c r="FV31" i="1"/>
  <c r="FV47" i="1"/>
  <c r="FV63" i="1"/>
  <c r="FV79" i="1"/>
  <c r="FV95" i="1"/>
  <c r="HF32" i="1"/>
  <c r="HF80" i="1"/>
  <c r="IP7" i="1"/>
  <c r="IP19" i="1"/>
  <c r="IP31" i="1"/>
  <c r="IP43" i="1"/>
  <c r="IP55" i="1"/>
  <c r="IP67" i="1"/>
  <c r="IP79" i="1"/>
  <c r="IP91" i="1"/>
  <c r="JZ12" i="1"/>
  <c r="JZ24" i="1"/>
  <c r="JZ36" i="1"/>
  <c r="JZ48" i="1"/>
  <c r="JZ60" i="1"/>
  <c r="JZ72" i="1"/>
  <c r="JZ84" i="1"/>
  <c r="KC13" i="1"/>
  <c r="KC37" i="1"/>
  <c r="KC61" i="1"/>
  <c r="IL109" i="1"/>
  <c r="JV109" i="1"/>
  <c r="GG67" i="1"/>
  <c r="GG53" i="1"/>
  <c r="LC5" i="1"/>
  <c r="EZ109" i="1"/>
  <c r="GZ6" i="1"/>
  <c r="GZ8" i="1"/>
  <c r="GZ10" i="1"/>
  <c r="GZ12" i="1"/>
  <c r="GZ14" i="1"/>
  <c r="GZ16" i="1"/>
  <c r="GZ18" i="1"/>
  <c r="GZ20" i="1"/>
  <c r="GZ22" i="1"/>
  <c r="GZ24" i="1"/>
  <c r="GZ26" i="1"/>
  <c r="GZ28" i="1"/>
  <c r="GZ30" i="1"/>
  <c r="GZ32" i="1"/>
  <c r="GZ34" i="1"/>
  <c r="GZ36" i="1"/>
  <c r="GZ38" i="1"/>
  <c r="GZ40" i="1"/>
  <c r="GZ42" i="1"/>
  <c r="GZ44" i="1"/>
  <c r="GZ46" i="1"/>
  <c r="GZ48" i="1"/>
  <c r="GZ50" i="1"/>
  <c r="GZ52" i="1"/>
  <c r="GZ54" i="1"/>
  <c r="GZ56" i="1"/>
  <c r="GZ58" i="1"/>
  <c r="GZ60" i="1"/>
  <c r="GZ62" i="1"/>
  <c r="GZ64" i="1"/>
  <c r="GZ66" i="1"/>
  <c r="GZ68" i="1"/>
  <c r="GZ70" i="1"/>
  <c r="GZ72" i="1"/>
  <c r="GZ74" i="1"/>
  <c r="GZ76" i="1"/>
  <c r="GZ78" i="1"/>
  <c r="GZ80" i="1"/>
  <c r="GZ82" i="1"/>
  <c r="GZ84" i="1"/>
  <c r="GZ86" i="1"/>
  <c r="GZ88" i="1"/>
  <c r="GZ90" i="1"/>
  <c r="GZ92" i="1"/>
  <c r="GZ94" i="1"/>
  <c r="GZ96" i="1"/>
  <c r="GZ98" i="1"/>
  <c r="GZ100" i="1"/>
  <c r="FM6" i="1"/>
  <c r="FM10" i="1"/>
  <c r="FM13" i="1"/>
  <c r="FM17" i="1"/>
  <c r="FM21" i="1"/>
  <c r="FM25" i="1"/>
  <c r="FM29" i="1"/>
  <c r="FM33" i="1"/>
  <c r="FM37" i="1"/>
  <c r="FM41" i="1"/>
  <c r="FM45" i="1"/>
  <c r="FM49" i="1"/>
  <c r="FM53" i="1"/>
  <c r="FM57" i="1"/>
  <c r="FM61" i="1"/>
  <c r="FM65" i="1"/>
  <c r="FM69" i="1"/>
  <c r="FM73" i="1"/>
  <c r="FM77" i="1"/>
  <c r="FM81" i="1"/>
  <c r="FM85" i="1"/>
  <c r="FM89" i="1"/>
  <c r="FM93" i="1"/>
  <c r="FM97" i="1"/>
  <c r="FM101" i="1"/>
  <c r="FF109" i="1"/>
  <c r="ET109" i="1"/>
  <c r="DZ7" i="1"/>
  <c r="DZ12" i="1"/>
  <c r="DZ16" i="1"/>
  <c r="DZ20" i="1"/>
  <c r="DZ24" i="1"/>
  <c r="DZ28" i="1"/>
  <c r="DZ32" i="1"/>
  <c r="DZ36" i="1"/>
  <c r="DZ40" i="1"/>
  <c r="DZ44" i="1"/>
  <c r="DZ48" i="1"/>
  <c r="DZ52" i="1"/>
  <c r="DZ56" i="1"/>
  <c r="DZ60" i="1"/>
  <c r="DZ64" i="1"/>
  <c r="DZ68" i="1"/>
  <c r="DZ72" i="1"/>
  <c r="DZ76" i="1"/>
  <c r="DZ80" i="1"/>
  <c r="DZ84" i="1"/>
  <c r="DZ88" i="1"/>
  <c r="DZ92" i="1"/>
  <c r="DZ96" i="1"/>
  <c r="DZ100" i="1"/>
  <c r="DJ109" i="1"/>
  <c r="BN109" i="1"/>
  <c r="AD109" i="1"/>
  <c r="CG6" i="1"/>
  <c r="CG9" i="1"/>
  <c r="CG11" i="1"/>
  <c r="CG13" i="1"/>
  <c r="CG16" i="1"/>
  <c r="CG19" i="1"/>
  <c r="CG21" i="1"/>
  <c r="CG24" i="1"/>
  <c r="CG27" i="1"/>
  <c r="CG29" i="1"/>
  <c r="CG32" i="1"/>
  <c r="CG35" i="1"/>
  <c r="CG37" i="1"/>
  <c r="CG40" i="1"/>
  <c r="CG43" i="1"/>
  <c r="CG45" i="1"/>
  <c r="CG48" i="1"/>
  <c r="CG51" i="1"/>
  <c r="CG53" i="1"/>
  <c r="CG56" i="1"/>
  <c r="CG59" i="1"/>
  <c r="CG61" i="1"/>
  <c r="CG64" i="1"/>
  <c r="CG67" i="1"/>
  <c r="CG69" i="1"/>
  <c r="CG72" i="1"/>
  <c r="CG75" i="1"/>
  <c r="CG77" i="1"/>
  <c r="CG80" i="1"/>
  <c r="CG83" i="1"/>
  <c r="CG85" i="1"/>
  <c r="CG88" i="1"/>
  <c r="CG91" i="1"/>
  <c r="CG93" i="1"/>
  <c r="CG96" i="1"/>
  <c r="CG99" i="1"/>
  <c r="CG101" i="1"/>
  <c r="R109" i="1"/>
  <c r="JQ100" i="1"/>
  <c r="JQ103" i="1"/>
  <c r="JQ99" i="1"/>
  <c r="JQ95" i="1"/>
  <c r="JQ91" i="1"/>
  <c r="KC100" i="1"/>
  <c r="KC96" i="1"/>
  <c r="KC92" i="1"/>
  <c r="KC88" i="1"/>
  <c r="KC84" i="1"/>
  <c r="KC80" i="1"/>
  <c r="KC76" i="1"/>
  <c r="KC72" i="1"/>
  <c r="KC68" i="1"/>
  <c r="KC64" i="1"/>
  <c r="KC60" i="1"/>
  <c r="KC56" i="1"/>
  <c r="KC52" i="1"/>
  <c r="KC48" i="1"/>
  <c r="KC44" i="1"/>
  <c r="KC40" i="1"/>
  <c r="KC36" i="1"/>
  <c r="KC32" i="1"/>
  <c r="KC28" i="1"/>
  <c r="KC24" i="1"/>
  <c r="KC20" i="1"/>
  <c r="KC16" i="1"/>
  <c r="KC12" i="1"/>
  <c r="KC8" i="1"/>
  <c r="KC103" i="1"/>
  <c r="KC99" i="1"/>
  <c r="KC95" i="1"/>
  <c r="KC91" i="1"/>
  <c r="KC87" i="1"/>
  <c r="KC83" i="1"/>
  <c r="KC79" i="1"/>
  <c r="KC75" i="1"/>
  <c r="KC71" i="1"/>
  <c r="KC67" i="1"/>
  <c r="KC63" i="1"/>
  <c r="KC59" i="1"/>
  <c r="KC55" i="1"/>
  <c r="KC51" i="1"/>
  <c r="KC47" i="1"/>
  <c r="KC43" i="1"/>
  <c r="KC39" i="1"/>
  <c r="KC35" i="1"/>
  <c r="KC31" i="1"/>
  <c r="KC27" i="1"/>
  <c r="KC23" i="1"/>
  <c r="KC19" i="1"/>
  <c r="KC15" i="1"/>
  <c r="KC11" i="1"/>
  <c r="KC7" i="1"/>
  <c r="KO102" i="1"/>
  <c r="KO98" i="1"/>
  <c r="KO94" i="1"/>
  <c r="KO90" i="1"/>
  <c r="KO86" i="1"/>
  <c r="KO82" i="1"/>
  <c r="KO78" i="1"/>
  <c r="KO74" i="1"/>
  <c r="KO70" i="1"/>
  <c r="KO66" i="1"/>
  <c r="KO62" i="1"/>
  <c r="KO58" i="1"/>
  <c r="KO54" i="1"/>
  <c r="KO50" i="1"/>
  <c r="KO46" i="1"/>
  <c r="KO42" i="1"/>
  <c r="KO38" i="1"/>
  <c r="KO34" i="1"/>
  <c r="KO30" i="1"/>
  <c r="KO26" i="1"/>
  <c r="KO22" i="1"/>
  <c r="KO18" i="1"/>
  <c r="KO14" i="1"/>
  <c r="KO10" i="1"/>
  <c r="KO6" i="1"/>
  <c r="KO101" i="1"/>
  <c r="KO97" i="1"/>
  <c r="KO93" i="1"/>
  <c r="KO89" i="1"/>
  <c r="KO85" i="1"/>
  <c r="KO81" i="1"/>
  <c r="KO77" i="1"/>
  <c r="KO73" i="1"/>
  <c r="KO69" i="1"/>
  <c r="KO65" i="1"/>
  <c r="KO61" i="1"/>
  <c r="KO57" i="1"/>
  <c r="KO53" i="1"/>
  <c r="KO49" i="1"/>
  <c r="KO45" i="1"/>
  <c r="KO41" i="1"/>
  <c r="KO37" i="1"/>
  <c r="KO33" i="1"/>
  <c r="KO29" i="1"/>
  <c r="KO25" i="1"/>
  <c r="KO21" i="1"/>
  <c r="KO17" i="1"/>
  <c r="KO13" i="1"/>
  <c r="KO9" i="1"/>
  <c r="KO5" i="1"/>
  <c r="LA102" i="1"/>
  <c r="LA96" i="1"/>
  <c r="LA88" i="1"/>
  <c r="LA80" i="1"/>
  <c r="LA72" i="1"/>
  <c r="LA64" i="1"/>
  <c r="LA56" i="1"/>
  <c r="LA48" i="1"/>
  <c r="LA40" i="1"/>
  <c r="LA32" i="1"/>
  <c r="LA24" i="1"/>
  <c r="LA16" i="1"/>
  <c r="LA9" i="1"/>
  <c r="LA103" i="1"/>
  <c r="LA95" i="1"/>
  <c r="LA87" i="1"/>
  <c r="LA79" i="1"/>
  <c r="LA71" i="1"/>
  <c r="LA63" i="1"/>
  <c r="LA55" i="1"/>
  <c r="LA47" i="1"/>
  <c r="LA39" i="1"/>
  <c r="LA31" i="1"/>
  <c r="LA23" i="1"/>
  <c r="LA15" i="1"/>
  <c r="LA8" i="1"/>
  <c r="AG109" i="1"/>
  <c r="AS109" i="1"/>
  <c r="BE109" i="1"/>
  <c r="CC109" i="1"/>
  <c r="CO109" i="1"/>
  <c r="DM109" i="1"/>
  <c r="FI109" i="1"/>
  <c r="GG109" i="1"/>
  <c r="HQ109" i="1"/>
  <c r="IO109" i="1"/>
  <c r="JA109" i="1"/>
  <c r="JM109" i="1"/>
  <c r="JY109" i="1"/>
  <c r="KK109" i="1"/>
  <c r="KW109" i="1"/>
  <c r="DG109" i="1"/>
  <c r="FC109" i="1"/>
  <c r="GY109" i="1"/>
  <c r="II109" i="1"/>
  <c r="IU109" i="1"/>
  <c r="KE109" i="1"/>
  <c r="KQ109" i="1"/>
  <c r="BZ109" i="1"/>
  <c r="CA5" i="1"/>
  <c r="CA9" i="1"/>
  <c r="CA12" i="1"/>
  <c r="CA16" i="1"/>
  <c r="CA20" i="1"/>
  <c r="CA24" i="1"/>
  <c r="CA28" i="1"/>
  <c r="CA32" i="1"/>
  <c r="CA36" i="1"/>
  <c r="CA40" i="1"/>
  <c r="CA44" i="1"/>
  <c r="CA48" i="1"/>
  <c r="CA52" i="1"/>
  <c r="CA56" i="1"/>
  <c r="CA60" i="1"/>
  <c r="CA64" i="1"/>
  <c r="CA68" i="1"/>
  <c r="CA72" i="1"/>
  <c r="CA76" i="1"/>
  <c r="CA80" i="1"/>
  <c r="CA84" i="1"/>
  <c r="CA88" i="1"/>
  <c r="CA92" i="1"/>
  <c r="CA96" i="1"/>
  <c r="CA100" i="1"/>
  <c r="CA7" i="1"/>
  <c r="CA14" i="1"/>
  <c r="CA18" i="1"/>
  <c r="CA22" i="1"/>
  <c r="CA26" i="1"/>
  <c r="CA30" i="1"/>
  <c r="CA34" i="1"/>
  <c r="CA38" i="1"/>
  <c r="CA42" i="1"/>
  <c r="CA46" i="1"/>
  <c r="CA50" i="1"/>
  <c r="CA54" i="1"/>
  <c r="CA58" i="1"/>
  <c r="CA62" i="1"/>
  <c r="CA66" i="1"/>
  <c r="CA70" i="1"/>
  <c r="CA74" i="1"/>
  <c r="CA78" i="1"/>
  <c r="CA82" i="1"/>
  <c r="CA86" i="1"/>
  <c r="CA90" i="1"/>
  <c r="CA94" i="1"/>
  <c r="CA98" i="1"/>
  <c r="HB109" i="1"/>
  <c r="HC6" i="1"/>
  <c r="HC10" i="1"/>
  <c r="HC13" i="1"/>
  <c r="HC17" i="1"/>
  <c r="HC21" i="1"/>
  <c r="HC25" i="1"/>
  <c r="HC29" i="1"/>
  <c r="HC33" i="1"/>
  <c r="HC37" i="1"/>
  <c r="HC41" i="1"/>
  <c r="HC45" i="1"/>
  <c r="HC49" i="1"/>
  <c r="HC53" i="1"/>
  <c r="HC57" i="1"/>
  <c r="HC61" i="1"/>
  <c r="HC65" i="1"/>
  <c r="HC69" i="1"/>
  <c r="HC73" i="1"/>
  <c r="HC77" i="1"/>
  <c r="HC81" i="1"/>
  <c r="HC85" i="1"/>
  <c r="HC89" i="1"/>
  <c r="HC93" i="1"/>
  <c r="HC97" i="1"/>
  <c r="HC101" i="1"/>
  <c r="HC8" i="1"/>
  <c r="HC11" i="1"/>
  <c r="HC15" i="1"/>
  <c r="HC19" i="1"/>
  <c r="HC23" i="1"/>
  <c r="HC27" i="1"/>
  <c r="HC31" i="1"/>
  <c r="HC35" i="1"/>
  <c r="HC39" i="1"/>
  <c r="HC43" i="1"/>
  <c r="HC47" i="1"/>
  <c r="HC51" i="1"/>
  <c r="HC55" i="1"/>
  <c r="HC59" i="1"/>
  <c r="HC63" i="1"/>
  <c r="HC67" i="1"/>
  <c r="HC71" i="1"/>
  <c r="HC75" i="1"/>
  <c r="HC79" i="1"/>
  <c r="HC83" i="1"/>
  <c r="HC87" i="1"/>
  <c r="HC91" i="1"/>
  <c r="HC95" i="1"/>
  <c r="HC99" i="1"/>
  <c r="FL109" i="1"/>
  <c r="FM7" i="1"/>
  <c r="FM14" i="1"/>
  <c r="FM18" i="1"/>
  <c r="FM22" i="1"/>
  <c r="FM26" i="1"/>
  <c r="FM30" i="1"/>
  <c r="FM34" i="1"/>
  <c r="FM38" i="1"/>
  <c r="FM42" i="1"/>
  <c r="FM46" i="1"/>
  <c r="FM50" i="1"/>
  <c r="FM54" i="1"/>
  <c r="FM58" i="1"/>
  <c r="FM62" i="1"/>
  <c r="FM66" i="1"/>
  <c r="FM70" i="1"/>
  <c r="FM74" i="1"/>
  <c r="FM78" i="1"/>
  <c r="FM82" i="1"/>
  <c r="FM86" i="1"/>
  <c r="FM90" i="1"/>
  <c r="FM94" i="1"/>
  <c r="FM98" i="1"/>
  <c r="FM102" i="1"/>
  <c r="FM5" i="1"/>
  <c r="FM9" i="1"/>
  <c r="FM12" i="1"/>
  <c r="FM16" i="1"/>
  <c r="FM20" i="1"/>
  <c r="FM24" i="1"/>
  <c r="FM28" i="1"/>
  <c r="FM32" i="1"/>
  <c r="FM36" i="1"/>
  <c r="FM40" i="1"/>
  <c r="FM44" i="1"/>
  <c r="FM48" i="1"/>
  <c r="FM52" i="1"/>
  <c r="FM56" i="1"/>
  <c r="FM60" i="1"/>
  <c r="FM64" i="1"/>
  <c r="FM68" i="1"/>
  <c r="FM72" i="1"/>
  <c r="FM76" i="1"/>
  <c r="FM80" i="1"/>
  <c r="FM84" i="1"/>
  <c r="FM88" i="1"/>
  <c r="FM92" i="1"/>
  <c r="FM96" i="1"/>
  <c r="FP6" i="1"/>
  <c r="FP13" i="1"/>
  <c r="FP21" i="1"/>
  <c r="FP29" i="1"/>
  <c r="FP37" i="1"/>
  <c r="FP45" i="1"/>
  <c r="FP53" i="1"/>
  <c r="FP61" i="1"/>
  <c r="FP69" i="1"/>
  <c r="FP77" i="1"/>
  <c r="FP85" i="1"/>
  <c r="FP93" i="1"/>
  <c r="FP101" i="1"/>
  <c r="FP10" i="1"/>
  <c r="FP17" i="1"/>
  <c r="FP25" i="1"/>
  <c r="FP33" i="1"/>
  <c r="FP41" i="1"/>
  <c r="FP49" i="1"/>
  <c r="FP57" i="1"/>
  <c r="FP65" i="1"/>
  <c r="FP73" i="1"/>
  <c r="FP81" i="1"/>
  <c r="FP89" i="1"/>
  <c r="FP97" i="1"/>
  <c r="FU109" i="1"/>
  <c r="FV6" i="1"/>
  <c r="FV10" i="1"/>
  <c r="FV13" i="1"/>
  <c r="FV17" i="1"/>
  <c r="FV21" i="1"/>
  <c r="FV25" i="1"/>
  <c r="FV29" i="1"/>
  <c r="FV33" i="1"/>
  <c r="FV37" i="1"/>
  <c r="FV41" i="1"/>
  <c r="FV45" i="1"/>
  <c r="FV49" i="1"/>
  <c r="FV53" i="1"/>
  <c r="FV57" i="1"/>
  <c r="FV61" i="1"/>
  <c r="FV65" i="1"/>
  <c r="FV69" i="1"/>
  <c r="FV73" i="1"/>
  <c r="FV77" i="1"/>
  <c r="FV81" i="1"/>
  <c r="FV85" i="1"/>
  <c r="FV89" i="1"/>
  <c r="FV93" i="1"/>
  <c r="FV97" i="1"/>
  <c r="GB18" i="1"/>
  <c r="GB26" i="1"/>
  <c r="GB34" i="1"/>
  <c r="GB42" i="1"/>
  <c r="GB50" i="1"/>
  <c r="GB58" i="1"/>
  <c r="GB66" i="1"/>
  <c r="GB74" i="1"/>
  <c r="GB82" i="1"/>
  <c r="GB90" i="1"/>
  <c r="GB98" i="1"/>
  <c r="GB7" i="1"/>
  <c r="GB14" i="1"/>
  <c r="GB22" i="1"/>
  <c r="GB30" i="1"/>
  <c r="GB38" i="1"/>
  <c r="GB46" i="1"/>
  <c r="GB54" i="1"/>
  <c r="GB62" i="1"/>
  <c r="GB70" i="1"/>
  <c r="GB78" i="1"/>
  <c r="GB86" i="1"/>
  <c r="GB94" i="1"/>
  <c r="GB102" i="1"/>
  <c r="GE5" i="1"/>
  <c r="GE9" i="1"/>
  <c r="GE12" i="1"/>
  <c r="GE16" i="1"/>
  <c r="GE20" i="1"/>
  <c r="GE24" i="1"/>
  <c r="GE28" i="1"/>
  <c r="GE32" i="1"/>
  <c r="GE36" i="1"/>
  <c r="GE40" i="1"/>
  <c r="GE44" i="1"/>
  <c r="GE48" i="1"/>
  <c r="GE52" i="1"/>
  <c r="GE56" i="1"/>
  <c r="GE60" i="1"/>
  <c r="GE64" i="1"/>
  <c r="GE68" i="1"/>
  <c r="GE72" i="1"/>
  <c r="GE76" i="1"/>
  <c r="GE80" i="1"/>
  <c r="GE84" i="1"/>
  <c r="GE88" i="1"/>
  <c r="GE92" i="1"/>
  <c r="GE96" i="1"/>
  <c r="GE100" i="1"/>
  <c r="GE6" i="1"/>
  <c r="GE10" i="1"/>
  <c r="GE13" i="1"/>
  <c r="GE17" i="1"/>
  <c r="GE21" i="1"/>
  <c r="GE25" i="1"/>
  <c r="GE29" i="1"/>
  <c r="GE33" i="1"/>
  <c r="GE37" i="1"/>
  <c r="GE41" i="1"/>
  <c r="GE45" i="1"/>
  <c r="GE49" i="1"/>
  <c r="GE53" i="1"/>
  <c r="GE57" i="1"/>
  <c r="GE61" i="1"/>
  <c r="GE65" i="1"/>
  <c r="GE69" i="1"/>
  <c r="GE73" i="1"/>
  <c r="GE77" i="1"/>
  <c r="GE81" i="1"/>
  <c r="GE85" i="1"/>
  <c r="GE89" i="1"/>
  <c r="GE93" i="1"/>
  <c r="GE97" i="1"/>
  <c r="GD109" i="1"/>
  <c r="GM109" i="1"/>
  <c r="GS109" i="1"/>
  <c r="GV109" i="1"/>
  <c r="HF18" i="1"/>
  <c r="HF26" i="1"/>
  <c r="HF34" i="1"/>
  <c r="HF42" i="1"/>
  <c r="HF50" i="1"/>
  <c r="HF58" i="1"/>
  <c r="HF66" i="1"/>
  <c r="HF74" i="1"/>
  <c r="HF82" i="1"/>
  <c r="HF90" i="1"/>
  <c r="HF98" i="1"/>
  <c r="HF7" i="1"/>
  <c r="HF14" i="1"/>
  <c r="HF22" i="1"/>
  <c r="HF30" i="1"/>
  <c r="HF38" i="1"/>
  <c r="HF46" i="1"/>
  <c r="HF54" i="1"/>
  <c r="HF62" i="1"/>
  <c r="HF70" i="1"/>
  <c r="HF78" i="1"/>
  <c r="HF86" i="1"/>
  <c r="HF94" i="1"/>
  <c r="HF102" i="1"/>
  <c r="HO19" i="1"/>
  <c r="HO35" i="1"/>
  <c r="HO51" i="1"/>
  <c r="HO67" i="1"/>
  <c r="HO83" i="1"/>
  <c r="HO99" i="1"/>
  <c r="HO8" i="1"/>
  <c r="HO23" i="1"/>
  <c r="HO39" i="1"/>
  <c r="HO55" i="1"/>
  <c r="HO71" i="1"/>
  <c r="HO87" i="1"/>
  <c r="HO103" i="1"/>
  <c r="HR8" i="1"/>
  <c r="HR11" i="1"/>
  <c r="HR15" i="1"/>
  <c r="HR19" i="1"/>
  <c r="HR23" i="1"/>
  <c r="HR27" i="1"/>
  <c r="HR31" i="1"/>
  <c r="HR35" i="1"/>
  <c r="HR39" i="1"/>
  <c r="HR43" i="1"/>
  <c r="HR47" i="1"/>
  <c r="HR51" i="1"/>
  <c r="HR55" i="1"/>
  <c r="HR59" i="1"/>
  <c r="HR63" i="1"/>
  <c r="HR67" i="1"/>
  <c r="HR71" i="1"/>
  <c r="HR75" i="1"/>
  <c r="HR79" i="1"/>
  <c r="HR83" i="1"/>
  <c r="HR87" i="1"/>
  <c r="HR91" i="1"/>
  <c r="HR95" i="1"/>
  <c r="HR99" i="1"/>
  <c r="HR103" i="1"/>
  <c r="HR6" i="1"/>
  <c r="HR10" i="1"/>
  <c r="HR13" i="1"/>
  <c r="HR17" i="1"/>
  <c r="HR21" i="1"/>
  <c r="HR25" i="1"/>
  <c r="HR29" i="1"/>
  <c r="HR33" i="1"/>
  <c r="HR37" i="1"/>
  <c r="HR41" i="1"/>
  <c r="HR45" i="1"/>
  <c r="HR49" i="1"/>
  <c r="HR53" i="1"/>
  <c r="HR57" i="1"/>
  <c r="HR61" i="1"/>
  <c r="HR65" i="1"/>
  <c r="HR69" i="1"/>
  <c r="HR73" i="1"/>
  <c r="HR77" i="1"/>
  <c r="HR81" i="1"/>
  <c r="HR85" i="1"/>
  <c r="HR89" i="1"/>
  <c r="HR93" i="1"/>
  <c r="HR97" i="1"/>
  <c r="HT109" i="1"/>
  <c r="HO5" i="1"/>
  <c r="HO9" i="1"/>
  <c r="HO12" i="1"/>
  <c r="HO16" i="1"/>
  <c r="HO20" i="1"/>
  <c r="HO24" i="1"/>
  <c r="HO28" i="1"/>
  <c r="HO32" i="1"/>
  <c r="HO36" i="1"/>
  <c r="HO40" i="1"/>
  <c r="HO44" i="1"/>
  <c r="HO48" i="1"/>
  <c r="HO52" i="1"/>
  <c r="HO56" i="1"/>
  <c r="HO60" i="1"/>
  <c r="HO64" i="1"/>
  <c r="HO68" i="1"/>
  <c r="HO72" i="1"/>
  <c r="HO76" i="1"/>
  <c r="HO80" i="1"/>
  <c r="HO84" i="1"/>
  <c r="HO88" i="1"/>
  <c r="HO92" i="1"/>
  <c r="HO96" i="1"/>
  <c r="HO100" i="1"/>
  <c r="HO6" i="1"/>
  <c r="HO10" i="1"/>
  <c r="HO13" i="1"/>
  <c r="HO17" i="1"/>
  <c r="HO21" i="1"/>
  <c r="HO25" i="1"/>
  <c r="HO29" i="1"/>
  <c r="HO33" i="1"/>
  <c r="HO37" i="1"/>
  <c r="HO41" i="1"/>
  <c r="HO45" i="1"/>
  <c r="HO49" i="1"/>
  <c r="HO53" i="1"/>
  <c r="HO57" i="1"/>
  <c r="HO61" i="1"/>
  <c r="HO65" i="1"/>
  <c r="HO69" i="1"/>
  <c r="HO73" i="1"/>
  <c r="HO77" i="1"/>
  <c r="HO81" i="1"/>
  <c r="HO85" i="1"/>
  <c r="HO89" i="1"/>
  <c r="HO93" i="1"/>
  <c r="HO97" i="1"/>
  <c r="HO101" i="1"/>
  <c r="HN109" i="1"/>
  <c r="HO7" i="1"/>
  <c r="HO14" i="1"/>
  <c r="HO18" i="1"/>
  <c r="HO22" i="1"/>
  <c r="HO26" i="1"/>
  <c r="HO30" i="1"/>
  <c r="HO34" i="1"/>
  <c r="HO38" i="1"/>
  <c r="HO42" i="1"/>
  <c r="HO46" i="1"/>
  <c r="HO50" i="1"/>
  <c r="HO54" i="1"/>
  <c r="HO58" i="1"/>
  <c r="HO62" i="1"/>
  <c r="HO66" i="1"/>
  <c r="HO70" i="1"/>
  <c r="HO74" i="1"/>
  <c r="HO78" i="1"/>
  <c r="HO82" i="1"/>
  <c r="HO86" i="1"/>
  <c r="HO90" i="1"/>
  <c r="HO94" i="1"/>
  <c r="HO98" i="1"/>
  <c r="HH109" i="1"/>
  <c r="HE109" i="1"/>
  <c r="HF6" i="1"/>
  <c r="HF10" i="1"/>
  <c r="HF13" i="1"/>
  <c r="HF17" i="1"/>
  <c r="HF21" i="1"/>
  <c r="HF25" i="1"/>
  <c r="HF29" i="1"/>
  <c r="HF33" i="1"/>
  <c r="HF37" i="1"/>
  <c r="HF41" i="1"/>
  <c r="HF45" i="1"/>
  <c r="HF49" i="1"/>
  <c r="HF53" i="1"/>
  <c r="HF57" i="1"/>
  <c r="HF61" i="1"/>
  <c r="HF65" i="1"/>
  <c r="HF69" i="1"/>
  <c r="HF73" i="1"/>
  <c r="HF77" i="1"/>
  <c r="HF81" i="1"/>
  <c r="HF85" i="1"/>
  <c r="HF89" i="1"/>
  <c r="HF93" i="1"/>
  <c r="HF97" i="1"/>
  <c r="HF101" i="1"/>
  <c r="HF8" i="1"/>
  <c r="HF11" i="1"/>
  <c r="HF15" i="1"/>
  <c r="HF19" i="1"/>
  <c r="HF23" i="1"/>
  <c r="HF27" i="1"/>
  <c r="HF31" i="1"/>
  <c r="HF35" i="1"/>
  <c r="HF39" i="1"/>
  <c r="HF43" i="1"/>
  <c r="HF47" i="1"/>
  <c r="HF51" i="1"/>
  <c r="HF55" i="1"/>
  <c r="HF59" i="1"/>
  <c r="HF63" i="1"/>
  <c r="HF67" i="1"/>
  <c r="HF71" i="1"/>
  <c r="HF75" i="1"/>
  <c r="HF79" i="1"/>
  <c r="HF83" i="1"/>
  <c r="HF87" i="1"/>
  <c r="HF91" i="1"/>
  <c r="HF95" i="1"/>
  <c r="HF99" i="1"/>
  <c r="GT6" i="1"/>
  <c r="GT10" i="1"/>
  <c r="GT13" i="1"/>
  <c r="GT17" i="1"/>
  <c r="GT21" i="1"/>
  <c r="GT25" i="1"/>
  <c r="GT29" i="1"/>
  <c r="GT33" i="1"/>
  <c r="GT37" i="1"/>
  <c r="GT41" i="1"/>
  <c r="GT45" i="1"/>
  <c r="GT49" i="1"/>
  <c r="GT53" i="1"/>
  <c r="GT57" i="1"/>
  <c r="GT61" i="1"/>
  <c r="GT65" i="1"/>
  <c r="GT69" i="1"/>
  <c r="GT73" i="1"/>
  <c r="GT77" i="1"/>
  <c r="GT81" i="1"/>
  <c r="GT85" i="1"/>
  <c r="GT89" i="1"/>
  <c r="GT93" i="1"/>
  <c r="GT97" i="1"/>
  <c r="GT101" i="1"/>
  <c r="GT7" i="1"/>
  <c r="GT14" i="1"/>
  <c r="GT18" i="1"/>
  <c r="GT22" i="1"/>
  <c r="GT26" i="1"/>
  <c r="GT30" i="1"/>
  <c r="GT34" i="1"/>
  <c r="GT38" i="1"/>
  <c r="GT42" i="1"/>
  <c r="GT46" i="1"/>
  <c r="GT50" i="1"/>
  <c r="GT54" i="1"/>
  <c r="GT58" i="1"/>
  <c r="GT62" i="1"/>
  <c r="GT66" i="1"/>
  <c r="GT70" i="1"/>
  <c r="GT74" i="1"/>
  <c r="GT78" i="1"/>
  <c r="GT82" i="1"/>
  <c r="GT86" i="1"/>
  <c r="GT90" i="1"/>
  <c r="GT94" i="1"/>
  <c r="GT98" i="1"/>
  <c r="GT102" i="1"/>
  <c r="GT8" i="1"/>
  <c r="GT11" i="1"/>
  <c r="GT15" i="1"/>
  <c r="GT19" i="1"/>
  <c r="GT23" i="1"/>
  <c r="GT27" i="1"/>
  <c r="GT31" i="1"/>
  <c r="GT35" i="1"/>
  <c r="GT39" i="1"/>
  <c r="GT43" i="1"/>
  <c r="GT47" i="1"/>
  <c r="GT51" i="1"/>
  <c r="GT55" i="1"/>
  <c r="GT59" i="1"/>
  <c r="GT63" i="1"/>
  <c r="GT67" i="1"/>
  <c r="GT71" i="1"/>
  <c r="GT75" i="1"/>
  <c r="GT79" i="1"/>
  <c r="GT83" i="1"/>
  <c r="GT87" i="1"/>
  <c r="GT91" i="1"/>
  <c r="GT95" i="1"/>
  <c r="GT99" i="1"/>
  <c r="GP109" i="1"/>
  <c r="GJ109" i="1"/>
  <c r="GB8" i="1"/>
  <c r="GB11" i="1"/>
  <c r="GB15" i="1"/>
  <c r="GB19" i="1"/>
  <c r="GB23" i="1"/>
  <c r="GB27" i="1"/>
  <c r="GB31" i="1"/>
  <c r="GB35" i="1"/>
  <c r="GB39" i="1"/>
  <c r="GB43" i="1"/>
  <c r="GB47" i="1"/>
  <c r="GB51" i="1"/>
  <c r="GB55" i="1"/>
  <c r="GB59" i="1"/>
  <c r="GB63" i="1"/>
  <c r="GB67" i="1"/>
  <c r="GB71" i="1"/>
  <c r="GB75" i="1"/>
  <c r="GB79" i="1"/>
  <c r="GB83" i="1"/>
  <c r="GB87" i="1"/>
  <c r="GB91" i="1"/>
  <c r="GB95" i="1"/>
  <c r="GB99" i="1"/>
  <c r="GB103" i="1"/>
  <c r="GB5" i="1"/>
  <c r="GB9" i="1"/>
  <c r="GB12" i="1"/>
  <c r="GB16" i="1"/>
  <c r="GB20" i="1"/>
  <c r="GB24" i="1"/>
  <c r="GB28" i="1"/>
  <c r="GB32" i="1"/>
  <c r="GB36" i="1"/>
  <c r="GB40" i="1"/>
  <c r="GB44" i="1"/>
  <c r="GB48" i="1"/>
  <c r="GB52" i="1"/>
  <c r="GB56" i="1"/>
  <c r="GB60" i="1"/>
  <c r="GB64" i="1"/>
  <c r="GB68" i="1"/>
  <c r="GB72" i="1"/>
  <c r="GB76" i="1"/>
  <c r="GB80" i="1"/>
  <c r="GB84" i="1"/>
  <c r="GB88" i="1"/>
  <c r="GB92" i="1"/>
  <c r="GB96" i="1"/>
  <c r="FY7" i="1"/>
  <c r="FY14" i="1"/>
  <c r="FY22" i="1"/>
  <c r="FY30" i="1"/>
  <c r="FY38" i="1"/>
  <c r="FY46" i="1"/>
  <c r="FY54" i="1"/>
  <c r="FY62" i="1"/>
  <c r="FY70" i="1"/>
  <c r="FY78" i="1"/>
  <c r="FY86" i="1"/>
  <c r="FY98" i="1"/>
  <c r="FY8" i="1"/>
  <c r="FY11" i="1"/>
  <c r="FY15" i="1"/>
  <c r="FY19" i="1"/>
  <c r="FY23" i="1"/>
  <c r="FY27" i="1"/>
  <c r="FY31" i="1"/>
  <c r="FY35" i="1"/>
  <c r="FY39" i="1"/>
  <c r="FY43" i="1"/>
  <c r="FY47" i="1"/>
  <c r="FY51" i="1"/>
  <c r="FY55" i="1"/>
  <c r="FY59" i="1"/>
  <c r="FY63" i="1"/>
  <c r="FY67" i="1"/>
  <c r="FY71" i="1"/>
  <c r="FY75" i="1"/>
  <c r="FY79" i="1"/>
  <c r="FY83" i="1"/>
  <c r="FY87" i="1"/>
  <c r="FY91" i="1"/>
  <c r="FY95" i="1"/>
  <c r="FY99" i="1"/>
  <c r="FY103" i="1"/>
  <c r="FY18" i="1"/>
  <c r="FY26" i="1"/>
  <c r="FY34" i="1"/>
  <c r="FY42" i="1"/>
  <c r="FY50" i="1"/>
  <c r="FY58" i="1"/>
  <c r="FY66" i="1"/>
  <c r="FY74" i="1"/>
  <c r="FY82" i="1"/>
  <c r="FY90" i="1"/>
  <c r="FY94" i="1"/>
  <c r="FY102" i="1"/>
  <c r="FY5" i="1"/>
  <c r="FY9" i="1"/>
  <c r="FY12" i="1"/>
  <c r="FY16" i="1"/>
  <c r="FY20" i="1"/>
  <c r="FY24" i="1"/>
  <c r="FY28" i="1"/>
  <c r="FY32" i="1"/>
  <c r="FY36" i="1"/>
  <c r="FY40" i="1"/>
  <c r="FY44" i="1"/>
  <c r="FY48" i="1"/>
  <c r="FY52" i="1"/>
  <c r="FY56" i="1"/>
  <c r="FY60" i="1"/>
  <c r="FY64" i="1"/>
  <c r="FY68" i="1"/>
  <c r="FY72" i="1"/>
  <c r="FY76" i="1"/>
  <c r="FY80" i="1"/>
  <c r="FY84" i="1"/>
  <c r="FY88" i="1"/>
  <c r="FY92" i="1"/>
  <c r="FY96" i="1"/>
  <c r="FR109" i="1"/>
  <c r="FP8" i="1"/>
  <c r="FP11" i="1"/>
  <c r="FP15" i="1"/>
  <c r="FP19" i="1"/>
  <c r="FP23" i="1"/>
  <c r="FP27" i="1"/>
  <c r="FP31" i="1"/>
  <c r="FP35" i="1"/>
  <c r="FP39" i="1"/>
  <c r="FP43" i="1"/>
  <c r="FP47" i="1"/>
  <c r="FP51" i="1"/>
  <c r="FP55" i="1"/>
  <c r="FP59" i="1"/>
  <c r="FP63" i="1"/>
  <c r="FP67" i="1"/>
  <c r="FP71" i="1"/>
  <c r="FP75" i="1"/>
  <c r="FP79" i="1"/>
  <c r="FP83" i="1"/>
  <c r="FP87" i="1"/>
  <c r="FP91" i="1"/>
  <c r="FP95" i="1"/>
  <c r="FP99" i="1"/>
  <c r="FP103" i="1"/>
  <c r="FP5" i="1"/>
  <c r="FP9" i="1"/>
  <c r="FP12" i="1"/>
  <c r="FP16" i="1"/>
  <c r="FP20" i="1"/>
  <c r="FP24" i="1"/>
  <c r="FP28" i="1"/>
  <c r="FP32" i="1"/>
  <c r="FP36" i="1"/>
  <c r="FP40" i="1"/>
  <c r="FP44" i="1"/>
  <c r="FP48" i="1"/>
  <c r="FP52" i="1"/>
  <c r="FP56" i="1"/>
  <c r="FP60" i="1"/>
  <c r="FP64" i="1"/>
  <c r="FP68" i="1"/>
  <c r="FP72" i="1"/>
  <c r="FP76" i="1"/>
  <c r="FP80" i="1"/>
  <c r="FP84" i="1"/>
  <c r="FP88" i="1"/>
  <c r="FP92" i="1"/>
  <c r="FP96" i="1"/>
  <c r="FA18" i="1"/>
  <c r="FA26" i="1"/>
  <c r="FA34" i="1"/>
  <c r="FA42" i="1"/>
  <c r="FA50" i="1"/>
  <c r="FA58" i="1"/>
  <c r="FA66" i="1"/>
  <c r="FA74" i="1"/>
  <c r="FA82" i="1"/>
  <c r="FA90" i="1"/>
  <c r="FA98" i="1"/>
  <c r="FA8" i="1"/>
  <c r="FA11" i="1"/>
  <c r="FA15" i="1"/>
  <c r="FA19" i="1"/>
  <c r="FA23" i="1"/>
  <c r="FA27" i="1"/>
  <c r="FA31" i="1"/>
  <c r="FA35" i="1"/>
  <c r="FA39" i="1"/>
  <c r="FA43" i="1"/>
  <c r="FA47" i="1"/>
  <c r="FA51" i="1"/>
  <c r="FA55" i="1"/>
  <c r="FA59" i="1"/>
  <c r="FA63" i="1"/>
  <c r="FA67" i="1"/>
  <c r="FA71" i="1"/>
  <c r="FA75" i="1"/>
  <c r="FA79" i="1"/>
  <c r="FA83" i="1"/>
  <c r="FA87" i="1"/>
  <c r="FA91" i="1"/>
  <c r="FA95" i="1"/>
  <c r="FA99" i="1"/>
  <c r="FA103" i="1"/>
  <c r="FA7" i="1"/>
  <c r="FA14" i="1"/>
  <c r="FA22" i="1"/>
  <c r="FA30" i="1"/>
  <c r="FA38" i="1"/>
  <c r="FA46" i="1"/>
  <c r="FA54" i="1"/>
  <c r="FA62" i="1"/>
  <c r="FA70" i="1"/>
  <c r="FA78" i="1"/>
  <c r="FA86" i="1"/>
  <c r="FA94" i="1"/>
  <c r="FA102" i="1"/>
  <c r="FA5" i="1"/>
  <c r="FA9" i="1"/>
  <c r="FA12" i="1"/>
  <c r="FA16" i="1"/>
  <c r="FA20" i="1"/>
  <c r="FA24" i="1"/>
  <c r="FA28" i="1"/>
  <c r="FA32" i="1"/>
  <c r="FA36" i="1"/>
  <c r="FA40" i="1"/>
  <c r="FA44" i="1"/>
  <c r="FA48" i="1"/>
  <c r="FA52" i="1"/>
  <c r="FA56" i="1"/>
  <c r="FA60" i="1"/>
  <c r="FA64" i="1"/>
  <c r="FA68" i="1"/>
  <c r="FA72" i="1"/>
  <c r="FA76" i="1"/>
  <c r="FA80" i="1"/>
  <c r="FA84" i="1"/>
  <c r="FA88" i="1"/>
  <c r="FA92" i="1"/>
  <c r="FA96" i="1"/>
  <c r="EW109" i="1"/>
  <c r="EH109" i="1"/>
  <c r="EI6" i="1"/>
  <c r="EI10" i="1"/>
  <c r="EI13" i="1"/>
  <c r="EI17" i="1"/>
  <c r="EI21" i="1"/>
  <c r="EI25" i="1"/>
  <c r="EI29" i="1"/>
  <c r="EI33" i="1"/>
  <c r="EI37" i="1"/>
  <c r="EI41" i="1"/>
  <c r="EI45" i="1"/>
  <c r="EI49" i="1"/>
  <c r="EI53" i="1"/>
  <c r="EI57" i="1"/>
  <c r="EI61" i="1"/>
  <c r="EI65" i="1"/>
  <c r="EI69" i="1"/>
  <c r="EI73" i="1"/>
  <c r="EI77" i="1"/>
  <c r="EI81" i="1"/>
  <c r="EI85" i="1"/>
  <c r="EI89" i="1"/>
  <c r="EI93" i="1"/>
  <c r="EI97" i="1"/>
  <c r="EI101" i="1"/>
  <c r="EI8" i="1"/>
  <c r="EI11" i="1"/>
  <c r="EI15" i="1"/>
  <c r="EI19" i="1"/>
  <c r="EI23" i="1"/>
  <c r="EI27" i="1"/>
  <c r="EI31" i="1"/>
  <c r="EI35" i="1"/>
  <c r="EI39" i="1"/>
  <c r="EI43" i="1"/>
  <c r="EI47" i="1"/>
  <c r="EI51" i="1"/>
  <c r="EI55" i="1"/>
  <c r="EI59" i="1"/>
  <c r="EI63" i="1"/>
  <c r="EI67" i="1"/>
  <c r="EI71" i="1"/>
  <c r="EI75" i="1"/>
  <c r="EI79" i="1"/>
  <c r="EI83" i="1"/>
  <c r="EI87" i="1"/>
  <c r="EI91" i="1"/>
  <c r="EI95" i="1"/>
  <c r="EI99" i="1"/>
  <c r="EK109" i="1"/>
  <c r="EN109" i="1"/>
  <c r="EO11" i="1"/>
  <c r="EO27" i="1"/>
  <c r="EO43" i="1"/>
  <c r="EO59" i="1"/>
  <c r="EO75" i="1"/>
  <c r="EO91" i="1"/>
  <c r="EO19" i="1"/>
  <c r="EO35" i="1"/>
  <c r="EO51" i="1"/>
  <c r="EO67" i="1"/>
  <c r="EO83" i="1"/>
  <c r="EO99" i="1"/>
  <c r="EO5" i="1"/>
  <c r="EO12" i="1"/>
  <c r="EO20" i="1"/>
  <c r="EO28" i="1"/>
  <c r="EO36" i="1"/>
  <c r="EO44" i="1"/>
  <c r="EO52" i="1"/>
  <c r="EO60" i="1"/>
  <c r="EO68" i="1"/>
  <c r="EO80" i="1"/>
  <c r="EO96" i="1"/>
  <c r="EO6" i="1"/>
  <c r="EO10" i="1"/>
  <c r="EO13" i="1"/>
  <c r="EO17" i="1"/>
  <c r="EO21" i="1"/>
  <c r="EO25" i="1"/>
  <c r="EO29" i="1"/>
  <c r="EO33" i="1"/>
  <c r="EO37" i="1"/>
  <c r="EO41" i="1"/>
  <c r="EO45" i="1"/>
  <c r="EO49" i="1"/>
  <c r="EO53" i="1"/>
  <c r="EO57" i="1"/>
  <c r="EO61" i="1"/>
  <c r="EO65" i="1"/>
  <c r="EO69" i="1"/>
  <c r="EO73" i="1"/>
  <c r="EO77" i="1"/>
  <c r="EO81" i="1"/>
  <c r="EO85" i="1"/>
  <c r="EO89" i="1"/>
  <c r="EO93" i="1"/>
  <c r="EO97" i="1"/>
  <c r="EO101" i="1"/>
  <c r="EO9" i="1"/>
  <c r="EO16" i="1"/>
  <c r="EO24" i="1"/>
  <c r="EO32" i="1"/>
  <c r="EO40" i="1"/>
  <c r="EO48" i="1"/>
  <c r="EO56" i="1"/>
  <c r="EO64" i="1"/>
  <c r="EO72" i="1"/>
  <c r="EO76" i="1"/>
  <c r="EO84" i="1"/>
  <c r="EO88" i="1"/>
  <c r="EO92" i="1"/>
  <c r="EO100" i="1"/>
  <c r="EO7" i="1"/>
  <c r="EO14" i="1"/>
  <c r="EO18" i="1"/>
  <c r="EO22" i="1"/>
  <c r="EO26" i="1"/>
  <c r="EO30" i="1"/>
  <c r="EO34" i="1"/>
  <c r="EO38" i="1"/>
  <c r="EO42" i="1"/>
  <c r="EO46" i="1"/>
  <c r="EO50" i="1"/>
  <c r="EO54" i="1"/>
  <c r="EO58" i="1"/>
  <c r="EO62" i="1"/>
  <c r="EO66" i="1"/>
  <c r="EO70" i="1"/>
  <c r="EO74" i="1"/>
  <c r="EO78" i="1"/>
  <c r="EO82" i="1"/>
  <c r="EO86" i="1"/>
  <c r="EO90" i="1"/>
  <c r="EO94" i="1"/>
  <c r="EO98" i="1"/>
  <c r="ER8" i="1"/>
  <c r="ER11" i="1"/>
  <c r="ER15" i="1"/>
  <c r="ER19" i="1"/>
  <c r="ER23" i="1"/>
  <c r="ER27" i="1"/>
  <c r="ER31" i="1"/>
  <c r="ER35" i="1"/>
  <c r="ER39" i="1"/>
  <c r="ER43" i="1"/>
  <c r="ER47" i="1"/>
  <c r="ER51" i="1"/>
  <c r="ER55" i="1"/>
  <c r="ER59" i="1"/>
  <c r="ER63" i="1"/>
  <c r="ER67" i="1"/>
  <c r="ER71" i="1"/>
  <c r="ER75" i="1"/>
  <c r="ER79" i="1"/>
  <c r="ER83" i="1"/>
  <c r="ER87" i="1"/>
  <c r="ER91" i="1"/>
  <c r="ER95" i="1"/>
  <c r="ER99" i="1"/>
  <c r="ER103" i="1"/>
  <c r="ER5" i="1"/>
  <c r="ER9" i="1"/>
  <c r="ER12" i="1"/>
  <c r="ER16" i="1"/>
  <c r="ER20" i="1"/>
  <c r="ER24" i="1"/>
  <c r="ER28" i="1"/>
  <c r="ER32" i="1"/>
  <c r="ER36" i="1"/>
  <c r="ER40" i="1"/>
  <c r="ER44" i="1"/>
  <c r="ER48" i="1"/>
  <c r="ER52" i="1"/>
  <c r="ER56" i="1"/>
  <c r="ER60" i="1"/>
  <c r="ER64" i="1"/>
  <c r="ER68" i="1"/>
  <c r="ER72" i="1"/>
  <c r="ER76" i="1"/>
  <c r="ER80" i="1"/>
  <c r="ER84" i="1"/>
  <c r="ER88" i="1"/>
  <c r="ER92" i="1"/>
  <c r="ER96" i="1"/>
  <c r="EQ109" i="1"/>
  <c r="EF8" i="1"/>
  <c r="EF11" i="1"/>
  <c r="EF15" i="1"/>
  <c r="EF19" i="1"/>
  <c r="EF23" i="1"/>
  <c r="EF27" i="1"/>
  <c r="EF31" i="1"/>
  <c r="EF35" i="1"/>
  <c r="EF39" i="1"/>
  <c r="EF43" i="1"/>
  <c r="EF47" i="1"/>
  <c r="EF51" i="1"/>
  <c r="EF55" i="1"/>
  <c r="EF59" i="1"/>
  <c r="EF63" i="1"/>
  <c r="EF67" i="1"/>
  <c r="EF71" i="1"/>
  <c r="EF75" i="1"/>
  <c r="EF79" i="1"/>
  <c r="EF83" i="1"/>
  <c r="EF87" i="1"/>
  <c r="EF91" i="1"/>
  <c r="EF95" i="1"/>
  <c r="EF99" i="1"/>
  <c r="EF103" i="1"/>
  <c r="EF6" i="1"/>
  <c r="EF10" i="1"/>
  <c r="EF13" i="1"/>
  <c r="EF17" i="1"/>
  <c r="EF21" i="1"/>
  <c r="EF25" i="1"/>
  <c r="EF29" i="1"/>
  <c r="EF33" i="1"/>
  <c r="EF37" i="1"/>
  <c r="EF41" i="1"/>
  <c r="EF45" i="1"/>
  <c r="EF49" i="1"/>
  <c r="EF53" i="1"/>
  <c r="EF57" i="1"/>
  <c r="EF61" i="1"/>
  <c r="EF65" i="1"/>
  <c r="EF69" i="1"/>
  <c r="EF73" i="1"/>
  <c r="EF77" i="1"/>
  <c r="EF81" i="1"/>
  <c r="EF85" i="1"/>
  <c r="EF89" i="1"/>
  <c r="EF93" i="1"/>
  <c r="EF97" i="1"/>
  <c r="DZ6" i="1"/>
  <c r="DZ10" i="1"/>
  <c r="DZ13" i="1"/>
  <c r="DZ17" i="1"/>
  <c r="DZ21" i="1"/>
  <c r="DZ25" i="1"/>
  <c r="DZ29" i="1"/>
  <c r="DZ33" i="1"/>
  <c r="DZ37" i="1"/>
  <c r="DZ41" i="1"/>
  <c r="DZ45" i="1"/>
  <c r="DZ49" i="1"/>
  <c r="DZ53" i="1"/>
  <c r="DZ57" i="1"/>
  <c r="DZ61" i="1"/>
  <c r="DZ65" i="1"/>
  <c r="DZ69" i="1"/>
  <c r="DZ73" i="1"/>
  <c r="DZ77" i="1"/>
  <c r="DZ81" i="1"/>
  <c r="DZ85" i="1"/>
  <c r="DZ89" i="1"/>
  <c r="DZ93" i="1"/>
  <c r="DZ97" i="1"/>
  <c r="DZ101" i="1"/>
  <c r="DZ8" i="1"/>
  <c r="DZ11" i="1"/>
  <c r="DZ15" i="1"/>
  <c r="DZ19" i="1"/>
  <c r="DZ23" i="1"/>
  <c r="DZ27" i="1"/>
  <c r="DZ31" i="1"/>
  <c r="DZ35" i="1"/>
  <c r="DZ39" i="1"/>
  <c r="DZ43" i="1"/>
  <c r="DZ47" i="1"/>
  <c r="DZ51" i="1"/>
  <c r="DZ55" i="1"/>
  <c r="DZ59" i="1"/>
  <c r="DZ63" i="1"/>
  <c r="DZ67" i="1"/>
  <c r="DZ71" i="1"/>
  <c r="DZ75" i="1"/>
  <c r="DZ79" i="1"/>
  <c r="DZ83" i="1"/>
  <c r="DZ87" i="1"/>
  <c r="DZ91" i="1"/>
  <c r="DZ95" i="1"/>
  <c r="DZ99" i="1"/>
  <c r="DV109" i="1"/>
  <c r="DT18" i="1"/>
  <c r="DT26" i="1"/>
  <c r="DT34" i="1"/>
  <c r="DT42" i="1"/>
  <c r="DT50" i="1"/>
  <c r="DT58" i="1"/>
  <c r="DT66" i="1"/>
  <c r="DT74" i="1"/>
  <c r="DT82" i="1"/>
  <c r="DT90" i="1"/>
  <c r="DT98" i="1"/>
  <c r="DT7" i="1"/>
  <c r="DT14" i="1"/>
  <c r="DT22" i="1"/>
  <c r="DT30" i="1"/>
  <c r="DT38" i="1"/>
  <c r="DT46" i="1"/>
  <c r="DT54" i="1"/>
  <c r="DT62" i="1"/>
  <c r="DT70" i="1"/>
  <c r="DT78" i="1"/>
  <c r="DT86" i="1"/>
  <c r="DT94" i="1"/>
  <c r="DT102" i="1"/>
  <c r="DS109" i="1"/>
  <c r="DT6" i="1"/>
  <c r="DT10" i="1"/>
  <c r="DT13" i="1"/>
  <c r="DT17" i="1"/>
  <c r="DT21" i="1"/>
  <c r="DT25" i="1"/>
  <c r="DT29" i="1"/>
  <c r="DT33" i="1"/>
  <c r="DT37" i="1"/>
  <c r="DT41" i="1"/>
  <c r="DT45" i="1"/>
  <c r="DT49" i="1"/>
  <c r="DT53" i="1"/>
  <c r="DT57" i="1"/>
  <c r="DT61" i="1"/>
  <c r="DT65" i="1"/>
  <c r="DT69" i="1"/>
  <c r="DT73" i="1"/>
  <c r="DT77" i="1"/>
  <c r="DT81" i="1"/>
  <c r="DT85" i="1"/>
  <c r="DT89" i="1"/>
  <c r="DT93" i="1"/>
  <c r="DT97" i="1"/>
  <c r="DT101" i="1"/>
  <c r="DT8" i="1"/>
  <c r="DT11" i="1"/>
  <c r="DT15" i="1"/>
  <c r="DT19" i="1"/>
  <c r="DT23" i="1"/>
  <c r="DT27" i="1"/>
  <c r="DT31" i="1"/>
  <c r="DT35" i="1"/>
  <c r="DT39" i="1"/>
  <c r="DT43" i="1"/>
  <c r="DT47" i="1"/>
  <c r="DT51" i="1"/>
  <c r="DT55" i="1"/>
  <c r="DT59" i="1"/>
  <c r="DT63" i="1"/>
  <c r="DT67" i="1"/>
  <c r="DT71" i="1"/>
  <c r="DT75" i="1"/>
  <c r="DT79" i="1"/>
  <c r="DT83" i="1"/>
  <c r="DT87" i="1"/>
  <c r="DT91" i="1"/>
  <c r="DT95" i="1"/>
  <c r="DT99" i="1"/>
  <c r="DP109" i="1"/>
  <c r="DY109" i="1"/>
  <c r="EC5" i="1"/>
  <c r="EC9" i="1"/>
  <c r="EC12" i="1"/>
  <c r="EC16" i="1"/>
  <c r="EC20" i="1"/>
  <c r="EC24" i="1"/>
  <c r="EC28" i="1"/>
  <c r="EC32" i="1"/>
  <c r="EC36" i="1"/>
  <c r="EC40" i="1"/>
  <c r="EC44" i="1"/>
  <c r="EC48" i="1"/>
  <c r="EC52" i="1"/>
  <c r="EC56" i="1"/>
  <c r="EC60" i="1"/>
  <c r="EC64" i="1"/>
  <c r="EC68" i="1"/>
  <c r="EC72" i="1"/>
  <c r="EC76" i="1"/>
  <c r="EC80" i="1"/>
  <c r="EC84" i="1"/>
  <c r="EC88" i="1"/>
  <c r="EC92" i="1"/>
  <c r="EC96" i="1"/>
  <c r="EC100" i="1"/>
  <c r="EC7" i="1"/>
  <c r="EC14" i="1"/>
  <c r="EC18" i="1"/>
  <c r="EC22" i="1"/>
  <c r="EC26" i="1"/>
  <c r="EC30" i="1"/>
  <c r="EC34" i="1"/>
  <c r="EC38" i="1"/>
  <c r="EC42" i="1"/>
  <c r="EC46" i="1"/>
  <c r="EC50" i="1"/>
  <c r="EC54" i="1"/>
  <c r="EC58" i="1"/>
  <c r="EC62" i="1"/>
  <c r="EC66" i="1"/>
  <c r="EC70" i="1"/>
  <c r="EC74" i="1"/>
  <c r="EC78" i="1"/>
  <c r="EC82" i="1"/>
  <c r="EC86" i="1"/>
  <c r="EC90" i="1"/>
  <c r="EC94" i="1"/>
  <c r="EC98" i="1"/>
  <c r="DN11" i="1"/>
  <c r="DN19" i="1"/>
  <c r="DN27" i="1"/>
  <c r="DN35" i="1"/>
  <c r="DN43" i="1"/>
  <c r="DN51" i="1"/>
  <c r="DN59" i="1"/>
  <c r="DN67" i="1"/>
  <c r="DN75" i="1"/>
  <c r="DN83" i="1"/>
  <c r="DN91" i="1"/>
  <c r="DN99" i="1"/>
  <c r="DN5" i="1"/>
  <c r="DN12" i="1"/>
  <c r="DN20" i="1"/>
  <c r="DN28" i="1"/>
  <c r="DN36" i="1"/>
  <c r="DN44" i="1"/>
  <c r="DN52" i="1"/>
  <c r="DN60" i="1"/>
  <c r="DN68" i="1"/>
  <c r="DN76" i="1"/>
  <c r="DN84" i="1"/>
  <c r="DN92" i="1"/>
  <c r="DN100" i="1"/>
  <c r="DN6" i="1"/>
  <c r="DN10" i="1"/>
  <c r="DN13" i="1"/>
  <c r="DN17" i="1"/>
  <c r="DN21" i="1"/>
  <c r="DN25" i="1"/>
  <c r="DN29" i="1"/>
  <c r="DN33" i="1"/>
  <c r="DN37" i="1"/>
  <c r="DN41" i="1"/>
  <c r="DN45" i="1"/>
  <c r="DN49" i="1"/>
  <c r="DN53" i="1"/>
  <c r="DN57" i="1"/>
  <c r="DN61" i="1"/>
  <c r="DN65" i="1"/>
  <c r="DN69" i="1"/>
  <c r="DN73" i="1"/>
  <c r="DN77" i="1"/>
  <c r="DN81" i="1"/>
  <c r="DN85" i="1"/>
  <c r="DN89" i="1"/>
  <c r="DN93" i="1"/>
  <c r="DN97" i="1"/>
  <c r="DN101" i="1"/>
  <c r="DN7" i="1"/>
  <c r="DN14" i="1"/>
  <c r="DN18" i="1"/>
  <c r="DN22" i="1"/>
  <c r="DN26" i="1"/>
  <c r="DN30" i="1"/>
  <c r="DN34" i="1"/>
  <c r="DN38" i="1"/>
  <c r="DN42" i="1"/>
  <c r="DN46" i="1"/>
  <c r="DN50" i="1"/>
  <c r="DN54" i="1"/>
  <c r="DN58" i="1"/>
  <c r="DN62" i="1"/>
  <c r="DN66" i="1"/>
  <c r="DN70" i="1"/>
  <c r="DN74" i="1"/>
  <c r="DN78" i="1"/>
  <c r="DN82" i="1"/>
  <c r="DN86" i="1"/>
  <c r="DN90" i="1"/>
  <c r="DN94" i="1"/>
  <c r="DN98" i="1"/>
  <c r="DK5" i="1"/>
  <c r="DK9" i="1"/>
  <c r="DK12" i="1"/>
  <c r="DK16" i="1"/>
  <c r="DK20" i="1"/>
  <c r="DK24" i="1"/>
  <c r="DK28" i="1"/>
  <c r="DK32" i="1"/>
  <c r="DK36" i="1"/>
  <c r="DK40" i="1"/>
  <c r="DK44" i="1"/>
  <c r="DK48" i="1"/>
  <c r="DK52" i="1"/>
  <c r="DK56" i="1"/>
  <c r="DK60" i="1"/>
  <c r="DK64" i="1"/>
  <c r="DK68" i="1"/>
  <c r="DK72" i="1"/>
  <c r="DK76" i="1"/>
  <c r="DK80" i="1"/>
  <c r="DK84" i="1"/>
  <c r="DK88" i="1"/>
  <c r="DK92" i="1"/>
  <c r="DK96" i="1"/>
  <c r="DK100" i="1"/>
  <c r="DK7" i="1"/>
  <c r="DK14" i="1"/>
  <c r="DK18" i="1"/>
  <c r="DK22" i="1"/>
  <c r="DK26" i="1"/>
  <c r="DK30" i="1"/>
  <c r="DK34" i="1"/>
  <c r="DK38" i="1"/>
  <c r="DK42" i="1"/>
  <c r="DK46" i="1"/>
  <c r="DK50" i="1"/>
  <c r="DK54" i="1"/>
  <c r="DK58" i="1"/>
  <c r="DK62" i="1"/>
  <c r="DK66" i="1"/>
  <c r="DK70" i="1"/>
  <c r="DK74" i="1"/>
  <c r="DK78" i="1"/>
  <c r="DK82" i="1"/>
  <c r="DK86" i="1"/>
  <c r="DK90" i="1"/>
  <c r="DK94" i="1"/>
  <c r="DK98" i="1"/>
  <c r="DA109" i="1"/>
  <c r="DD109" i="1"/>
  <c r="DE5" i="1"/>
  <c r="DE9" i="1"/>
  <c r="DE12" i="1"/>
  <c r="DE16" i="1"/>
  <c r="DE20" i="1"/>
  <c r="DE24" i="1"/>
  <c r="DE28" i="1"/>
  <c r="DE32" i="1"/>
  <c r="DE36" i="1"/>
  <c r="DE40" i="1"/>
  <c r="DE44" i="1"/>
  <c r="DE48" i="1"/>
  <c r="DE52" i="1"/>
  <c r="DE56" i="1"/>
  <c r="DE60" i="1"/>
  <c r="DE64" i="1"/>
  <c r="DE68" i="1"/>
  <c r="DE72" i="1"/>
  <c r="DE76" i="1"/>
  <c r="DE80" i="1"/>
  <c r="DE84" i="1"/>
  <c r="DE88" i="1"/>
  <c r="DE92" i="1"/>
  <c r="DE96" i="1"/>
  <c r="DE100" i="1"/>
  <c r="DE7" i="1"/>
  <c r="DE14" i="1"/>
  <c r="DE18" i="1"/>
  <c r="DE22" i="1"/>
  <c r="DE26" i="1"/>
  <c r="DE30" i="1"/>
  <c r="DE34" i="1"/>
  <c r="DE38" i="1"/>
  <c r="DE42" i="1"/>
  <c r="DE46" i="1"/>
  <c r="DE50" i="1"/>
  <c r="DE54" i="1"/>
  <c r="DE58" i="1"/>
  <c r="DE62" i="1"/>
  <c r="DE66" i="1"/>
  <c r="DE70" i="1"/>
  <c r="DE74" i="1"/>
  <c r="DE78" i="1"/>
  <c r="DE82" i="1"/>
  <c r="DE86" i="1"/>
  <c r="DE90" i="1"/>
  <c r="DE94" i="1"/>
  <c r="DE98" i="1"/>
  <c r="CY5" i="1"/>
  <c r="CY9" i="1"/>
  <c r="CY12" i="1"/>
  <c r="CY16" i="1"/>
  <c r="CY20" i="1"/>
  <c r="CY24" i="1"/>
  <c r="CY28" i="1"/>
  <c r="CY32" i="1"/>
  <c r="CY36" i="1"/>
  <c r="CY40" i="1"/>
  <c r="CY44" i="1"/>
  <c r="CY48" i="1"/>
  <c r="CY52" i="1"/>
  <c r="CY56" i="1"/>
  <c r="CY60" i="1"/>
  <c r="CY64" i="1"/>
  <c r="CY68" i="1"/>
  <c r="CY72" i="1"/>
  <c r="CY76" i="1"/>
  <c r="CY80" i="1"/>
  <c r="CY84" i="1"/>
  <c r="CY88" i="1"/>
  <c r="CY92" i="1"/>
  <c r="CY96" i="1"/>
  <c r="CY100" i="1"/>
  <c r="CY6" i="1"/>
  <c r="CY10" i="1"/>
  <c r="CY13" i="1"/>
  <c r="CY17" i="1"/>
  <c r="CY21" i="1"/>
  <c r="CY25" i="1"/>
  <c r="CY29" i="1"/>
  <c r="CY33" i="1"/>
  <c r="CY37" i="1"/>
  <c r="CY41" i="1"/>
  <c r="CY45" i="1"/>
  <c r="CY49" i="1"/>
  <c r="CY53" i="1"/>
  <c r="CY57" i="1"/>
  <c r="CY61" i="1"/>
  <c r="CY65" i="1"/>
  <c r="CY69" i="1"/>
  <c r="CY73" i="1"/>
  <c r="CY77" i="1"/>
  <c r="CY81" i="1"/>
  <c r="CY85" i="1"/>
  <c r="CY89" i="1"/>
  <c r="CY93" i="1"/>
  <c r="CY97" i="1"/>
  <c r="CY101" i="1"/>
  <c r="CX109" i="1"/>
  <c r="CY7" i="1"/>
  <c r="CY14" i="1"/>
  <c r="CY18" i="1"/>
  <c r="CY22" i="1"/>
  <c r="CY26" i="1"/>
  <c r="CY30" i="1"/>
  <c r="CY34" i="1"/>
  <c r="CY38" i="1"/>
  <c r="CY42" i="1"/>
  <c r="CY46" i="1"/>
  <c r="CY50" i="1"/>
  <c r="CY54" i="1"/>
  <c r="CY58" i="1"/>
  <c r="CY62" i="1"/>
  <c r="CY66" i="1"/>
  <c r="CY70" i="1"/>
  <c r="CY74" i="1"/>
  <c r="CY78" i="1"/>
  <c r="CY82" i="1"/>
  <c r="CY86" i="1"/>
  <c r="CY90" i="1"/>
  <c r="CY94" i="1"/>
  <c r="CY98" i="1"/>
  <c r="CU109" i="1"/>
  <c r="CR109" i="1"/>
  <c r="CM17" i="1"/>
  <c r="CM41" i="1"/>
  <c r="CM57" i="1"/>
  <c r="CM73" i="1"/>
  <c r="CM89" i="1"/>
  <c r="CM11" i="1"/>
  <c r="CM19" i="1"/>
  <c r="CM27" i="1"/>
  <c r="CM35" i="1"/>
  <c r="CM43" i="1"/>
  <c r="CM51" i="1"/>
  <c r="CM59" i="1"/>
  <c r="CM67" i="1"/>
  <c r="CM75" i="1"/>
  <c r="CM83" i="1"/>
  <c r="CM91" i="1"/>
  <c r="CM99" i="1"/>
  <c r="CL109" i="1"/>
  <c r="CM10" i="1"/>
  <c r="CM25" i="1"/>
  <c r="CM33" i="1"/>
  <c r="CM49" i="1"/>
  <c r="CM65" i="1"/>
  <c r="CM81" i="1"/>
  <c r="CM97" i="1"/>
  <c r="CM6" i="1"/>
  <c r="CM13" i="1"/>
  <c r="CM21" i="1"/>
  <c r="CM29" i="1"/>
  <c r="CM37" i="1"/>
  <c r="CM45" i="1"/>
  <c r="CM53" i="1"/>
  <c r="CM61" i="1"/>
  <c r="CM69" i="1"/>
  <c r="CM77" i="1"/>
  <c r="CM85" i="1"/>
  <c r="CM93" i="1"/>
  <c r="CM101" i="1"/>
  <c r="CG7" i="1"/>
  <c r="CG14" i="1"/>
  <c r="CG18" i="1"/>
  <c r="CG22" i="1"/>
  <c r="CG26" i="1"/>
  <c r="CG30" i="1"/>
  <c r="CG34" i="1"/>
  <c r="CG38" i="1"/>
  <c r="CG42" i="1"/>
  <c r="CG46" i="1"/>
  <c r="CG50" i="1"/>
  <c r="CG54" i="1"/>
  <c r="CG58" i="1"/>
  <c r="CG62" i="1"/>
  <c r="CG66" i="1"/>
  <c r="CG70" i="1"/>
  <c r="CG74" i="1"/>
  <c r="CG78" i="1"/>
  <c r="CG82" i="1"/>
  <c r="CG86" i="1"/>
  <c r="CG90" i="1"/>
  <c r="CG94" i="1"/>
  <c r="CG98" i="1"/>
  <c r="CF109" i="1"/>
  <c r="CD12" i="1"/>
  <c r="CD28" i="1"/>
  <c r="CD44" i="1"/>
  <c r="CD60" i="1"/>
  <c r="CD76" i="1"/>
  <c r="CD92" i="1"/>
  <c r="CD16" i="1"/>
  <c r="CD32" i="1"/>
  <c r="CD48" i="1"/>
  <c r="CD64" i="1"/>
  <c r="CD80" i="1"/>
  <c r="CD96" i="1"/>
  <c r="CM5" i="1"/>
  <c r="CM9" i="1"/>
  <c r="CM12" i="1"/>
  <c r="CM16" i="1"/>
  <c r="CM20" i="1"/>
  <c r="CM24" i="1"/>
  <c r="CM28" i="1"/>
  <c r="CM32" i="1"/>
  <c r="CM36" i="1"/>
  <c r="CM40" i="1"/>
  <c r="CM44" i="1"/>
  <c r="CM48" i="1"/>
  <c r="CM52" i="1"/>
  <c r="CM56" i="1"/>
  <c r="CM60" i="1"/>
  <c r="CM64" i="1"/>
  <c r="CM68" i="1"/>
  <c r="CM72" i="1"/>
  <c r="CM76" i="1"/>
  <c r="CM80" i="1"/>
  <c r="CM84" i="1"/>
  <c r="CM88" i="1"/>
  <c r="CM92" i="1"/>
  <c r="CM96" i="1"/>
  <c r="CM100" i="1"/>
  <c r="CM7" i="1"/>
  <c r="CM14" i="1"/>
  <c r="CM18" i="1"/>
  <c r="CM22" i="1"/>
  <c r="CM26" i="1"/>
  <c r="CM30" i="1"/>
  <c r="CM34" i="1"/>
  <c r="CM38" i="1"/>
  <c r="CM42" i="1"/>
  <c r="CM46" i="1"/>
  <c r="CM50" i="1"/>
  <c r="CM54" i="1"/>
  <c r="CM58" i="1"/>
  <c r="CM62" i="1"/>
  <c r="CM66" i="1"/>
  <c r="CM70" i="1"/>
  <c r="CM74" i="1"/>
  <c r="CM78" i="1"/>
  <c r="CM82" i="1"/>
  <c r="CM86" i="1"/>
  <c r="CM90" i="1"/>
  <c r="CM94" i="1"/>
  <c r="CM98" i="1"/>
  <c r="CJ6" i="1"/>
  <c r="CJ10" i="1"/>
  <c r="CJ13" i="1"/>
  <c r="CJ17" i="1"/>
  <c r="CJ21" i="1"/>
  <c r="CJ25" i="1"/>
  <c r="CJ29" i="1"/>
  <c r="CJ33" i="1"/>
  <c r="CJ37" i="1"/>
  <c r="CJ41" i="1"/>
  <c r="CJ45" i="1"/>
  <c r="CJ49" i="1"/>
  <c r="CJ53" i="1"/>
  <c r="CJ57" i="1"/>
  <c r="CJ61" i="1"/>
  <c r="CJ65" i="1"/>
  <c r="CJ69" i="1"/>
  <c r="CJ73" i="1"/>
  <c r="CJ77" i="1"/>
  <c r="CJ81" i="1"/>
  <c r="CJ85" i="1"/>
  <c r="CJ89" i="1"/>
  <c r="CJ93" i="1"/>
  <c r="CJ97" i="1"/>
  <c r="CJ101" i="1"/>
  <c r="CJ8" i="1"/>
  <c r="CJ11" i="1"/>
  <c r="CJ15" i="1"/>
  <c r="CJ19" i="1"/>
  <c r="CJ23" i="1"/>
  <c r="CJ27" i="1"/>
  <c r="CJ31" i="1"/>
  <c r="CJ35" i="1"/>
  <c r="CJ39" i="1"/>
  <c r="CJ43" i="1"/>
  <c r="CJ47" i="1"/>
  <c r="CJ51" i="1"/>
  <c r="CJ55" i="1"/>
  <c r="CJ59" i="1"/>
  <c r="CJ63" i="1"/>
  <c r="CJ67" i="1"/>
  <c r="CJ71" i="1"/>
  <c r="CJ75" i="1"/>
  <c r="CJ79" i="1"/>
  <c r="CJ83" i="1"/>
  <c r="CJ87" i="1"/>
  <c r="CJ91" i="1"/>
  <c r="CJ95" i="1"/>
  <c r="CJ99" i="1"/>
  <c r="CD10" i="1"/>
  <c r="CD17" i="1"/>
  <c r="CD25" i="1"/>
  <c r="CD33" i="1"/>
  <c r="CD37" i="1"/>
  <c r="CD45" i="1"/>
  <c r="CD53" i="1"/>
  <c r="CD61" i="1"/>
  <c r="CD69" i="1"/>
  <c r="CD77" i="1"/>
  <c r="CD85" i="1"/>
  <c r="CD93" i="1"/>
  <c r="CD97" i="1"/>
  <c r="CD7" i="1"/>
  <c r="CD14" i="1"/>
  <c r="CD18" i="1"/>
  <c r="CD22" i="1"/>
  <c r="CD26" i="1"/>
  <c r="CD30" i="1"/>
  <c r="CD34" i="1"/>
  <c r="CD38" i="1"/>
  <c r="CD42" i="1"/>
  <c r="CD46" i="1"/>
  <c r="CD50" i="1"/>
  <c r="CD54" i="1"/>
  <c r="CD58" i="1"/>
  <c r="CD62" i="1"/>
  <c r="CD66" i="1"/>
  <c r="CD70" i="1"/>
  <c r="CD74" i="1"/>
  <c r="CD78" i="1"/>
  <c r="CD82" i="1"/>
  <c r="CD86" i="1"/>
  <c r="CD90" i="1"/>
  <c r="CD94" i="1"/>
  <c r="CD98" i="1"/>
  <c r="CD102" i="1"/>
  <c r="CD6" i="1"/>
  <c r="CD13" i="1"/>
  <c r="CD21" i="1"/>
  <c r="CD29" i="1"/>
  <c r="CD41" i="1"/>
  <c r="CD49" i="1"/>
  <c r="CD57" i="1"/>
  <c r="CD65" i="1"/>
  <c r="CD73" i="1"/>
  <c r="CD81" i="1"/>
  <c r="CD89" i="1"/>
  <c r="CD101" i="1"/>
  <c r="CD8" i="1"/>
  <c r="CD11" i="1"/>
  <c r="CD15" i="1"/>
  <c r="CD19" i="1"/>
  <c r="CD23" i="1"/>
  <c r="CD27" i="1"/>
  <c r="CD31" i="1"/>
  <c r="CD35" i="1"/>
  <c r="CD39" i="1"/>
  <c r="CD43" i="1"/>
  <c r="CD47" i="1"/>
  <c r="CD51" i="1"/>
  <c r="CD55" i="1"/>
  <c r="CD59" i="1"/>
  <c r="CD63" i="1"/>
  <c r="CD67" i="1"/>
  <c r="CD71" i="1"/>
  <c r="CD75" i="1"/>
  <c r="CD79" i="1"/>
  <c r="CD83" i="1"/>
  <c r="CD87" i="1"/>
  <c r="CD91" i="1"/>
  <c r="CD95" i="1"/>
  <c r="CD99" i="1"/>
  <c r="BW109" i="1"/>
  <c r="BX8" i="1"/>
  <c r="BX11" i="1"/>
  <c r="BX15" i="1"/>
  <c r="BX19" i="1"/>
  <c r="BX23" i="1"/>
  <c r="BX27" i="1"/>
  <c r="BX31" i="1"/>
  <c r="BX35" i="1"/>
  <c r="BX39" i="1"/>
  <c r="BX43" i="1"/>
  <c r="BX47" i="1"/>
  <c r="BX51" i="1"/>
  <c r="BX55" i="1"/>
  <c r="BX59" i="1"/>
  <c r="BX63" i="1"/>
  <c r="BX67" i="1"/>
  <c r="BX71" i="1"/>
  <c r="BX75" i="1"/>
  <c r="BX79" i="1"/>
  <c r="BX83" i="1"/>
  <c r="BX87" i="1"/>
  <c r="BX91" i="1"/>
  <c r="BX95" i="1"/>
  <c r="BX99" i="1"/>
  <c r="BX103" i="1"/>
  <c r="BX5" i="1"/>
  <c r="BX9" i="1"/>
  <c r="BX12" i="1"/>
  <c r="BX16" i="1"/>
  <c r="BX20" i="1"/>
  <c r="BX24" i="1"/>
  <c r="BX28" i="1"/>
  <c r="BX32" i="1"/>
  <c r="BX36" i="1"/>
  <c r="BX40" i="1"/>
  <c r="BX44" i="1"/>
  <c r="BX48" i="1"/>
  <c r="BX52" i="1"/>
  <c r="BX56" i="1"/>
  <c r="BX60" i="1"/>
  <c r="BX64" i="1"/>
  <c r="BX68" i="1"/>
  <c r="BX72" i="1"/>
  <c r="BX76" i="1"/>
  <c r="BX80" i="1"/>
  <c r="BX84" i="1"/>
  <c r="BX88" i="1"/>
  <c r="BX92" i="1"/>
  <c r="BX96" i="1"/>
  <c r="BU7" i="1"/>
  <c r="BU14" i="1"/>
  <c r="BU18" i="1"/>
  <c r="BU22" i="1"/>
  <c r="BU26" i="1"/>
  <c r="BU30" i="1"/>
  <c r="BU34" i="1"/>
  <c r="BU38" i="1"/>
  <c r="BU42" i="1"/>
  <c r="BU46" i="1"/>
  <c r="BU50" i="1"/>
  <c r="BU54" i="1"/>
  <c r="BU58" i="1"/>
  <c r="BU62" i="1"/>
  <c r="BU66" i="1"/>
  <c r="BU70" i="1"/>
  <c r="BU74" i="1"/>
  <c r="BU78" i="1"/>
  <c r="BU82" i="1"/>
  <c r="BU86" i="1"/>
  <c r="BU90" i="1"/>
  <c r="BU94" i="1"/>
  <c r="BU98" i="1"/>
  <c r="BU102" i="1"/>
  <c r="BU5" i="1"/>
  <c r="BU9" i="1"/>
  <c r="BU12" i="1"/>
  <c r="BU16" i="1"/>
  <c r="BU20" i="1"/>
  <c r="BU24" i="1"/>
  <c r="BU28" i="1"/>
  <c r="BU32" i="1"/>
  <c r="BU36" i="1"/>
  <c r="BU40" i="1"/>
  <c r="BU44" i="1"/>
  <c r="BU48" i="1"/>
  <c r="BU52" i="1"/>
  <c r="BU56" i="1"/>
  <c r="BU60" i="1"/>
  <c r="BU64" i="1"/>
  <c r="BU68" i="1"/>
  <c r="BU72" i="1"/>
  <c r="BU76" i="1"/>
  <c r="BU80" i="1"/>
  <c r="BU84" i="1"/>
  <c r="BU88" i="1"/>
  <c r="BU92" i="1"/>
  <c r="BU96" i="1"/>
  <c r="BQ109" i="1"/>
  <c r="BL8" i="1"/>
  <c r="BL11" i="1"/>
  <c r="BL15" i="1"/>
  <c r="BL19" i="1"/>
  <c r="BL23" i="1"/>
  <c r="BL27" i="1"/>
  <c r="BL31" i="1"/>
  <c r="BL35" i="1"/>
  <c r="BL39" i="1"/>
  <c r="BL43" i="1"/>
  <c r="BL47" i="1"/>
  <c r="BL51" i="1"/>
  <c r="BL55" i="1"/>
  <c r="BL59" i="1"/>
  <c r="BL63" i="1"/>
  <c r="BL67" i="1"/>
  <c r="BL71" i="1"/>
  <c r="BL75" i="1"/>
  <c r="BL79" i="1"/>
  <c r="BL83" i="1"/>
  <c r="BL87" i="1"/>
  <c r="BL91" i="1"/>
  <c r="BL95" i="1"/>
  <c r="BL99" i="1"/>
  <c r="BL103" i="1"/>
  <c r="BL5" i="1"/>
  <c r="BL9" i="1"/>
  <c r="BL12" i="1"/>
  <c r="BL16" i="1"/>
  <c r="BL20" i="1"/>
  <c r="BL24" i="1"/>
  <c r="BL28" i="1"/>
  <c r="BL32" i="1"/>
  <c r="BL36" i="1"/>
  <c r="BL40" i="1"/>
  <c r="BL44" i="1"/>
  <c r="BL48" i="1"/>
  <c r="BL52" i="1"/>
  <c r="BL56" i="1"/>
  <c r="BL60" i="1"/>
  <c r="BL64" i="1"/>
  <c r="BL68" i="1"/>
  <c r="BL72" i="1"/>
  <c r="BL76" i="1"/>
  <c r="BL80" i="1"/>
  <c r="BL84" i="1"/>
  <c r="BL88" i="1"/>
  <c r="BL92" i="1"/>
  <c r="BL96" i="1"/>
  <c r="BK109" i="1"/>
  <c r="BB109" i="1"/>
  <c r="BC7" i="1"/>
  <c r="BC14" i="1"/>
  <c r="BC18" i="1"/>
  <c r="BC22" i="1"/>
  <c r="BC26" i="1"/>
  <c r="BC30" i="1"/>
  <c r="BC34" i="1"/>
  <c r="BC38" i="1"/>
  <c r="BC42" i="1"/>
  <c r="BC46" i="1"/>
  <c r="BC50" i="1"/>
  <c r="BC54" i="1"/>
  <c r="BC58" i="1"/>
  <c r="BC62" i="1"/>
  <c r="BC66" i="1"/>
  <c r="BC70" i="1"/>
  <c r="BC74" i="1"/>
  <c r="BC78" i="1"/>
  <c r="BC82" i="1"/>
  <c r="BC86" i="1"/>
  <c r="BC90" i="1"/>
  <c r="BC94" i="1"/>
  <c r="BC98" i="1"/>
  <c r="BC102" i="1"/>
  <c r="BC5" i="1"/>
  <c r="BC9" i="1"/>
  <c r="BC12" i="1"/>
  <c r="BC16" i="1"/>
  <c r="BC20" i="1"/>
  <c r="BC24" i="1"/>
  <c r="BC28" i="1"/>
  <c r="BC32" i="1"/>
  <c r="BC36" i="1"/>
  <c r="BC40" i="1"/>
  <c r="BC44" i="1"/>
  <c r="BC48" i="1"/>
  <c r="BC52" i="1"/>
  <c r="BC56" i="1"/>
  <c r="BC60" i="1"/>
  <c r="BC64" i="1"/>
  <c r="BC68" i="1"/>
  <c r="BC72" i="1"/>
  <c r="BC76" i="1"/>
  <c r="BC80" i="1"/>
  <c r="BC84" i="1"/>
  <c r="BC88" i="1"/>
  <c r="BC92" i="1"/>
  <c r="BC96" i="1"/>
  <c r="AZ8" i="1"/>
  <c r="AZ11" i="1"/>
  <c r="AZ15" i="1"/>
  <c r="AZ19" i="1"/>
  <c r="AZ23" i="1"/>
  <c r="AZ27" i="1"/>
  <c r="AZ31" i="1"/>
  <c r="AZ35" i="1"/>
  <c r="AZ39" i="1"/>
  <c r="AZ43" i="1"/>
  <c r="AZ47" i="1"/>
  <c r="AZ51" i="1"/>
  <c r="AZ55" i="1"/>
  <c r="AZ59" i="1"/>
  <c r="AZ63" i="1"/>
  <c r="AZ67" i="1"/>
  <c r="AZ71" i="1"/>
  <c r="AZ75" i="1"/>
  <c r="AZ79" i="1"/>
  <c r="AZ83" i="1"/>
  <c r="AZ87" i="1"/>
  <c r="AZ91" i="1"/>
  <c r="AZ95" i="1"/>
  <c r="AZ99" i="1"/>
  <c r="AZ103" i="1"/>
  <c r="AZ5" i="1"/>
  <c r="AZ9" i="1"/>
  <c r="AZ12" i="1"/>
  <c r="AZ16" i="1"/>
  <c r="AZ20" i="1"/>
  <c r="AZ24" i="1"/>
  <c r="AZ28" i="1"/>
  <c r="AZ32" i="1"/>
  <c r="AZ36" i="1"/>
  <c r="AZ40" i="1"/>
  <c r="AZ44" i="1"/>
  <c r="AZ48" i="1"/>
  <c r="AZ52" i="1"/>
  <c r="AZ56" i="1"/>
  <c r="AZ60" i="1"/>
  <c r="AZ64" i="1"/>
  <c r="AZ68" i="1"/>
  <c r="AZ72" i="1"/>
  <c r="AZ76" i="1"/>
  <c r="AZ80" i="1"/>
  <c r="AZ84" i="1"/>
  <c r="AZ88" i="1"/>
  <c r="AZ92" i="1"/>
  <c r="AZ96" i="1"/>
  <c r="AY109" i="1"/>
  <c r="AW13" i="1"/>
  <c r="AW29" i="1"/>
  <c r="AW45" i="1"/>
  <c r="AW61" i="1"/>
  <c r="AW77" i="1"/>
  <c r="AW93" i="1"/>
  <c r="AW8" i="1"/>
  <c r="AW15" i="1"/>
  <c r="AW23" i="1"/>
  <c r="AW31" i="1"/>
  <c r="AW39" i="1"/>
  <c r="AW47" i="1"/>
  <c r="AW55" i="1"/>
  <c r="AW63" i="1"/>
  <c r="AW71" i="1"/>
  <c r="AW79" i="1"/>
  <c r="AW87" i="1"/>
  <c r="AW95" i="1"/>
  <c r="AW103" i="1"/>
  <c r="AW6" i="1"/>
  <c r="AW21" i="1"/>
  <c r="AW37" i="1"/>
  <c r="AW53" i="1"/>
  <c r="AW69" i="1"/>
  <c r="AW85" i="1"/>
  <c r="AW101" i="1"/>
  <c r="AW10" i="1"/>
  <c r="AW17" i="1"/>
  <c r="AW25" i="1"/>
  <c r="AW33" i="1"/>
  <c r="AW41" i="1"/>
  <c r="AW49" i="1"/>
  <c r="AW57" i="1"/>
  <c r="AW65" i="1"/>
  <c r="AW73" i="1"/>
  <c r="AW81" i="1"/>
  <c r="AW89" i="1"/>
  <c r="AW97" i="1"/>
  <c r="AW7" i="1"/>
  <c r="AW14" i="1"/>
  <c r="AW18" i="1"/>
  <c r="AW22" i="1"/>
  <c r="AW26" i="1"/>
  <c r="AW30" i="1"/>
  <c r="AW34" i="1"/>
  <c r="AW38" i="1"/>
  <c r="AW42" i="1"/>
  <c r="AW46" i="1"/>
  <c r="AW50" i="1"/>
  <c r="AW54" i="1"/>
  <c r="AW58" i="1"/>
  <c r="AW62" i="1"/>
  <c r="AW66" i="1"/>
  <c r="AW70" i="1"/>
  <c r="AW74" i="1"/>
  <c r="AW78" i="1"/>
  <c r="AW82" i="1"/>
  <c r="AW86" i="1"/>
  <c r="AW90" i="1"/>
  <c r="AW94" i="1"/>
  <c r="AW98" i="1"/>
  <c r="AW102" i="1"/>
  <c r="AW5" i="1"/>
  <c r="AW9" i="1"/>
  <c r="AW12" i="1"/>
  <c r="AW16" i="1"/>
  <c r="AW20" i="1"/>
  <c r="AW24" i="1"/>
  <c r="AW28" i="1"/>
  <c r="AW32" i="1"/>
  <c r="AW36" i="1"/>
  <c r="AW40" i="1"/>
  <c r="AW44" i="1"/>
  <c r="AW48" i="1"/>
  <c r="AW52" i="1"/>
  <c r="AW56" i="1"/>
  <c r="AW60" i="1"/>
  <c r="AW64" i="1"/>
  <c r="AW68" i="1"/>
  <c r="AW72" i="1"/>
  <c r="AW76" i="1"/>
  <c r="AW80" i="1"/>
  <c r="AW84" i="1"/>
  <c r="AW88" i="1"/>
  <c r="AW92" i="1"/>
  <c r="AW96" i="1"/>
  <c r="AP109" i="1"/>
  <c r="AQ7" i="1"/>
  <c r="AQ14" i="1"/>
  <c r="AQ18" i="1"/>
  <c r="AQ22" i="1"/>
  <c r="AQ26" i="1"/>
  <c r="AQ30" i="1"/>
  <c r="AQ34" i="1"/>
  <c r="AQ38" i="1"/>
  <c r="AQ42" i="1"/>
  <c r="AQ46" i="1"/>
  <c r="AQ50" i="1"/>
  <c r="AQ54" i="1"/>
  <c r="AQ58" i="1"/>
  <c r="AQ62" i="1"/>
  <c r="AQ66" i="1"/>
  <c r="AQ70" i="1"/>
  <c r="AQ74" i="1"/>
  <c r="AQ78" i="1"/>
  <c r="AQ82" i="1"/>
  <c r="AQ86" i="1"/>
  <c r="AQ90" i="1"/>
  <c r="AQ94" i="1"/>
  <c r="AQ98" i="1"/>
  <c r="AQ102" i="1"/>
  <c r="AQ5" i="1"/>
  <c r="AQ9" i="1"/>
  <c r="AQ12" i="1"/>
  <c r="AQ16" i="1"/>
  <c r="AQ20" i="1"/>
  <c r="AQ24" i="1"/>
  <c r="AQ28" i="1"/>
  <c r="AQ32" i="1"/>
  <c r="AQ36" i="1"/>
  <c r="AQ40" i="1"/>
  <c r="AQ44" i="1"/>
  <c r="AQ48" i="1"/>
  <c r="AQ52" i="1"/>
  <c r="AQ56" i="1"/>
  <c r="AQ60" i="1"/>
  <c r="AQ64" i="1"/>
  <c r="AQ68" i="1"/>
  <c r="AQ72" i="1"/>
  <c r="AQ76" i="1"/>
  <c r="AQ80" i="1"/>
  <c r="AQ84" i="1"/>
  <c r="AQ88" i="1"/>
  <c r="AQ92" i="1"/>
  <c r="AQ96" i="1"/>
  <c r="AN8" i="1"/>
  <c r="AN11" i="1"/>
  <c r="AN15" i="1"/>
  <c r="AN19" i="1"/>
  <c r="AN23" i="1"/>
  <c r="AN27" i="1"/>
  <c r="AN31" i="1"/>
  <c r="AN35" i="1"/>
  <c r="AN39" i="1"/>
  <c r="AN43" i="1"/>
  <c r="AN47" i="1"/>
  <c r="AN51" i="1"/>
  <c r="AN55" i="1"/>
  <c r="AN59" i="1"/>
  <c r="AN63" i="1"/>
  <c r="AN67" i="1"/>
  <c r="AN71" i="1"/>
  <c r="AN75" i="1"/>
  <c r="AN79" i="1"/>
  <c r="AN83" i="1"/>
  <c r="AN87" i="1"/>
  <c r="AN91" i="1"/>
  <c r="AN95" i="1"/>
  <c r="AN99" i="1"/>
  <c r="AN103" i="1"/>
  <c r="AN6" i="1"/>
  <c r="AN10" i="1"/>
  <c r="AN13" i="1"/>
  <c r="AN17" i="1"/>
  <c r="AN21" i="1"/>
  <c r="AN25" i="1"/>
  <c r="AN29" i="1"/>
  <c r="AN33" i="1"/>
  <c r="AN37" i="1"/>
  <c r="AN41" i="1"/>
  <c r="AN45" i="1"/>
  <c r="AN49" i="1"/>
  <c r="AN53" i="1"/>
  <c r="AN57" i="1"/>
  <c r="AN61" i="1"/>
  <c r="AN65" i="1"/>
  <c r="AN69" i="1"/>
  <c r="AN73" i="1"/>
  <c r="AN77" i="1"/>
  <c r="AN81" i="1"/>
  <c r="AN85" i="1"/>
  <c r="AN89" i="1"/>
  <c r="AN93" i="1"/>
  <c r="AN97" i="1"/>
  <c r="AJ109" i="1"/>
  <c r="AH8" i="1"/>
  <c r="AH11" i="1"/>
  <c r="AH15" i="1"/>
  <c r="AH19" i="1"/>
  <c r="AH23" i="1"/>
  <c r="AH27" i="1"/>
  <c r="AH31" i="1"/>
  <c r="AH35" i="1"/>
  <c r="AH39" i="1"/>
  <c r="AH43" i="1"/>
  <c r="AH47" i="1"/>
  <c r="AH51" i="1"/>
  <c r="AH55" i="1"/>
  <c r="AH59" i="1"/>
  <c r="AH63" i="1"/>
  <c r="AH67" i="1"/>
  <c r="AH71" i="1"/>
  <c r="AH75" i="1"/>
  <c r="AH79" i="1"/>
  <c r="AH83" i="1"/>
  <c r="AH87" i="1"/>
  <c r="AH91" i="1"/>
  <c r="AH95" i="1"/>
  <c r="AH99" i="1"/>
  <c r="AH103" i="1"/>
  <c r="AH6" i="1"/>
  <c r="AH10" i="1"/>
  <c r="AH13" i="1"/>
  <c r="AH17" i="1"/>
  <c r="AH21" i="1"/>
  <c r="AH25" i="1"/>
  <c r="AH29" i="1"/>
  <c r="AH33" i="1"/>
  <c r="AH37" i="1"/>
  <c r="AH41" i="1"/>
  <c r="AH45" i="1"/>
  <c r="AH49" i="1"/>
  <c r="AH53" i="1"/>
  <c r="AH57" i="1"/>
  <c r="AH61" i="1"/>
  <c r="AH65" i="1"/>
  <c r="AH69" i="1"/>
  <c r="AH73" i="1"/>
  <c r="AH77" i="1"/>
  <c r="AH81" i="1"/>
  <c r="AH85" i="1"/>
  <c r="AH89" i="1"/>
  <c r="AH93" i="1"/>
  <c r="AH97" i="1"/>
  <c r="AB11" i="1"/>
  <c r="AB19" i="1"/>
  <c r="AB27" i="1"/>
  <c r="AB35" i="1"/>
  <c r="AB43" i="1"/>
  <c r="AB51" i="1"/>
  <c r="AB63" i="1"/>
  <c r="AB71" i="1"/>
  <c r="AB79" i="1"/>
  <c r="AB91" i="1"/>
  <c r="AB103" i="1"/>
  <c r="AB5" i="1"/>
  <c r="AB9" i="1"/>
  <c r="AB12" i="1"/>
  <c r="AB16" i="1"/>
  <c r="AB20" i="1"/>
  <c r="AB24" i="1"/>
  <c r="AB28" i="1"/>
  <c r="AB32" i="1"/>
  <c r="AB36" i="1"/>
  <c r="AB40" i="1"/>
  <c r="AB44" i="1"/>
  <c r="AB48" i="1"/>
  <c r="AB52" i="1"/>
  <c r="AB56" i="1"/>
  <c r="AB60" i="1"/>
  <c r="AB64" i="1"/>
  <c r="AB68" i="1"/>
  <c r="AB72" i="1"/>
  <c r="AB76" i="1"/>
  <c r="AB80" i="1"/>
  <c r="AB84" i="1"/>
  <c r="AB88" i="1"/>
  <c r="AB92" i="1"/>
  <c r="AB96" i="1"/>
  <c r="AB100" i="1"/>
  <c r="AB8" i="1"/>
  <c r="AB15" i="1"/>
  <c r="AB23" i="1"/>
  <c r="AB31" i="1"/>
  <c r="AB39" i="1"/>
  <c r="AB47" i="1"/>
  <c r="AB55" i="1"/>
  <c r="AB59" i="1"/>
  <c r="AB67" i="1"/>
  <c r="AB75" i="1"/>
  <c r="AB83" i="1"/>
  <c r="AB87" i="1"/>
  <c r="AB95" i="1"/>
  <c r="AB99" i="1"/>
  <c r="AB6" i="1"/>
  <c r="AB10" i="1"/>
  <c r="AB13" i="1"/>
  <c r="AB17" i="1"/>
  <c r="AB21" i="1"/>
  <c r="AB25" i="1"/>
  <c r="AB29" i="1"/>
  <c r="AB37" i="1"/>
  <c r="AB41" i="1"/>
  <c r="AB45" i="1"/>
  <c r="AB49" i="1"/>
  <c r="AB53" i="1"/>
  <c r="AB57" i="1"/>
  <c r="AB61" i="1"/>
  <c r="AB65" i="1"/>
  <c r="AB69" i="1"/>
  <c r="AB73" i="1"/>
  <c r="AB77" i="1"/>
  <c r="AB81" i="1"/>
  <c r="AB85" i="1"/>
  <c r="AB89" i="1"/>
  <c r="AB93" i="1"/>
  <c r="AB97" i="1"/>
  <c r="Y10" i="1"/>
  <c r="Y17" i="1"/>
  <c r="Y25" i="1"/>
  <c r="Y33" i="1"/>
  <c r="Y41" i="1"/>
  <c r="Y49" i="1"/>
  <c r="Y57" i="1"/>
  <c r="Y65" i="1"/>
  <c r="Y73" i="1"/>
  <c r="Y81" i="1"/>
  <c r="Y89" i="1"/>
  <c r="Y97" i="1"/>
  <c r="Y6" i="1"/>
  <c r="Y13" i="1"/>
  <c r="Y21" i="1"/>
  <c r="Y29" i="1"/>
  <c r="Y37" i="1"/>
  <c r="Y45" i="1"/>
  <c r="Y53" i="1"/>
  <c r="Y61" i="1"/>
  <c r="Y69" i="1"/>
  <c r="Y77" i="1"/>
  <c r="Y85" i="1"/>
  <c r="Y93" i="1"/>
  <c r="Y101" i="1"/>
  <c r="Y5" i="1"/>
  <c r="Y9" i="1"/>
  <c r="Y12" i="1"/>
  <c r="Y16" i="1"/>
  <c r="Y20" i="1"/>
  <c r="Y24" i="1"/>
  <c r="Y28" i="1"/>
  <c r="Y32" i="1"/>
  <c r="Y36" i="1"/>
  <c r="Y40" i="1"/>
  <c r="Y44" i="1"/>
  <c r="Y48" i="1"/>
  <c r="Y52" i="1"/>
  <c r="Y56" i="1"/>
  <c r="Y60" i="1"/>
  <c r="Y64" i="1"/>
  <c r="Y68" i="1"/>
  <c r="Y72" i="1"/>
  <c r="Y76" i="1"/>
  <c r="Y80" i="1"/>
  <c r="Y84" i="1"/>
  <c r="Y88" i="1"/>
  <c r="Y92" i="1"/>
  <c r="Y96" i="1"/>
  <c r="Y100" i="1"/>
  <c r="Y7" i="1"/>
  <c r="Y14" i="1"/>
  <c r="Y18" i="1"/>
  <c r="Y22" i="1"/>
  <c r="Y26" i="1"/>
  <c r="Y30" i="1"/>
  <c r="Y34" i="1"/>
  <c r="Y38" i="1"/>
  <c r="Y42" i="1"/>
  <c r="Y46" i="1"/>
  <c r="Y50" i="1"/>
  <c r="Y54" i="1"/>
  <c r="Y58" i="1"/>
  <c r="Y62" i="1"/>
  <c r="Y66" i="1"/>
  <c r="Y70" i="1"/>
  <c r="Y74" i="1"/>
  <c r="Y78" i="1"/>
  <c r="Y82" i="1"/>
  <c r="Y86" i="1"/>
  <c r="Y90" i="1"/>
  <c r="Y94" i="1"/>
  <c r="Y98" i="1"/>
  <c r="U109" i="1"/>
  <c r="S18" i="1"/>
  <c r="S26" i="1"/>
  <c r="S34" i="1"/>
  <c r="S42" i="1"/>
  <c r="S50" i="1"/>
  <c r="S58" i="1"/>
  <c r="S66" i="1"/>
  <c r="S74" i="1"/>
  <c r="S82" i="1"/>
  <c r="S90" i="1"/>
  <c r="S98" i="1"/>
  <c r="S7" i="1"/>
  <c r="S14" i="1"/>
  <c r="S22" i="1"/>
  <c r="S30" i="1"/>
  <c r="S38" i="1"/>
  <c r="S46" i="1"/>
  <c r="S54" i="1"/>
  <c r="S62" i="1"/>
  <c r="S70" i="1"/>
  <c r="S78" i="1"/>
  <c r="S86" i="1"/>
  <c r="S94" i="1"/>
  <c r="S102" i="1"/>
  <c r="S6" i="1"/>
  <c r="S10" i="1"/>
  <c r="S13" i="1"/>
  <c r="S17" i="1"/>
  <c r="S21" i="1"/>
  <c r="S25" i="1"/>
  <c r="S29" i="1"/>
  <c r="S33" i="1"/>
  <c r="S37" i="1"/>
  <c r="S41" i="1"/>
  <c r="S45" i="1"/>
  <c r="S49" i="1"/>
  <c r="S53" i="1"/>
  <c r="S57" i="1"/>
  <c r="S61" i="1"/>
  <c r="S65" i="1"/>
  <c r="S69" i="1"/>
  <c r="S73" i="1"/>
  <c r="S77" i="1"/>
  <c r="S81" i="1"/>
  <c r="S85" i="1"/>
  <c r="S89" i="1"/>
  <c r="S93" i="1"/>
  <c r="S97" i="1"/>
  <c r="S101" i="1"/>
  <c r="S8" i="1"/>
  <c r="S11" i="1"/>
  <c r="S15" i="1"/>
  <c r="S19" i="1"/>
  <c r="S23" i="1"/>
  <c r="S27" i="1"/>
  <c r="S31" i="1"/>
  <c r="S35" i="1"/>
  <c r="S39" i="1"/>
  <c r="S43" i="1"/>
  <c r="S47" i="1"/>
  <c r="S51" i="1"/>
  <c r="S55" i="1"/>
  <c r="S59" i="1"/>
  <c r="S63" i="1"/>
  <c r="S67" i="1"/>
  <c r="S71" i="1"/>
  <c r="S75" i="1"/>
  <c r="S79" i="1"/>
  <c r="S83" i="1"/>
  <c r="S87" i="1"/>
  <c r="S91" i="1"/>
  <c r="S95" i="1"/>
  <c r="S99" i="1"/>
  <c r="LD94" i="1"/>
  <c r="LE94" i="1" s="1"/>
  <c r="KL102" i="1"/>
  <c r="KL98" i="1"/>
  <c r="KL94" i="1"/>
  <c r="KL90" i="1"/>
  <c r="KL86" i="1"/>
  <c r="KL82" i="1"/>
  <c r="KL78" i="1"/>
  <c r="KL74" i="1"/>
  <c r="KL70" i="1"/>
  <c r="KL66" i="1"/>
  <c r="KX102" i="1"/>
  <c r="KX98" i="1"/>
  <c r="KX94" i="1"/>
  <c r="KX90" i="1"/>
  <c r="KX86" i="1"/>
  <c r="KX82" i="1"/>
  <c r="KX78" i="1"/>
  <c r="KX74" i="1"/>
  <c r="KX70" i="1"/>
  <c r="KX66" i="1"/>
  <c r="KX62" i="1"/>
  <c r="KX58" i="1"/>
  <c r="KX54" i="1"/>
  <c r="KX50" i="1"/>
  <c r="KX46" i="1"/>
  <c r="KX42" i="1"/>
  <c r="KX38" i="1"/>
  <c r="KX34" i="1"/>
  <c r="KX30" i="1"/>
  <c r="KX26" i="1"/>
  <c r="KX22" i="1"/>
  <c r="KX18" i="1"/>
  <c r="KX14" i="1"/>
  <c r="KX7" i="1"/>
  <c r="KX101" i="1"/>
  <c r="KX97" i="1"/>
  <c r="KX93" i="1"/>
  <c r="KX89" i="1"/>
  <c r="KX85" i="1"/>
  <c r="KX81" i="1"/>
  <c r="KX77" i="1"/>
  <c r="KX73" i="1"/>
  <c r="KX69" i="1"/>
  <c r="KX65" i="1"/>
  <c r="KX61" i="1"/>
  <c r="KX57" i="1"/>
  <c r="KX53" i="1"/>
  <c r="KX49" i="1"/>
  <c r="KX45" i="1"/>
  <c r="KX41" i="1"/>
  <c r="KX37" i="1"/>
  <c r="KX33" i="1"/>
  <c r="KX29" i="1"/>
  <c r="KX25" i="1"/>
  <c r="KX21" i="1"/>
  <c r="KX17" i="1"/>
  <c r="KX13" i="1"/>
  <c r="KX10" i="1"/>
  <c r="KX6" i="1"/>
  <c r="LD89" i="1"/>
  <c r="LE89" i="1" s="1"/>
  <c r="LA6" i="1"/>
  <c r="LA10" i="1"/>
  <c r="LA13" i="1"/>
  <c r="LA17" i="1"/>
  <c r="LA21" i="1"/>
  <c r="LA25" i="1"/>
  <c r="LA29" i="1"/>
  <c r="LA33" i="1"/>
  <c r="LA37" i="1"/>
  <c r="LA41" i="1"/>
  <c r="LA45" i="1"/>
  <c r="LA49" i="1"/>
  <c r="LA53" i="1"/>
  <c r="LA57" i="1"/>
  <c r="LA61" i="1"/>
  <c r="LA65" i="1"/>
  <c r="LA69" i="1"/>
  <c r="LA73" i="1"/>
  <c r="LA77" i="1"/>
  <c r="LA81" i="1"/>
  <c r="LA85" i="1"/>
  <c r="LA89" i="1"/>
  <c r="LA93" i="1"/>
  <c r="LA97" i="1"/>
  <c r="LA101" i="1"/>
  <c r="LA7" i="1"/>
  <c r="LA14" i="1"/>
  <c r="LA18" i="1"/>
  <c r="LA22" i="1"/>
  <c r="LA26" i="1"/>
  <c r="LA30" i="1"/>
  <c r="LA34" i="1"/>
  <c r="LA38" i="1"/>
  <c r="LA42" i="1"/>
  <c r="LA46" i="1"/>
  <c r="LA50" i="1"/>
  <c r="LA54" i="1"/>
  <c r="LA58" i="1"/>
  <c r="LA62" i="1"/>
  <c r="LA66" i="1"/>
  <c r="LA70" i="1"/>
  <c r="LA74" i="1"/>
  <c r="LA78" i="1"/>
  <c r="LA82" i="1"/>
  <c r="LA86" i="1"/>
  <c r="LA90" i="1"/>
  <c r="LA94" i="1"/>
  <c r="LA98" i="1"/>
  <c r="LD91" i="1"/>
  <c r="LE91" i="1" s="1"/>
  <c r="LD88" i="1"/>
  <c r="LE88" i="1" s="1"/>
  <c r="LD93" i="1"/>
  <c r="LE93" i="1" s="1"/>
  <c r="LD98" i="1"/>
  <c r="LE98" i="1" s="1"/>
  <c r="LD90" i="1"/>
  <c r="LD87" i="1"/>
  <c r="LC87" i="1"/>
  <c r="LD95" i="1"/>
  <c r="LE95" i="1" s="1"/>
  <c r="LD97" i="1"/>
  <c r="LE97" i="1" s="1"/>
  <c r="LC91" i="1"/>
  <c r="LD92" i="1"/>
  <c r="LC94" i="1"/>
  <c r="LD96" i="1"/>
  <c r="LC98" i="1"/>
  <c r="DP86" i="1"/>
  <c r="LC79" i="1"/>
  <c r="LC76" i="1"/>
  <c r="LC103" i="1"/>
  <c r="LC102" i="1"/>
  <c r="LC101" i="1"/>
  <c r="LC100" i="1"/>
  <c r="LC99" i="1"/>
  <c r="LC82" i="1"/>
  <c r="LC58" i="1"/>
  <c r="LC9" i="1"/>
  <c r="IQ2" i="1"/>
  <c r="IQ1" i="1"/>
  <c r="IN2" i="1"/>
  <c r="IN1" i="1"/>
  <c r="IK2" i="1"/>
  <c r="IK1" i="1"/>
  <c r="IH2" i="1"/>
  <c r="IH1" i="1"/>
  <c r="IE2" i="1"/>
  <c r="IE1" i="1"/>
  <c r="IB2" i="1"/>
  <c r="IB1" i="1"/>
  <c r="HY2" i="1"/>
  <c r="HY1" i="1"/>
  <c r="HV2" i="1"/>
  <c r="HV1" i="1"/>
  <c r="HS2" i="1"/>
  <c r="HS1" i="1"/>
  <c r="HP2" i="1"/>
  <c r="HP1" i="1"/>
  <c r="HM2" i="1"/>
  <c r="HM1" i="1"/>
  <c r="HJ2" i="1"/>
  <c r="HJ1" i="1"/>
  <c r="HG2" i="1"/>
  <c r="HG1" i="1"/>
  <c r="HD2" i="1"/>
  <c r="HD1" i="1"/>
  <c r="HA2" i="1"/>
  <c r="HA1" i="1"/>
  <c r="GX2" i="1"/>
  <c r="GX1" i="1"/>
  <c r="GU2" i="1"/>
  <c r="GU1" i="1"/>
  <c r="GR2" i="1"/>
  <c r="GR1" i="1"/>
  <c r="GO2" i="1"/>
  <c r="GO1" i="1"/>
  <c r="GL2" i="1"/>
  <c r="GL1" i="1"/>
  <c r="GI2" i="1"/>
  <c r="GI1" i="1"/>
  <c r="GF2" i="1"/>
  <c r="GF1" i="1"/>
  <c r="GC2" i="1"/>
  <c r="GC1" i="1"/>
  <c r="FZ2" i="1"/>
  <c r="FZ1" i="1"/>
  <c r="FW2" i="1"/>
  <c r="FW1" i="1"/>
  <c r="FT2" i="1"/>
  <c r="FT1" i="1"/>
  <c r="FQ2" i="1"/>
  <c r="FQ1" i="1"/>
  <c r="FN2" i="1"/>
  <c r="FN1" i="1"/>
  <c r="FK2" i="1"/>
  <c r="FK1" i="1"/>
  <c r="FH2" i="1"/>
  <c r="FH1" i="1"/>
  <c r="FE2" i="1"/>
  <c r="FE1" i="1"/>
  <c r="FB2" i="1"/>
  <c r="FB1" i="1"/>
  <c r="EY2" i="1"/>
  <c r="EY1" i="1"/>
  <c r="EV2" i="1"/>
  <c r="EV1" i="1"/>
  <c r="ES2" i="1"/>
  <c r="ES1" i="1"/>
  <c r="EP2" i="1"/>
  <c r="EP1" i="1"/>
  <c r="EM2" i="1"/>
  <c r="EM1" i="1"/>
  <c r="EJ2" i="1"/>
  <c r="EJ1" i="1"/>
  <c r="EG2" i="1"/>
  <c r="EG1" i="1"/>
  <c r="ED2" i="1"/>
  <c r="ED1" i="1"/>
  <c r="EA2" i="1"/>
  <c r="EA1" i="1"/>
  <c r="DX2" i="1"/>
  <c r="DX1" i="1"/>
  <c r="DU2" i="1"/>
  <c r="DU1" i="1"/>
  <c r="DR2" i="1"/>
  <c r="DR1" i="1"/>
  <c r="DO2" i="1"/>
  <c r="DO1" i="1"/>
  <c r="DL2" i="1"/>
  <c r="DL1" i="1"/>
  <c r="DI2" i="1"/>
  <c r="DI1" i="1"/>
  <c r="DF2" i="1"/>
  <c r="DF1" i="1"/>
  <c r="DC2" i="1"/>
  <c r="DC1" i="1"/>
  <c r="CZ2" i="1"/>
  <c r="CZ1" i="1"/>
  <c r="CW2" i="1"/>
  <c r="CW1" i="1"/>
  <c r="CT2" i="1"/>
  <c r="CT1" i="1"/>
  <c r="CQ2" i="1"/>
  <c r="CQ1" i="1"/>
  <c r="CN2" i="1"/>
  <c r="CN1" i="1"/>
  <c r="CK2" i="1"/>
  <c r="CK1" i="1"/>
  <c r="CH2" i="1"/>
  <c r="CH1" i="1"/>
  <c r="CE2" i="1"/>
  <c r="CE1" i="1"/>
  <c r="CB2" i="1"/>
  <c r="CB1" i="1"/>
  <c r="BY2" i="1"/>
  <c r="BY1" i="1"/>
  <c r="BV2" i="1"/>
  <c r="BV1" i="1"/>
  <c r="BS2" i="1"/>
  <c r="BS1" i="1"/>
  <c r="BP2" i="1"/>
  <c r="BP1" i="1"/>
  <c r="BM2" i="1"/>
  <c r="BM1" i="1"/>
  <c r="BJ2" i="1"/>
  <c r="BJ1" i="1"/>
  <c r="BG2" i="1"/>
  <c r="BG1" i="1"/>
  <c r="BD2" i="1"/>
  <c r="BD1" i="1"/>
  <c r="BA2" i="1"/>
  <c r="BA1" i="1"/>
  <c r="AX2" i="1"/>
  <c r="AX1" i="1"/>
  <c r="AU2" i="1"/>
  <c r="AU1" i="1"/>
  <c r="AR2" i="1"/>
  <c r="AR1" i="1"/>
  <c r="AO2" i="1"/>
  <c r="AO1" i="1"/>
  <c r="AL2" i="1"/>
  <c r="AL1" i="1"/>
  <c r="AI2" i="1"/>
  <c r="AI1" i="1"/>
  <c r="AF2" i="1"/>
  <c r="AF1" i="1"/>
  <c r="AC2" i="1"/>
  <c r="AC1" i="1"/>
  <c r="Z2" i="1"/>
  <c r="Z1" i="1"/>
  <c r="W2" i="1"/>
  <c r="W1" i="1"/>
  <c r="T2" i="1"/>
  <c r="T1" i="1"/>
  <c r="Q2" i="1"/>
  <c r="Q1" i="1"/>
  <c r="N2" i="1"/>
  <c r="N1" i="1"/>
  <c r="R102" i="1"/>
  <c r="KZ103" i="1"/>
  <c r="IR103" i="1"/>
  <c r="IO103" i="1"/>
  <c r="IL103" i="1"/>
  <c r="II103" i="1"/>
  <c r="IF103" i="1"/>
  <c r="IC103" i="1"/>
  <c r="HZ103" i="1"/>
  <c r="HW103" i="1"/>
  <c r="HT103" i="1"/>
  <c r="HQ103" i="1"/>
  <c r="HN103" i="1"/>
  <c r="HK103" i="1"/>
  <c r="HH103" i="1"/>
  <c r="HE103" i="1"/>
  <c r="HB103" i="1"/>
  <c r="GY103" i="1"/>
  <c r="GV103" i="1"/>
  <c r="GS103" i="1"/>
  <c r="GP103" i="1"/>
  <c r="GM103" i="1"/>
  <c r="GJ103" i="1"/>
  <c r="GG103" i="1"/>
  <c r="GD103" i="1"/>
  <c r="GA103" i="1"/>
  <c r="FX103" i="1"/>
  <c r="FU103" i="1"/>
  <c r="FR103" i="1"/>
  <c r="FO103" i="1"/>
  <c r="FL103" i="1"/>
  <c r="FI103" i="1"/>
  <c r="FF103" i="1"/>
  <c r="FC103" i="1"/>
  <c r="EZ103" i="1"/>
  <c r="EW103" i="1"/>
  <c r="ET103" i="1"/>
  <c r="EQ103" i="1"/>
  <c r="EN103" i="1"/>
  <c r="EK103" i="1"/>
  <c r="EH103" i="1"/>
  <c r="EE103" i="1"/>
  <c r="EB103" i="1"/>
  <c r="DY103" i="1"/>
  <c r="DV103" i="1"/>
  <c r="DS103" i="1"/>
  <c r="DP103" i="1"/>
  <c r="DM103" i="1"/>
  <c r="DJ103" i="1"/>
  <c r="DD103" i="1"/>
  <c r="DA103" i="1"/>
  <c r="CX103" i="1"/>
  <c r="CU103" i="1"/>
  <c r="CR103" i="1"/>
  <c r="CO103" i="1"/>
  <c r="CL103" i="1"/>
  <c r="CI103" i="1"/>
  <c r="CF103" i="1"/>
  <c r="CC103" i="1"/>
  <c r="BZ103" i="1"/>
  <c r="BW103" i="1"/>
  <c r="BT103" i="1"/>
  <c r="BQ103" i="1"/>
  <c r="BN103" i="1"/>
  <c r="BK103" i="1"/>
  <c r="BH103" i="1"/>
  <c r="BE103" i="1"/>
  <c r="BB103" i="1"/>
  <c r="AY103" i="1"/>
  <c r="AV103" i="1"/>
  <c r="AS103" i="1"/>
  <c r="AP103" i="1"/>
  <c r="AM103" i="1"/>
  <c r="AJ103" i="1"/>
  <c r="AG103" i="1"/>
  <c r="AD103" i="1"/>
  <c r="AA103" i="1"/>
  <c r="X103" i="1"/>
  <c r="U103" i="1"/>
  <c r="R103" i="1"/>
  <c r="O103" i="1"/>
  <c r="KZ102" i="1"/>
  <c r="IR102" i="1"/>
  <c r="IO102" i="1"/>
  <c r="IL102" i="1"/>
  <c r="II102" i="1"/>
  <c r="IF102" i="1"/>
  <c r="IC102" i="1"/>
  <c r="HZ102" i="1"/>
  <c r="HW102" i="1"/>
  <c r="HT102" i="1"/>
  <c r="HQ102" i="1"/>
  <c r="HN102" i="1"/>
  <c r="HK102" i="1"/>
  <c r="HH102" i="1"/>
  <c r="HE102" i="1"/>
  <c r="HB102" i="1"/>
  <c r="GY102" i="1"/>
  <c r="GV102" i="1"/>
  <c r="GS102" i="1"/>
  <c r="GP102" i="1"/>
  <c r="GM102" i="1"/>
  <c r="GJ102" i="1"/>
  <c r="GG102" i="1"/>
  <c r="GD102" i="1"/>
  <c r="GA102" i="1"/>
  <c r="FX102" i="1"/>
  <c r="FU102" i="1"/>
  <c r="FR102" i="1"/>
  <c r="FO102" i="1"/>
  <c r="FL102" i="1"/>
  <c r="FI102" i="1"/>
  <c r="FF102" i="1"/>
  <c r="FC102" i="1"/>
  <c r="EZ102" i="1"/>
  <c r="EW102" i="1"/>
  <c r="ET102" i="1"/>
  <c r="EQ102" i="1"/>
  <c r="EN102" i="1"/>
  <c r="EK102" i="1"/>
  <c r="EH102" i="1"/>
  <c r="EE102" i="1"/>
  <c r="EB102" i="1"/>
  <c r="DY102" i="1"/>
  <c r="DV102" i="1"/>
  <c r="DS102" i="1"/>
  <c r="DP102" i="1"/>
  <c r="DM102" i="1"/>
  <c r="DJ102" i="1"/>
  <c r="DD102" i="1"/>
  <c r="DA102" i="1"/>
  <c r="CX102" i="1"/>
  <c r="CU102" i="1"/>
  <c r="CR102" i="1"/>
  <c r="CO102" i="1"/>
  <c r="CL102" i="1"/>
  <c r="CI102" i="1"/>
  <c r="CF102" i="1"/>
  <c r="CC102" i="1"/>
  <c r="BZ102" i="1"/>
  <c r="BW102" i="1"/>
  <c r="BT102" i="1"/>
  <c r="BQ102" i="1"/>
  <c r="BN102" i="1"/>
  <c r="BK102" i="1"/>
  <c r="BH102" i="1"/>
  <c r="BE102" i="1"/>
  <c r="BB102" i="1"/>
  <c r="AY102" i="1"/>
  <c r="AV102" i="1"/>
  <c r="AS102" i="1"/>
  <c r="AP102" i="1"/>
  <c r="AM102" i="1"/>
  <c r="AJ102" i="1"/>
  <c r="AG102" i="1"/>
  <c r="AD102" i="1"/>
  <c r="AA102" i="1"/>
  <c r="X102" i="1"/>
  <c r="U102" i="1"/>
  <c r="O102" i="1"/>
  <c r="KZ101" i="1"/>
  <c r="IR101" i="1"/>
  <c r="IO101" i="1"/>
  <c r="IL101" i="1"/>
  <c r="II101" i="1"/>
  <c r="IF101" i="1"/>
  <c r="IC101" i="1"/>
  <c r="HZ101" i="1"/>
  <c r="HW101" i="1"/>
  <c r="HT101" i="1"/>
  <c r="HQ101" i="1"/>
  <c r="HN101" i="1"/>
  <c r="HK101" i="1"/>
  <c r="HH101" i="1"/>
  <c r="HE101" i="1"/>
  <c r="HB101" i="1"/>
  <c r="GY101" i="1"/>
  <c r="GV101" i="1"/>
  <c r="GS101" i="1"/>
  <c r="GP101" i="1"/>
  <c r="GM101" i="1"/>
  <c r="GJ101" i="1"/>
  <c r="GG101" i="1"/>
  <c r="GD101" i="1"/>
  <c r="GA101" i="1"/>
  <c r="FX101" i="1"/>
  <c r="FU101" i="1"/>
  <c r="FR101" i="1"/>
  <c r="FO101" i="1"/>
  <c r="FL101" i="1"/>
  <c r="FI101" i="1"/>
  <c r="FF101" i="1"/>
  <c r="FC101" i="1"/>
  <c r="EZ101" i="1"/>
  <c r="EW101" i="1"/>
  <c r="ET101" i="1"/>
  <c r="EQ101" i="1"/>
  <c r="EN101" i="1"/>
  <c r="EK101" i="1"/>
  <c r="EH101" i="1"/>
  <c r="EE101" i="1"/>
  <c r="EB101" i="1"/>
  <c r="DY101" i="1"/>
  <c r="DV101" i="1"/>
  <c r="DS101" i="1"/>
  <c r="DP101" i="1"/>
  <c r="DM101" i="1"/>
  <c r="DJ101" i="1"/>
  <c r="DD101" i="1"/>
  <c r="DA101" i="1"/>
  <c r="CX101" i="1"/>
  <c r="CU101" i="1"/>
  <c r="CR101" i="1"/>
  <c r="CO101" i="1"/>
  <c r="CL101" i="1"/>
  <c r="CI101" i="1"/>
  <c r="CF101" i="1"/>
  <c r="CC101" i="1"/>
  <c r="BZ101" i="1"/>
  <c r="BW101" i="1"/>
  <c r="BT101" i="1"/>
  <c r="BQ101" i="1"/>
  <c r="BN101" i="1"/>
  <c r="BK101" i="1"/>
  <c r="BH101" i="1"/>
  <c r="BE101" i="1"/>
  <c r="BB101" i="1"/>
  <c r="AY101" i="1"/>
  <c r="AV101" i="1"/>
  <c r="AS101" i="1"/>
  <c r="AP101" i="1"/>
  <c r="AM101" i="1"/>
  <c r="AJ101" i="1"/>
  <c r="AG101" i="1"/>
  <c r="AD101" i="1"/>
  <c r="AA101" i="1"/>
  <c r="X101" i="1"/>
  <c r="U101" i="1"/>
  <c r="R101" i="1"/>
  <c r="O101" i="1"/>
  <c r="KZ100" i="1"/>
  <c r="IR100" i="1"/>
  <c r="IO100" i="1"/>
  <c r="IL100" i="1"/>
  <c r="II100" i="1"/>
  <c r="IF100" i="1"/>
  <c r="IC100" i="1"/>
  <c r="HZ100" i="1"/>
  <c r="HW100" i="1"/>
  <c r="HT100" i="1"/>
  <c r="HQ100" i="1"/>
  <c r="HN100" i="1"/>
  <c r="HK100" i="1"/>
  <c r="HH100" i="1"/>
  <c r="HE100" i="1"/>
  <c r="HB100" i="1"/>
  <c r="GY100" i="1"/>
  <c r="GV100" i="1"/>
  <c r="GS100" i="1"/>
  <c r="GP100" i="1"/>
  <c r="GM100" i="1"/>
  <c r="GJ100" i="1"/>
  <c r="GG100" i="1"/>
  <c r="GD100" i="1"/>
  <c r="GA100" i="1"/>
  <c r="FX100" i="1"/>
  <c r="FU100" i="1"/>
  <c r="FR100" i="1"/>
  <c r="FO100" i="1"/>
  <c r="FL100" i="1"/>
  <c r="FI100" i="1"/>
  <c r="FF100" i="1"/>
  <c r="FC100" i="1"/>
  <c r="EZ100" i="1"/>
  <c r="EW100" i="1"/>
  <c r="ET100" i="1"/>
  <c r="EQ100" i="1"/>
  <c r="EN100" i="1"/>
  <c r="EK100" i="1"/>
  <c r="EH100" i="1"/>
  <c r="EE100" i="1"/>
  <c r="EB100" i="1"/>
  <c r="DY100" i="1"/>
  <c r="DV100" i="1"/>
  <c r="DS100" i="1"/>
  <c r="DP100" i="1"/>
  <c r="DM100" i="1"/>
  <c r="DJ100" i="1"/>
  <c r="DD100" i="1"/>
  <c r="DA100" i="1"/>
  <c r="CX100" i="1"/>
  <c r="CU100" i="1"/>
  <c r="CR100" i="1"/>
  <c r="CO100" i="1"/>
  <c r="CL100" i="1"/>
  <c r="CI100" i="1"/>
  <c r="CF100" i="1"/>
  <c r="CC100" i="1"/>
  <c r="BZ100" i="1"/>
  <c r="BW100" i="1"/>
  <c r="BT100" i="1"/>
  <c r="BQ100" i="1"/>
  <c r="BN100" i="1"/>
  <c r="BK100" i="1"/>
  <c r="BH100" i="1"/>
  <c r="BE100" i="1"/>
  <c r="BB100" i="1"/>
  <c r="AY100" i="1"/>
  <c r="AV100" i="1"/>
  <c r="AS100" i="1"/>
  <c r="AP100" i="1"/>
  <c r="AM100" i="1"/>
  <c r="AJ100" i="1"/>
  <c r="AG100" i="1"/>
  <c r="AD100" i="1"/>
  <c r="AA100" i="1"/>
  <c r="X100" i="1"/>
  <c r="U100" i="1"/>
  <c r="R100" i="1"/>
  <c r="O100" i="1"/>
  <c r="KZ99" i="1"/>
  <c r="IR99" i="1"/>
  <c r="IO99" i="1"/>
  <c r="IL99" i="1"/>
  <c r="II99" i="1"/>
  <c r="IF99" i="1"/>
  <c r="IC99" i="1"/>
  <c r="HZ99" i="1"/>
  <c r="HW99" i="1"/>
  <c r="HT99" i="1"/>
  <c r="HQ99" i="1"/>
  <c r="HN99" i="1"/>
  <c r="HK99" i="1"/>
  <c r="HH99" i="1"/>
  <c r="HE99" i="1"/>
  <c r="HB99" i="1"/>
  <c r="GY99" i="1"/>
  <c r="GV99" i="1"/>
  <c r="GS99" i="1"/>
  <c r="GP99" i="1"/>
  <c r="GM99" i="1"/>
  <c r="GJ99" i="1"/>
  <c r="GG99" i="1"/>
  <c r="GD99" i="1"/>
  <c r="GA99" i="1"/>
  <c r="FX99" i="1"/>
  <c r="FU99" i="1"/>
  <c r="FR99" i="1"/>
  <c r="FO99" i="1"/>
  <c r="FL99" i="1"/>
  <c r="FI99" i="1"/>
  <c r="FF99" i="1"/>
  <c r="FC99" i="1"/>
  <c r="EZ99" i="1"/>
  <c r="EW99" i="1"/>
  <c r="ET99" i="1"/>
  <c r="EQ99" i="1"/>
  <c r="EN99" i="1"/>
  <c r="EK99" i="1"/>
  <c r="EH99" i="1"/>
  <c r="EE99" i="1"/>
  <c r="EB99" i="1"/>
  <c r="DY99" i="1"/>
  <c r="DV99" i="1"/>
  <c r="DS99" i="1"/>
  <c r="DP99" i="1"/>
  <c r="DM99" i="1"/>
  <c r="DJ99" i="1"/>
  <c r="DD99" i="1"/>
  <c r="DA99" i="1"/>
  <c r="CX99" i="1"/>
  <c r="CU99" i="1"/>
  <c r="CR99" i="1"/>
  <c r="CO99" i="1"/>
  <c r="CL99" i="1"/>
  <c r="CI99" i="1"/>
  <c r="CF99" i="1"/>
  <c r="CC99" i="1"/>
  <c r="BZ99" i="1"/>
  <c r="BW99" i="1"/>
  <c r="BT99" i="1"/>
  <c r="BQ99" i="1"/>
  <c r="BN99" i="1"/>
  <c r="BK99" i="1"/>
  <c r="BH99" i="1"/>
  <c r="BE99" i="1"/>
  <c r="BB99" i="1"/>
  <c r="AY99" i="1"/>
  <c r="AV99" i="1"/>
  <c r="AS99" i="1"/>
  <c r="AP99" i="1"/>
  <c r="AM99" i="1"/>
  <c r="AJ99" i="1"/>
  <c r="AG99" i="1"/>
  <c r="AD99" i="1"/>
  <c r="AA99" i="1"/>
  <c r="X99" i="1"/>
  <c r="U99" i="1"/>
  <c r="R99" i="1"/>
  <c r="O99" i="1"/>
  <c r="KZ86" i="1"/>
  <c r="IR86" i="1"/>
  <c r="IO86" i="1"/>
  <c r="IL86" i="1"/>
  <c r="II86" i="1"/>
  <c r="IF86" i="1"/>
  <c r="IC86" i="1"/>
  <c r="HZ86" i="1"/>
  <c r="HW86" i="1"/>
  <c r="HT86" i="1"/>
  <c r="HQ86" i="1"/>
  <c r="HN86" i="1"/>
  <c r="HK86" i="1"/>
  <c r="HH86" i="1"/>
  <c r="HE86" i="1"/>
  <c r="HB86" i="1"/>
  <c r="GY86" i="1"/>
  <c r="GV86" i="1"/>
  <c r="GS86" i="1"/>
  <c r="GP86" i="1"/>
  <c r="GM86" i="1"/>
  <c r="GJ86" i="1"/>
  <c r="GG86" i="1"/>
  <c r="GD86" i="1"/>
  <c r="GA86" i="1"/>
  <c r="FX86" i="1"/>
  <c r="FU86" i="1"/>
  <c r="FR86" i="1"/>
  <c r="FO86" i="1"/>
  <c r="FL86" i="1"/>
  <c r="FI86" i="1"/>
  <c r="FF86" i="1"/>
  <c r="FC86" i="1"/>
  <c r="EW86" i="1"/>
  <c r="ET86" i="1"/>
  <c r="EQ86" i="1"/>
  <c r="EN86" i="1"/>
  <c r="EK86" i="1"/>
  <c r="EH86" i="1"/>
  <c r="EE86" i="1"/>
  <c r="EB86" i="1"/>
  <c r="DV86" i="1"/>
  <c r="DS86" i="1"/>
  <c r="DM86" i="1"/>
  <c r="DJ86" i="1"/>
  <c r="DA86" i="1"/>
  <c r="CX86" i="1"/>
  <c r="CR86" i="1"/>
  <c r="CO86" i="1"/>
  <c r="CL86" i="1"/>
  <c r="CI86" i="1"/>
  <c r="CF86" i="1"/>
  <c r="CC86" i="1"/>
  <c r="BZ86" i="1"/>
  <c r="BW86" i="1"/>
  <c r="BT86" i="1"/>
  <c r="BQ86" i="1"/>
  <c r="BN86" i="1"/>
  <c r="BK86" i="1"/>
  <c r="BH86" i="1"/>
  <c r="BE86" i="1"/>
  <c r="BB86" i="1"/>
  <c r="AY86" i="1"/>
  <c r="AV86" i="1"/>
  <c r="AS86" i="1"/>
  <c r="AP86" i="1"/>
  <c r="AM86" i="1"/>
  <c r="AJ86" i="1"/>
  <c r="AG86" i="1"/>
  <c r="AD86" i="1"/>
  <c r="AA86" i="1"/>
  <c r="X86" i="1"/>
  <c r="R86" i="1"/>
  <c r="O86" i="1"/>
  <c r="KZ85" i="1"/>
  <c r="IR85" i="1"/>
  <c r="IO85" i="1"/>
  <c r="IL85" i="1"/>
  <c r="II85" i="1"/>
  <c r="IF85" i="1"/>
  <c r="IC85" i="1"/>
  <c r="HZ85" i="1"/>
  <c r="HW85" i="1"/>
  <c r="HQ85" i="1"/>
  <c r="HN85" i="1"/>
  <c r="HK85" i="1"/>
  <c r="HH85" i="1"/>
  <c r="HE85" i="1"/>
  <c r="HB85" i="1"/>
  <c r="GY85" i="1"/>
  <c r="GV85" i="1"/>
  <c r="GS85" i="1"/>
  <c r="GP85" i="1"/>
  <c r="GM85" i="1"/>
  <c r="GJ85" i="1"/>
  <c r="GG85" i="1"/>
  <c r="GD85" i="1"/>
  <c r="GA85" i="1"/>
  <c r="FX85" i="1"/>
  <c r="FU85" i="1"/>
  <c r="FR85" i="1"/>
  <c r="FO85" i="1"/>
  <c r="FL85" i="1"/>
  <c r="FI85" i="1"/>
  <c r="FF85" i="1"/>
  <c r="FC85" i="1"/>
  <c r="EW85" i="1"/>
  <c r="ET85" i="1"/>
  <c r="EQ85" i="1"/>
  <c r="EN85" i="1"/>
  <c r="EK85" i="1"/>
  <c r="EH85" i="1"/>
  <c r="EE85" i="1"/>
  <c r="EB85" i="1"/>
  <c r="DY85" i="1"/>
  <c r="DV85" i="1"/>
  <c r="DS85" i="1"/>
  <c r="DM85" i="1"/>
  <c r="DJ85" i="1"/>
  <c r="DA85" i="1"/>
  <c r="CX85" i="1"/>
  <c r="CU85" i="1"/>
  <c r="CR85" i="1"/>
  <c r="CO85" i="1"/>
  <c r="CL85" i="1"/>
  <c r="CI85" i="1"/>
  <c r="CF85" i="1"/>
  <c r="CC85" i="1"/>
  <c r="BZ85" i="1"/>
  <c r="BW85" i="1"/>
  <c r="BT85" i="1"/>
  <c r="BQ85" i="1"/>
  <c r="BN85" i="1"/>
  <c r="BK85" i="1"/>
  <c r="BH85" i="1"/>
  <c r="BE85" i="1"/>
  <c r="BB85" i="1"/>
  <c r="AY85" i="1"/>
  <c r="AV85" i="1"/>
  <c r="AS85" i="1"/>
  <c r="AP85" i="1"/>
  <c r="AJ85" i="1"/>
  <c r="AG85" i="1"/>
  <c r="AD85" i="1"/>
  <c r="AA85" i="1"/>
  <c r="X85" i="1"/>
  <c r="U85" i="1"/>
  <c r="R85" i="1"/>
  <c r="O85" i="1"/>
  <c r="LE87" i="1" l="1"/>
  <c r="LE92" i="1"/>
  <c r="LE90" i="1"/>
  <c r="LE96" i="1"/>
  <c r="LD100" i="1"/>
  <c r="LE100" i="1" s="1"/>
  <c r="LD102" i="1"/>
  <c r="LE102" i="1" s="1"/>
  <c r="LD103" i="1"/>
  <c r="LE103" i="1" s="1"/>
  <c r="LD99" i="1"/>
  <c r="LE99" i="1" s="1"/>
  <c r="LD101" i="1"/>
  <c r="LE101" i="1" s="1"/>
  <c r="AJ4" i="1"/>
  <c r="AK4" i="1"/>
  <c r="AM4" i="1"/>
  <c r="AN4" i="1"/>
  <c r="AP4" i="1"/>
  <c r="AQ4" i="1"/>
  <c r="AS4" i="1"/>
  <c r="AT4" i="1"/>
  <c r="AV4" i="1"/>
  <c r="AW4" i="1"/>
  <c r="AY4" i="1"/>
  <c r="AZ4" i="1"/>
  <c r="BB4" i="1"/>
  <c r="BC4" i="1"/>
  <c r="BE4" i="1"/>
  <c r="BF4" i="1"/>
  <c r="BH4" i="1"/>
  <c r="BI4" i="1"/>
  <c r="BL4" i="1"/>
  <c r="BN4" i="1"/>
  <c r="BO4" i="1"/>
  <c r="EH33" i="1"/>
  <c r="KZ10" i="1" l="1"/>
  <c r="IR10" i="1"/>
  <c r="IO10" i="1"/>
  <c r="IL10" i="1"/>
  <c r="II10" i="1"/>
  <c r="IF10" i="1"/>
  <c r="IC10" i="1"/>
  <c r="HZ10" i="1"/>
  <c r="HW10" i="1"/>
  <c r="HT10" i="1"/>
  <c r="HQ10" i="1"/>
  <c r="HN10" i="1"/>
  <c r="HK10" i="1"/>
  <c r="HH10" i="1"/>
  <c r="HE10" i="1"/>
  <c r="HB10" i="1"/>
  <c r="GY10" i="1"/>
  <c r="GV10" i="1"/>
  <c r="GS10" i="1"/>
  <c r="GP10" i="1"/>
  <c r="GM10" i="1"/>
  <c r="GJ10" i="1"/>
  <c r="GG10" i="1"/>
  <c r="GD10" i="1"/>
  <c r="GA10" i="1"/>
  <c r="FX10" i="1"/>
  <c r="FR10" i="1"/>
  <c r="FO10" i="1"/>
  <c r="FL10" i="1"/>
  <c r="FF10" i="1"/>
  <c r="FC10" i="1"/>
  <c r="EZ10" i="1"/>
  <c r="EQ10" i="1"/>
  <c r="EN10" i="1"/>
  <c r="EK10" i="1"/>
  <c r="EH10" i="1"/>
  <c r="EE10" i="1"/>
  <c r="DY10" i="1"/>
  <c r="DV10" i="1"/>
  <c r="DP10" i="1"/>
  <c r="DM10" i="1"/>
  <c r="DJ10" i="1"/>
  <c r="DD10" i="1"/>
  <c r="DA10" i="1"/>
  <c r="CU10" i="1"/>
  <c r="CR10" i="1"/>
  <c r="CO10" i="1"/>
  <c r="CL10" i="1"/>
  <c r="CI10" i="1"/>
  <c r="CF10" i="1"/>
  <c r="CC10" i="1"/>
  <c r="BT10" i="1"/>
  <c r="BQ10" i="1"/>
  <c r="BN10" i="1"/>
  <c r="BK10" i="1"/>
  <c r="BH10" i="1"/>
  <c r="BE10" i="1"/>
  <c r="BB10" i="1"/>
  <c r="AY10" i="1"/>
  <c r="AS10" i="1"/>
  <c r="AP10" i="1"/>
  <c r="AM10" i="1"/>
  <c r="AJ10" i="1"/>
  <c r="AG10" i="1"/>
  <c r="AD10" i="1"/>
  <c r="AA10" i="1"/>
  <c r="X10" i="1"/>
  <c r="U10" i="1"/>
  <c r="R10" i="1"/>
  <c r="O10" i="1"/>
  <c r="KZ9" i="1"/>
  <c r="IR9" i="1"/>
  <c r="IO9" i="1"/>
  <c r="IL9" i="1"/>
  <c r="II9" i="1"/>
  <c r="IF9" i="1"/>
  <c r="IC9" i="1"/>
  <c r="HZ9" i="1"/>
  <c r="HW9" i="1"/>
  <c r="HT9" i="1"/>
  <c r="HQ9" i="1"/>
  <c r="HN9" i="1"/>
  <c r="HK9" i="1"/>
  <c r="HH9" i="1"/>
  <c r="HE9" i="1"/>
  <c r="HB9" i="1"/>
  <c r="GY9" i="1"/>
  <c r="GV9" i="1"/>
  <c r="GS9" i="1"/>
  <c r="GP9" i="1"/>
  <c r="GM9" i="1"/>
  <c r="GJ9" i="1"/>
  <c r="GG9" i="1"/>
  <c r="GA9" i="1"/>
  <c r="FX9" i="1"/>
  <c r="FU9" i="1"/>
  <c r="FR9" i="1"/>
  <c r="FO9" i="1"/>
  <c r="FI9" i="1"/>
  <c r="FF9" i="1"/>
  <c r="FC9" i="1"/>
  <c r="EZ9" i="1"/>
  <c r="EW9" i="1"/>
  <c r="ET9" i="1"/>
  <c r="EQ9" i="1"/>
  <c r="EN9" i="1"/>
  <c r="EK9" i="1"/>
  <c r="EH9" i="1"/>
  <c r="EE9" i="1"/>
  <c r="DY9" i="1"/>
  <c r="DV9" i="1"/>
  <c r="DP9" i="1"/>
  <c r="DM9" i="1"/>
  <c r="DD9" i="1"/>
  <c r="DA9" i="1"/>
  <c r="CX9" i="1"/>
  <c r="CU9" i="1"/>
  <c r="CR9" i="1"/>
  <c r="CO9" i="1"/>
  <c r="CL9" i="1"/>
  <c r="CI9" i="1"/>
  <c r="CF9" i="1"/>
  <c r="CC9" i="1"/>
  <c r="BZ9" i="1"/>
  <c r="BW9" i="1"/>
  <c r="BT9" i="1"/>
  <c r="BQ9" i="1"/>
  <c r="BN9" i="1"/>
  <c r="BK9" i="1"/>
  <c r="BH9" i="1"/>
  <c r="BE9" i="1"/>
  <c r="BB9" i="1"/>
  <c r="AY9" i="1"/>
  <c r="AS9" i="1"/>
  <c r="AP9" i="1"/>
  <c r="AM9" i="1"/>
  <c r="AJ9" i="1"/>
  <c r="AG9" i="1"/>
  <c r="AD9" i="1"/>
  <c r="AA9" i="1"/>
  <c r="X9" i="1"/>
  <c r="U9" i="1"/>
  <c r="R9" i="1"/>
  <c r="O9" i="1"/>
  <c r="HH3" i="1" l="1"/>
  <c r="HI3" i="1"/>
  <c r="HK3" i="1"/>
  <c r="HL3" i="1"/>
  <c r="HN3" i="1"/>
  <c r="HO3" i="1"/>
  <c r="HQ3" i="1"/>
  <c r="HR3" i="1"/>
  <c r="HT3" i="1"/>
  <c r="HU3" i="1"/>
  <c r="HW3" i="1"/>
  <c r="HX3" i="1"/>
  <c r="HZ3" i="1"/>
  <c r="IA3" i="1"/>
  <c r="GY4" i="1"/>
  <c r="GZ4" i="1"/>
  <c r="HB4" i="1"/>
  <c r="HC4" i="1"/>
  <c r="HE4" i="1"/>
  <c r="HF4" i="1"/>
  <c r="HH4" i="1"/>
  <c r="HI4" i="1"/>
  <c r="HK4" i="1"/>
  <c r="HL4" i="1"/>
  <c r="HN4" i="1"/>
  <c r="HO4" i="1"/>
  <c r="HQ4" i="1"/>
  <c r="HR4" i="1"/>
  <c r="HT4" i="1"/>
  <c r="HU4" i="1"/>
  <c r="HW4" i="1"/>
  <c r="HX4" i="1"/>
  <c r="HZ4" i="1"/>
  <c r="IA4" i="1"/>
  <c r="DM5" i="1"/>
  <c r="DP5" i="1"/>
  <c r="DV5" i="1"/>
  <c r="DY5" i="1"/>
  <c r="EB5" i="1"/>
  <c r="EE5" i="1"/>
  <c r="EH5" i="1"/>
  <c r="EK5" i="1"/>
  <c r="EN5" i="1"/>
  <c r="EQ5" i="1"/>
  <c r="ET5" i="1"/>
  <c r="EW5" i="1"/>
  <c r="EZ5" i="1"/>
  <c r="FC5" i="1"/>
  <c r="FF5" i="1"/>
  <c r="FI5" i="1"/>
  <c r="FL5" i="1"/>
  <c r="FO5" i="1"/>
  <c r="FR5" i="1"/>
  <c r="FU5" i="1"/>
  <c r="FX5" i="1"/>
  <c r="GA5" i="1"/>
  <c r="GD5" i="1"/>
  <c r="GG5" i="1"/>
  <c r="GJ5" i="1"/>
  <c r="GM5" i="1"/>
  <c r="GP5" i="1"/>
  <c r="GS5" i="1"/>
  <c r="GV5" i="1"/>
  <c r="GY5" i="1"/>
  <c r="HB5" i="1"/>
  <c r="HE5" i="1"/>
  <c r="HH5" i="1"/>
  <c r="HK5" i="1"/>
  <c r="HN5" i="1"/>
  <c r="HQ5" i="1"/>
  <c r="HT5" i="1"/>
  <c r="HW5" i="1"/>
  <c r="HZ5" i="1"/>
  <c r="DM6" i="1"/>
  <c r="DP6" i="1"/>
  <c r="DV6" i="1"/>
  <c r="DY6" i="1"/>
  <c r="EB6" i="1"/>
  <c r="EE6" i="1"/>
  <c r="EK6" i="1"/>
  <c r="EN6" i="1"/>
  <c r="EQ6" i="1"/>
  <c r="EW6" i="1"/>
  <c r="EZ6" i="1"/>
  <c r="FC6" i="1"/>
  <c r="FF6" i="1"/>
  <c r="FL6" i="1"/>
  <c r="FO6" i="1"/>
  <c r="FR6" i="1"/>
  <c r="FX6" i="1"/>
  <c r="GA6" i="1"/>
  <c r="GG6" i="1"/>
  <c r="GJ6" i="1"/>
  <c r="GM6" i="1"/>
  <c r="GP6" i="1"/>
  <c r="GS6" i="1"/>
  <c r="GV6" i="1"/>
  <c r="GY6" i="1"/>
  <c r="HB6" i="1"/>
  <c r="HE6" i="1"/>
  <c r="HH6" i="1"/>
  <c r="HK6" i="1"/>
  <c r="HN6" i="1"/>
  <c r="HQ6" i="1"/>
  <c r="HT6" i="1"/>
  <c r="HW6" i="1"/>
  <c r="HZ6" i="1"/>
  <c r="DM7" i="1"/>
  <c r="DP7" i="1"/>
  <c r="DV7" i="1"/>
  <c r="DY7" i="1"/>
  <c r="EB7" i="1"/>
  <c r="EE7" i="1"/>
  <c r="EK7" i="1"/>
  <c r="EN7" i="1"/>
  <c r="EQ7" i="1"/>
  <c r="EW7" i="1"/>
  <c r="EZ7" i="1"/>
  <c r="FC7" i="1"/>
  <c r="FF7" i="1"/>
  <c r="FI7" i="1"/>
  <c r="FO7" i="1"/>
  <c r="FR7" i="1"/>
  <c r="FU7" i="1"/>
  <c r="FX7" i="1"/>
  <c r="GA7" i="1"/>
  <c r="GD7" i="1"/>
  <c r="GJ7" i="1"/>
  <c r="GM7" i="1"/>
  <c r="GP7" i="1"/>
  <c r="GS7" i="1"/>
  <c r="GV7" i="1"/>
  <c r="GY7" i="1"/>
  <c r="HB7" i="1"/>
  <c r="HE7" i="1"/>
  <c r="HH7" i="1"/>
  <c r="HK7" i="1"/>
  <c r="HN7" i="1"/>
  <c r="HQ7" i="1"/>
  <c r="HT7" i="1"/>
  <c r="HW7" i="1"/>
  <c r="HZ7" i="1"/>
  <c r="DM8" i="1"/>
  <c r="DP8" i="1"/>
  <c r="DV8" i="1"/>
  <c r="DY8" i="1"/>
  <c r="EB8" i="1"/>
  <c r="EE8" i="1"/>
  <c r="EK8" i="1"/>
  <c r="EN8" i="1"/>
  <c r="EQ8" i="1"/>
  <c r="ET8" i="1"/>
  <c r="EW8" i="1"/>
  <c r="EZ8" i="1"/>
  <c r="FC8" i="1"/>
  <c r="FL8" i="1"/>
  <c r="FO8" i="1"/>
  <c r="FR8" i="1"/>
  <c r="FX8" i="1"/>
  <c r="GA8" i="1"/>
  <c r="GD8" i="1"/>
  <c r="GG8" i="1"/>
  <c r="GJ8" i="1"/>
  <c r="GP8" i="1"/>
  <c r="GS8" i="1"/>
  <c r="GV8" i="1"/>
  <c r="GY8" i="1"/>
  <c r="HB8" i="1"/>
  <c r="HE8" i="1"/>
  <c r="HH8" i="1"/>
  <c r="HK8" i="1"/>
  <c r="HN8" i="1"/>
  <c r="HQ8" i="1"/>
  <c r="HT8" i="1"/>
  <c r="HW8" i="1"/>
  <c r="HZ8" i="1"/>
  <c r="DJ11" i="1"/>
  <c r="DM11" i="1"/>
  <c r="DP11" i="1"/>
  <c r="DV11" i="1"/>
  <c r="DY11" i="1"/>
  <c r="EB11" i="1"/>
  <c r="EE11" i="1"/>
  <c r="EH11" i="1"/>
  <c r="EK11" i="1"/>
  <c r="EN11" i="1"/>
  <c r="EQ11" i="1"/>
  <c r="ET11" i="1"/>
  <c r="EW11" i="1"/>
  <c r="EZ11" i="1"/>
  <c r="FC11" i="1"/>
  <c r="FL11" i="1"/>
  <c r="FO11" i="1"/>
  <c r="FX11" i="1"/>
  <c r="GG11" i="1"/>
  <c r="GJ11" i="1"/>
  <c r="GP11" i="1"/>
  <c r="GS11" i="1"/>
  <c r="GV11" i="1"/>
  <c r="GY11" i="1"/>
  <c r="HB11" i="1"/>
  <c r="HE11" i="1"/>
  <c r="HH11" i="1"/>
  <c r="HK11" i="1"/>
  <c r="HN11" i="1"/>
  <c r="HQ11" i="1"/>
  <c r="HT11" i="1"/>
  <c r="HW11" i="1"/>
  <c r="HZ11" i="1"/>
  <c r="DJ12" i="1"/>
  <c r="DM12" i="1"/>
  <c r="DP12" i="1"/>
  <c r="DV12" i="1"/>
  <c r="DY12" i="1"/>
  <c r="EB12" i="1"/>
  <c r="EE12" i="1"/>
  <c r="EH12" i="1"/>
  <c r="EK12" i="1"/>
  <c r="EN12" i="1"/>
  <c r="EQ12" i="1"/>
  <c r="ET12" i="1"/>
  <c r="EW12" i="1"/>
  <c r="EZ12" i="1"/>
  <c r="FI12" i="1"/>
  <c r="FX12" i="1"/>
  <c r="GA12" i="1"/>
  <c r="GG12" i="1"/>
  <c r="GJ12" i="1"/>
  <c r="GM12" i="1"/>
  <c r="GP12" i="1"/>
  <c r="GS12" i="1"/>
  <c r="GV12" i="1"/>
  <c r="GY12" i="1"/>
  <c r="HB12" i="1"/>
  <c r="HE12" i="1"/>
  <c r="HH12" i="1"/>
  <c r="HK12" i="1"/>
  <c r="HN12" i="1"/>
  <c r="HQ12" i="1"/>
  <c r="HT12" i="1"/>
  <c r="HW12" i="1"/>
  <c r="HZ12" i="1"/>
  <c r="DJ13" i="1"/>
  <c r="DM13" i="1"/>
  <c r="DP13" i="1"/>
  <c r="DV13" i="1"/>
  <c r="EB13" i="1"/>
  <c r="EE13" i="1"/>
  <c r="EH13" i="1"/>
  <c r="EK13" i="1"/>
  <c r="EN13" i="1"/>
  <c r="EQ13" i="1"/>
  <c r="EW13" i="1"/>
  <c r="EZ13" i="1"/>
  <c r="FC13" i="1"/>
  <c r="FF13" i="1"/>
  <c r="FL13" i="1"/>
  <c r="FR13" i="1"/>
  <c r="FX13" i="1"/>
  <c r="GA13" i="1"/>
  <c r="GG13" i="1"/>
  <c r="GJ13" i="1"/>
  <c r="GM13" i="1"/>
  <c r="GP13" i="1"/>
  <c r="GS13" i="1"/>
  <c r="GV13" i="1"/>
  <c r="GY13" i="1"/>
  <c r="HB13" i="1"/>
  <c r="HE13" i="1"/>
  <c r="HH13" i="1"/>
  <c r="HK13" i="1"/>
  <c r="HN13" i="1"/>
  <c r="HQ13" i="1"/>
  <c r="HT13" i="1"/>
  <c r="HW13" i="1"/>
  <c r="HZ13" i="1"/>
  <c r="DJ14" i="1"/>
  <c r="DM14" i="1"/>
  <c r="DP14" i="1"/>
  <c r="DV14" i="1"/>
  <c r="DY14" i="1"/>
  <c r="EE14" i="1"/>
  <c r="EH14" i="1"/>
  <c r="EK14" i="1"/>
  <c r="EN14" i="1"/>
  <c r="EQ14" i="1"/>
  <c r="ET14" i="1"/>
  <c r="EW14" i="1"/>
  <c r="EZ14" i="1"/>
  <c r="FC14" i="1"/>
  <c r="FF14" i="1"/>
  <c r="FO14" i="1"/>
  <c r="FR14" i="1"/>
  <c r="FX14" i="1"/>
  <c r="GA14" i="1"/>
  <c r="GD14" i="1"/>
  <c r="GJ14" i="1"/>
  <c r="GP14" i="1"/>
  <c r="GS14" i="1"/>
  <c r="GV14" i="1"/>
  <c r="GY14" i="1"/>
  <c r="HB14" i="1"/>
  <c r="HE14" i="1"/>
  <c r="HH14" i="1"/>
  <c r="HK14" i="1"/>
  <c r="HN14" i="1"/>
  <c r="HQ14" i="1"/>
  <c r="HT14" i="1"/>
  <c r="HW14" i="1"/>
  <c r="HZ14" i="1"/>
  <c r="DJ15" i="1"/>
  <c r="DM15" i="1"/>
  <c r="DP15" i="1"/>
  <c r="DS15" i="1"/>
  <c r="DV15" i="1"/>
  <c r="EB15" i="1"/>
  <c r="EE15" i="1"/>
  <c r="EH15" i="1"/>
  <c r="EK15" i="1"/>
  <c r="EN15" i="1"/>
  <c r="EQ15" i="1"/>
  <c r="ET15" i="1"/>
  <c r="EW15" i="1"/>
  <c r="EZ15" i="1"/>
  <c r="FC15" i="1"/>
  <c r="FL15" i="1"/>
  <c r="FO15" i="1"/>
  <c r="FX15" i="1"/>
  <c r="GA15" i="1"/>
  <c r="GD15" i="1"/>
  <c r="GJ15" i="1"/>
  <c r="GP15" i="1"/>
  <c r="GS15" i="1"/>
  <c r="GV15" i="1"/>
  <c r="GY15" i="1"/>
  <c r="HB15" i="1"/>
  <c r="HE15" i="1"/>
  <c r="HH15" i="1"/>
  <c r="HK15" i="1"/>
  <c r="HN15" i="1"/>
  <c r="HQ15" i="1"/>
  <c r="HT15" i="1"/>
  <c r="HW15" i="1"/>
  <c r="HZ15" i="1"/>
  <c r="DJ16" i="1"/>
  <c r="DM16" i="1"/>
  <c r="DP16" i="1"/>
  <c r="DV16" i="1"/>
  <c r="DY16" i="1"/>
  <c r="EB16" i="1"/>
  <c r="EE16" i="1"/>
  <c r="EH16" i="1"/>
  <c r="EK16" i="1"/>
  <c r="EN16" i="1"/>
  <c r="EW16" i="1"/>
  <c r="EZ16" i="1"/>
  <c r="FC16" i="1"/>
  <c r="FF16" i="1"/>
  <c r="FI16" i="1"/>
  <c r="FL16" i="1"/>
  <c r="FO16" i="1"/>
  <c r="FR16" i="1"/>
  <c r="FU16" i="1"/>
  <c r="FX16" i="1"/>
  <c r="GA16" i="1"/>
  <c r="GG16" i="1"/>
  <c r="GJ16" i="1"/>
  <c r="GM16" i="1"/>
  <c r="GP16" i="1"/>
  <c r="GS16" i="1"/>
  <c r="GY16" i="1"/>
  <c r="HB16" i="1"/>
  <c r="HE16" i="1"/>
  <c r="HH16" i="1"/>
  <c r="HK16" i="1"/>
  <c r="HN16" i="1"/>
  <c r="HQ16" i="1"/>
  <c r="HT16" i="1"/>
  <c r="HW16" i="1"/>
  <c r="HZ16" i="1"/>
  <c r="DJ17" i="1"/>
  <c r="DM17" i="1"/>
  <c r="DP17" i="1"/>
  <c r="DV17" i="1"/>
  <c r="DY17" i="1"/>
  <c r="EB17" i="1"/>
  <c r="EE17" i="1"/>
  <c r="EH17" i="1"/>
  <c r="EK17" i="1"/>
  <c r="EN17" i="1"/>
  <c r="EW17" i="1"/>
  <c r="EZ17" i="1"/>
  <c r="FC17" i="1"/>
  <c r="FF17" i="1"/>
  <c r="FI17" i="1"/>
  <c r="FL17" i="1"/>
  <c r="FO17" i="1"/>
  <c r="FR17" i="1"/>
  <c r="FU17" i="1"/>
  <c r="FX17" i="1"/>
  <c r="GA17" i="1"/>
  <c r="GG17" i="1"/>
  <c r="GJ17" i="1"/>
  <c r="GM17" i="1"/>
  <c r="GP17" i="1"/>
  <c r="GS17" i="1"/>
  <c r="GY17" i="1"/>
  <c r="HB17" i="1"/>
  <c r="HH17" i="1"/>
  <c r="HK17" i="1"/>
  <c r="HN17" i="1"/>
  <c r="HQ17" i="1"/>
  <c r="HT17" i="1"/>
  <c r="HW17" i="1"/>
  <c r="HZ17" i="1"/>
  <c r="DJ18" i="1"/>
  <c r="DM18" i="1"/>
  <c r="DP18" i="1"/>
  <c r="DV18" i="1"/>
  <c r="DY18" i="1"/>
  <c r="EB18" i="1"/>
  <c r="EE18" i="1"/>
  <c r="EH18" i="1"/>
  <c r="EK18" i="1"/>
  <c r="EN18" i="1"/>
  <c r="ET18" i="1"/>
  <c r="EZ18" i="1"/>
  <c r="FC18" i="1"/>
  <c r="FF18" i="1"/>
  <c r="FI18" i="1"/>
  <c r="FL18" i="1"/>
  <c r="FO18" i="1"/>
  <c r="FR18" i="1"/>
  <c r="FU18" i="1"/>
  <c r="FX18" i="1"/>
  <c r="GA18" i="1"/>
  <c r="GG18" i="1"/>
  <c r="GJ18" i="1"/>
  <c r="GM18" i="1"/>
  <c r="GP18" i="1"/>
  <c r="GS18" i="1"/>
  <c r="GY18" i="1"/>
  <c r="HB18" i="1"/>
  <c r="HE18" i="1"/>
  <c r="HH18" i="1"/>
  <c r="HK18" i="1"/>
  <c r="HN18" i="1"/>
  <c r="HQ18" i="1"/>
  <c r="HT18" i="1"/>
  <c r="HW18" i="1"/>
  <c r="HZ18" i="1"/>
  <c r="DJ19" i="1"/>
  <c r="DM19" i="1"/>
  <c r="DP19" i="1"/>
  <c r="DS19" i="1"/>
  <c r="DV19" i="1"/>
  <c r="DY19" i="1"/>
  <c r="EB19" i="1"/>
  <c r="EE19" i="1"/>
  <c r="EH19" i="1"/>
  <c r="EK19" i="1"/>
  <c r="EN19" i="1"/>
  <c r="EQ19" i="1"/>
  <c r="ET19" i="1"/>
  <c r="EW19" i="1"/>
  <c r="EZ19" i="1"/>
  <c r="FC19" i="1"/>
  <c r="FF19" i="1"/>
  <c r="FI19" i="1"/>
  <c r="FL19" i="1"/>
  <c r="FO19" i="1"/>
  <c r="FR19" i="1"/>
  <c r="FX19" i="1"/>
  <c r="GD19" i="1"/>
  <c r="GG19" i="1"/>
  <c r="GJ19" i="1"/>
  <c r="GM19" i="1"/>
  <c r="GP19" i="1"/>
  <c r="GS19" i="1"/>
  <c r="GY19" i="1"/>
  <c r="HB19" i="1"/>
  <c r="HE19" i="1"/>
  <c r="HH19" i="1"/>
  <c r="HK19" i="1"/>
  <c r="HN19" i="1"/>
  <c r="HQ19" i="1"/>
  <c r="HT19" i="1"/>
  <c r="HW19" i="1"/>
  <c r="HZ19" i="1"/>
  <c r="DJ20" i="1"/>
  <c r="DM20" i="1"/>
  <c r="DP20" i="1"/>
  <c r="DS20" i="1"/>
  <c r="DV20" i="1"/>
  <c r="EB20" i="1"/>
  <c r="EE20" i="1"/>
  <c r="EH20" i="1"/>
  <c r="EK20" i="1"/>
  <c r="EN20" i="1"/>
  <c r="EQ20" i="1"/>
  <c r="EW20" i="1"/>
  <c r="EZ20" i="1"/>
  <c r="FC20" i="1"/>
  <c r="FF20" i="1"/>
  <c r="FI20" i="1"/>
  <c r="FL20" i="1"/>
  <c r="FO20" i="1"/>
  <c r="FR20" i="1"/>
  <c r="FU20" i="1"/>
  <c r="FX20" i="1"/>
  <c r="GD20" i="1"/>
  <c r="GG20" i="1"/>
  <c r="GJ20" i="1"/>
  <c r="GM20" i="1"/>
  <c r="GP20" i="1"/>
  <c r="GS20" i="1"/>
  <c r="GV20" i="1"/>
  <c r="GY20" i="1"/>
  <c r="HB20" i="1"/>
  <c r="HE20" i="1"/>
  <c r="HH20" i="1"/>
  <c r="HK20" i="1"/>
  <c r="HN20" i="1"/>
  <c r="HQ20" i="1"/>
  <c r="HT20" i="1"/>
  <c r="HW20" i="1"/>
  <c r="HZ20" i="1"/>
  <c r="DJ21" i="1"/>
  <c r="DM21" i="1"/>
  <c r="DP21" i="1"/>
  <c r="DS21" i="1"/>
  <c r="DV21" i="1"/>
  <c r="DY21" i="1"/>
  <c r="EE21" i="1"/>
  <c r="EH21" i="1"/>
  <c r="EK21" i="1"/>
  <c r="EN21" i="1"/>
  <c r="EQ21" i="1"/>
  <c r="ET21" i="1"/>
  <c r="EZ21" i="1"/>
  <c r="FC21" i="1"/>
  <c r="FF21" i="1"/>
  <c r="FI21" i="1"/>
  <c r="FL21" i="1"/>
  <c r="FR21" i="1"/>
  <c r="FU21" i="1"/>
  <c r="FX21" i="1"/>
  <c r="GA21" i="1"/>
  <c r="GD21" i="1"/>
  <c r="GG21" i="1"/>
  <c r="GJ21" i="1"/>
  <c r="GM21" i="1"/>
  <c r="GP21" i="1"/>
  <c r="GS21" i="1"/>
  <c r="GY21" i="1"/>
  <c r="HB21" i="1"/>
  <c r="HH21" i="1"/>
  <c r="HK21" i="1"/>
  <c r="HN21" i="1"/>
  <c r="HQ21" i="1"/>
  <c r="HT21" i="1"/>
  <c r="HW21" i="1"/>
  <c r="HZ21" i="1"/>
  <c r="DJ22" i="1"/>
  <c r="DM22" i="1"/>
  <c r="DP22" i="1"/>
  <c r="DV22" i="1"/>
  <c r="DY22" i="1"/>
  <c r="EB22" i="1"/>
  <c r="EE22" i="1"/>
  <c r="EH22" i="1"/>
  <c r="EK22" i="1"/>
  <c r="EN22" i="1"/>
  <c r="EW22" i="1"/>
  <c r="EZ22" i="1"/>
  <c r="FC22" i="1"/>
  <c r="FF22" i="1"/>
  <c r="FI22" i="1"/>
  <c r="FL22" i="1"/>
  <c r="FR22" i="1"/>
  <c r="FU22" i="1"/>
  <c r="FX22" i="1"/>
  <c r="GA22" i="1"/>
  <c r="GD22" i="1"/>
  <c r="GG22" i="1"/>
  <c r="GJ22" i="1"/>
  <c r="GM22" i="1"/>
  <c r="GP22" i="1"/>
  <c r="GS22" i="1"/>
  <c r="GV22" i="1"/>
  <c r="GY22" i="1"/>
  <c r="HB22" i="1"/>
  <c r="HE22" i="1"/>
  <c r="HH22" i="1"/>
  <c r="HK22" i="1"/>
  <c r="HN22" i="1"/>
  <c r="HQ22" i="1"/>
  <c r="HT22" i="1"/>
  <c r="HW22" i="1"/>
  <c r="HZ22" i="1"/>
  <c r="DJ23" i="1"/>
  <c r="DM23" i="1"/>
  <c r="DP23" i="1"/>
  <c r="DV23" i="1"/>
  <c r="DY23" i="1"/>
  <c r="EB23" i="1"/>
  <c r="EE23" i="1"/>
  <c r="EH23" i="1"/>
  <c r="EK23" i="1"/>
  <c r="EN23" i="1"/>
  <c r="ET23" i="1"/>
  <c r="EW23" i="1"/>
  <c r="EZ23" i="1"/>
  <c r="FC23" i="1"/>
  <c r="FF23" i="1"/>
  <c r="FI23" i="1"/>
  <c r="FL23" i="1"/>
  <c r="FU23" i="1"/>
  <c r="FX23" i="1"/>
  <c r="GA23" i="1"/>
  <c r="GD23" i="1"/>
  <c r="GG23" i="1"/>
  <c r="GJ23" i="1"/>
  <c r="GM23" i="1"/>
  <c r="GP23" i="1"/>
  <c r="GS23" i="1"/>
  <c r="GV23" i="1"/>
  <c r="GY23" i="1"/>
  <c r="HB23" i="1"/>
  <c r="HE23" i="1"/>
  <c r="HH23" i="1"/>
  <c r="HK23" i="1"/>
  <c r="HN23" i="1"/>
  <c r="HQ23" i="1"/>
  <c r="HT23" i="1"/>
  <c r="HW23" i="1"/>
  <c r="HZ23" i="1"/>
  <c r="DJ24" i="1"/>
  <c r="DM24" i="1"/>
  <c r="DP24" i="1"/>
  <c r="DS24" i="1"/>
  <c r="DV24" i="1"/>
  <c r="DY24" i="1"/>
  <c r="EB24" i="1"/>
  <c r="EE24" i="1"/>
  <c r="EH24" i="1"/>
  <c r="EK24" i="1"/>
  <c r="EN24" i="1"/>
  <c r="EQ24" i="1"/>
  <c r="ET24" i="1"/>
  <c r="EZ24" i="1"/>
  <c r="FC24" i="1"/>
  <c r="FL24" i="1"/>
  <c r="FO24" i="1"/>
  <c r="FR24" i="1"/>
  <c r="FU24" i="1"/>
  <c r="FX24" i="1"/>
  <c r="GA24" i="1"/>
  <c r="GD24" i="1"/>
  <c r="GG24" i="1"/>
  <c r="GJ24" i="1"/>
  <c r="GM24" i="1"/>
  <c r="GP24" i="1"/>
  <c r="GS24" i="1"/>
  <c r="GV24" i="1"/>
  <c r="GY24" i="1"/>
  <c r="HB24" i="1"/>
  <c r="HE24" i="1"/>
  <c r="HH24" i="1"/>
  <c r="HK24" i="1"/>
  <c r="HN24" i="1"/>
  <c r="HQ24" i="1"/>
  <c r="HT24" i="1"/>
  <c r="HW24" i="1"/>
  <c r="HZ24" i="1"/>
  <c r="DJ25" i="1"/>
  <c r="DM25" i="1"/>
  <c r="DP25" i="1"/>
  <c r="DS25" i="1"/>
  <c r="DV25" i="1"/>
  <c r="DY25" i="1"/>
  <c r="EB25" i="1"/>
  <c r="EE25" i="1"/>
  <c r="EH25" i="1"/>
  <c r="EK25" i="1"/>
  <c r="EN25" i="1"/>
  <c r="EQ25" i="1"/>
  <c r="ET25" i="1"/>
  <c r="EZ25" i="1"/>
  <c r="FC25" i="1"/>
  <c r="FF25" i="1"/>
  <c r="FL25" i="1"/>
  <c r="FO25" i="1"/>
  <c r="FR25" i="1"/>
  <c r="FX25" i="1"/>
  <c r="GA25" i="1"/>
  <c r="GD25" i="1"/>
  <c r="GG25" i="1"/>
  <c r="GJ25" i="1"/>
  <c r="GM25" i="1"/>
  <c r="GP25" i="1"/>
  <c r="GV25" i="1"/>
  <c r="GY25" i="1"/>
  <c r="HB25" i="1"/>
  <c r="HH25" i="1"/>
  <c r="HK25" i="1"/>
  <c r="HN25" i="1"/>
  <c r="HQ25" i="1"/>
  <c r="HT25" i="1"/>
  <c r="HZ25" i="1"/>
  <c r="DJ26" i="1"/>
  <c r="DM26" i="1"/>
  <c r="DP26" i="1"/>
  <c r="DS26" i="1"/>
  <c r="DY26" i="1"/>
  <c r="EB26" i="1"/>
  <c r="EE26" i="1"/>
  <c r="EH26" i="1"/>
  <c r="EN26" i="1"/>
  <c r="EQ26" i="1"/>
  <c r="ET26" i="1"/>
  <c r="EW26" i="1"/>
  <c r="EZ26" i="1"/>
  <c r="FC26" i="1"/>
  <c r="FF26" i="1"/>
  <c r="FI26" i="1"/>
  <c r="FO26" i="1"/>
  <c r="FR26" i="1"/>
  <c r="FU26" i="1"/>
  <c r="FX26" i="1"/>
  <c r="GA26" i="1"/>
  <c r="GD26" i="1"/>
  <c r="GG26" i="1"/>
  <c r="GM26" i="1"/>
  <c r="GS26" i="1"/>
  <c r="GV26" i="1"/>
  <c r="GY26" i="1"/>
  <c r="HB26" i="1"/>
  <c r="HE26" i="1"/>
  <c r="HH26" i="1"/>
  <c r="HK26" i="1"/>
  <c r="HN26" i="1"/>
  <c r="HQ26" i="1"/>
  <c r="HT26" i="1"/>
  <c r="HW26" i="1"/>
  <c r="HZ26" i="1"/>
  <c r="DJ27" i="1"/>
  <c r="DM27" i="1"/>
  <c r="DP27" i="1"/>
  <c r="DS27" i="1"/>
  <c r="DV27" i="1"/>
  <c r="DY27" i="1"/>
  <c r="EB27" i="1"/>
  <c r="EH27" i="1"/>
  <c r="EK27" i="1"/>
  <c r="EN27" i="1"/>
  <c r="EQ27" i="1"/>
  <c r="ET27" i="1"/>
  <c r="EW27" i="1"/>
  <c r="FC27" i="1"/>
  <c r="FF27" i="1"/>
  <c r="FI27" i="1"/>
  <c r="FO27" i="1"/>
  <c r="FR27" i="1"/>
  <c r="FU27" i="1"/>
  <c r="FX27" i="1"/>
  <c r="GD27" i="1"/>
  <c r="GG27" i="1"/>
  <c r="GJ27" i="1"/>
  <c r="GM27" i="1"/>
  <c r="GP27" i="1"/>
  <c r="GS27" i="1"/>
  <c r="GV27" i="1"/>
  <c r="GY27" i="1"/>
  <c r="HB27" i="1"/>
  <c r="HE27" i="1"/>
  <c r="HH27" i="1"/>
  <c r="HK27" i="1"/>
  <c r="HN27" i="1"/>
  <c r="HQ27" i="1"/>
  <c r="HT27" i="1"/>
  <c r="HW27" i="1"/>
  <c r="HZ27" i="1"/>
  <c r="DJ28" i="1"/>
  <c r="DM28" i="1"/>
  <c r="DP28" i="1"/>
  <c r="DS28" i="1"/>
  <c r="EE28" i="1"/>
  <c r="EH28" i="1"/>
  <c r="EK28" i="1"/>
  <c r="EN28" i="1"/>
  <c r="EQ28" i="1"/>
  <c r="ET28" i="1"/>
  <c r="EW28" i="1"/>
  <c r="FC28" i="1"/>
  <c r="FF28" i="1"/>
  <c r="FI28" i="1"/>
  <c r="FL28" i="1"/>
  <c r="FO28" i="1"/>
  <c r="FR28" i="1"/>
  <c r="FU28" i="1"/>
  <c r="GA28" i="1"/>
  <c r="GD28" i="1"/>
  <c r="GG28" i="1"/>
  <c r="GM28" i="1"/>
  <c r="GP28" i="1"/>
  <c r="GS28" i="1"/>
  <c r="GV28" i="1"/>
  <c r="GY28" i="1"/>
  <c r="HB28" i="1"/>
  <c r="HE28" i="1"/>
  <c r="HH28" i="1"/>
  <c r="HK28" i="1"/>
  <c r="HN28" i="1"/>
  <c r="HT28" i="1"/>
  <c r="HW28" i="1"/>
  <c r="HZ28" i="1"/>
  <c r="DJ29" i="1"/>
  <c r="DM29" i="1"/>
  <c r="DP29" i="1"/>
  <c r="DS29" i="1"/>
  <c r="DV29" i="1"/>
  <c r="DY29" i="1"/>
  <c r="EB29" i="1"/>
  <c r="EH29" i="1"/>
  <c r="EK29" i="1"/>
  <c r="EN29" i="1"/>
  <c r="EQ29" i="1"/>
  <c r="ET29" i="1"/>
  <c r="EW29" i="1"/>
  <c r="EZ29" i="1"/>
  <c r="FC29" i="1"/>
  <c r="FF29" i="1"/>
  <c r="FI29" i="1"/>
  <c r="FO29" i="1"/>
  <c r="FR29" i="1"/>
  <c r="FU29" i="1"/>
  <c r="FX29" i="1"/>
  <c r="GA29" i="1"/>
  <c r="GD29" i="1"/>
  <c r="GG29" i="1"/>
  <c r="GM29" i="1"/>
  <c r="GP29" i="1"/>
  <c r="GS29" i="1"/>
  <c r="GV29" i="1"/>
  <c r="GY29" i="1"/>
  <c r="HB29" i="1"/>
  <c r="HE29" i="1"/>
  <c r="HH29" i="1"/>
  <c r="HK29" i="1"/>
  <c r="HQ29" i="1"/>
  <c r="HT29" i="1"/>
  <c r="HW29" i="1"/>
  <c r="HZ29" i="1"/>
  <c r="DJ30" i="1"/>
  <c r="DM30" i="1"/>
  <c r="DP30" i="1"/>
  <c r="DS30" i="1"/>
  <c r="EB30" i="1"/>
  <c r="EE30" i="1"/>
  <c r="EH30" i="1"/>
  <c r="EK30" i="1"/>
  <c r="EN30" i="1"/>
  <c r="EQ30" i="1"/>
  <c r="ET30" i="1"/>
  <c r="EW30" i="1"/>
  <c r="FC30" i="1"/>
  <c r="FF30" i="1"/>
  <c r="FI30" i="1"/>
  <c r="FL30" i="1"/>
  <c r="FO30" i="1"/>
  <c r="FR30" i="1"/>
  <c r="FU30" i="1"/>
  <c r="GA30" i="1"/>
  <c r="GD30" i="1"/>
  <c r="GG30" i="1"/>
  <c r="GJ30" i="1"/>
  <c r="GM30" i="1"/>
  <c r="GP30" i="1"/>
  <c r="GS30" i="1"/>
  <c r="GV30" i="1"/>
  <c r="GY30" i="1"/>
  <c r="HB30" i="1"/>
  <c r="HE30" i="1"/>
  <c r="HH30" i="1"/>
  <c r="HK30" i="1"/>
  <c r="HN30" i="1"/>
  <c r="HQ30" i="1"/>
  <c r="HT30" i="1"/>
  <c r="HW30" i="1"/>
  <c r="HZ30" i="1"/>
  <c r="DJ31" i="1"/>
  <c r="DM31" i="1"/>
  <c r="DP31" i="1"/>
  <c r="DS31" i="1"/>
  <c r="DY31" i="1"/>
  <c r="EB31" i="1"/>
  <c r="EE31" i="1"/>
  <c r="EH31" i="1"/>
  <c r="EN31" i="1"/>
  <c r="EQ31" i="1"/>
  <c r="ET31" i="1"/>
  <c r="EW31" i="1"/>
  <c r="FC31" i="1"/>
  <c r="FF31" i="1"/>
  <c r="FI31" i="1"/>
  <c r="FO31" i="1"/>
  <c r="FR31" i="1"/>
  <c r="FU31" i="1"/>
  <c r="FX31" i="1"/>
  <c r="GD31" i="1"/>
  <c r="GG31" i="1"/>
  <c r="GM31" i="1"/>
  <c r="GP31" i="1"/>
  <c r="GS31" i="1"/>
  <c r="GV31" i="1"/>
  <c r="GY31" i="1"/>
  <c r="HB31" i="1"/>
  <c r="HE31" i="1"/>
  <c r="HH31" i="1"/>
  <c r="HK31" i="1"/>
  <c r="HN31" i="1"/>
  <c r="HT31" i="1"/>
  <c r="HW31" i="1"/>
  <c r="HZ31" i="1"/>
  <c r="DJ32" i="1"/>
  <c r="DM32" i="1"/>
  <c r="DP32" i="1"/>
  <c r="DS32" i="1"/>
  <c r="DV32" i="1"/>
  <c r="DY32" i="1"/>
  <c r="EE32" i="1"/>
  <c r="EH32" i="1"/>
  <c r="EK32" i="1"/>
  <c r="EQ32" i="1"/>
  <c r="ET32" i="1"/>
  <c r="EW32" i="1"/>
  <c r="EZ32" i="1"/>
  <c r="FC32" i="1"/>
  <c r="FF32" i="1"/>
  <c r="FI32" i="1"/>
  <c r="FL32" i="1"/>
  <c r="FO32" i="1"/>
  <c r="FR32" i="1"/>
  <c r="FU32" i="1"/>
  <c r="FX32" i="1"/>
  <c r="GA32" i="1"/>
  <c r="GD32" i="1"/>
  <c r="GG32" i="1"/>
  <c r="GJ32" i="1"/>
  <c r="GM32" i="1"/>
  <c r="GP32" i="1"/>
  <c r="GV32" i="1"/>
  <c r="GY32" i="1"/>
  <c r="HB32" i="1"/>
  <c r="HE32" i="1"/>
  <c r="HH32" i="1"/>
  <c r="HK32" i="1"/>
  <c r="HN32" i="1"/>
  <c r="HQ32" i="1"/>
  <c r="HT32" i="1"/>
  <c r="HW32" i="1"/>
  <c r="HZ32" i="1"/>
  <c r="DJ33" i="1"/>
  <c r="DP33" i="1"/>
  <c r="DS33" i="1"/>
  <c r="DV33" i="1"/>
  <c r="DY33" i="1"/>
  <c r="EB33" i="1"/>
  <c r="EE33" i="1"/>
  <c r="EK33" i="1"/>
  <c r="EN33" i="1"/>
  <c r="EQ33" i="1"/>
  <c r="ET33" i="1"/>
  <c r="EW33" i="1"/>
  <c r="EZ33" i="1"/>
  <c r="FC33" i="1"/>
  <c r="FF33" i="1"/>
  <c r="FI33" i="1"/>
  <c r="FL33" i="1"/>
  <c r="FO33" i="1"/>
  <c r="FR33" i="1"/>
  <c r="FU33" i="1"/>
  <c r="FX33" i="1"/>
  <c r="GA33" i="1"/>
  <c r="GD33" i="1"/>
  <c r="GG33" i="1"/>
  <c r="GJ33" i="1"/>
  <c r="GM33" i="1"/>
  <c r="GS33" i="1"/>
  <c r="GV33" i="1"/>
  <c r="GY33" i="1"/>
  <c r="HB33" i="1"/>
  <c r="HE33" i="1"/>
  <c r="HH33" i="1"/>
  <c r="HK33" i="1"/>
  <c r="HN33" i="1"/>
  <c r="HQ33" i="1"/>
  <c r="HT33" i="1"/>
  <c r="HW33" i="1"/>
  <c r="HZ33" i="1"/>
  <c r="DJ34" i="1"/>
  <c r="DM34" i="1"/>
  <c r="DP34" i="1"/>
  <c r="DS34" i="1"/>
  <c r="DV34" i="1"/>
  <c r="EB34" i="1"/>
  <c r="EE34" i="1"/>
  <c r="EH34" i="1"/>
  <c r="EK34" i="1"/>
  <c r="EQ34" i="1"/>
  <c r="ET34" i="1"/>
  <c r="EZ34" i="1"/>
  <c r="FC34" i="1"/>
  <c r="FF34" i="1"/>
  <c r="FI34" i="1"/>
  <c r="FL34" i="1"/>
  <c r="FO34" i="1"/>
  <c r="FR34" i="1"/>
  <c r="FU34" i="1"/>
  <c r="FX34" i="1"/>
  <c r="GA34" i="1"/>
  <c r="GD34" i="1"/>
  <c r="GG34" i="1"/>
  <c r="GJ34" i="1"/>
  <c r="GM34" i="1"/>
  <c r="GP34" i="1"/>
  <c r="GS34" i="1"/>
  <c r="GV34" i="1"/>
  <c r="GY34" i="1"/>
  <c r="HB34" i="1"/>
  <c r="HE34" i="1"/>
  <c r="HK34" i="1"/>
  <c r="HN34" i="1"/>
  <c r="HQ34" i="1"/>
  <c r="HT34" i="1"/>
  <c r="HW34" i="1"/>
  <c r="HZ34" i="1"/>
  <c r="DJ35" i="1"/>
  <c r="DP35" i="1"/>
  <c r="DS35" i="1"/>
  <c r="DV35" i="1"/>
  <c r="DY35" i="1"/>
  <c r="EB35" i="1"/>
  <c r="EE35" i="1"/>
  <c r="EK35" i="1"/>
  <c r="EN35" i="1"/>
  <c r="EQ35" i="1"/>
  <c r="ET35" i="1"/>
  <c r="EZ35" i="1"/>
  <c r="FC35" i="1"/>
  <c r="FF35" i="1"/>
  <c r="FI35" i="1"/>
  <c r="FL35" i="1"/>
  <c r="FO35" i="1"/>
  <c r="FR35" i="1"/>
  <c r="FU35" i="1"/>
  <c r="FX35" i="1"/>
  <c r="GA35" i="1"/>
  <c r="GD35" i="1"/>
  <c r="GG35" i="1"/>
  <c r="GJ35" i="1"/>
  <c r="GM35" i="1"/>
  <c r="GP35" i="1"/>
  <c r="GS35" i="1"/>
  <c r="GV35" i="1"/>
  <c r="GY35" i="1"/>
  <c r="HB35" i="1"/>
  <c r="HE35" i="1"/>
  <c r="HH35" i="1"/>
  <c r="HK35" i="1"/>
  <c r="HQ35" i="1"/>
  <c r="HT35" i="1"/>
  <c r="HW35" i="1"/>
  <c r="HZ35" i="1"/>
  <c r="DJ36" i="1"/>
  <c r="DM36" i="1"/>
  <c r="DP36" i="1"/>
  <c r="DS36" i="1"/>
  <c r="DV36" i="1"/>
  <c r="DY36" i="1"/>
  <c r="EB36" i="1"/>
  <c r="EH36" i="1"/>
  <c r="EK36" i="1"/>
  <c r="EN36" i="1"/>
  <c r="EQ36" i="1"/>
  <c r="ET36" i="1"/>
  <c r="EW36" i="1"/>
  <c r="EZ36" i="1"/>
  <c r="FC36" i="1"/>
  <c r="FI36" i="1"/>
  <c r="FL36" i="1"/>
  <c r="FO36" i="1"/>
  <c r="FR36" i="1"/>
  <c r="FU36" i="1"/>
  <c r="FX36" i="1"/>
  <c r="GA36" i="1"/>
  <c r="GD36" i="1"/>
  <c r="GJ36" i="1"/>
  <c r="GM36" i="1"/>
  <c r="GP36" i="1"/>
  <c r="GS36" i="1"/>
  <c r="GV36" i="1"/>
  <c r="GY36" i="1"/>
  <c r="HB36" i="1"/>
  <c r="HE36" i="1"/>
  <c r="HH36" i="1"/>
  <c r="HK36" i="1"/>
  <c r="HN36" i="1"/>
  <c r="HT36" i="1"/>
  <c r="HW36" i="1"/>
  <c r="HZ36" i="1"/>
  <c r="DJ37" i="1"/>
  <c r="DM37" i="1"/>
  <c r="DP37" i="1"/>
  <c r="DS37" i="1"/>
  <c r="DV37" i="1"/>
  <c r="DY37" i="1"/>
  <c r="EE37" i="1"/>
  <c r="EH37" i="1"/>
  <c r="EK37" i="1"/>
  <c r="EQ37" i="1"/>
  <c r="ET37" i="1"/>
  <c r="EW37" i="1"/>
  <c r="EZ37" i="1"/>
  <c r="FC37" i="1"/>
  <c r="FI37" i="1"/>
  <c r="FL37" i="1"/>
  <c r="FO37" i="1"/>
  <c r="FR37" i="1"/>
  <c r="FU37" i="1"/>
  <c r="GA37" i="1"/>
  <c r="GD37" i="1"/>
  <c r="GJ37" i="1"/>
  <c r="GM37" i="1"/>
  <c r="GP37" i="1"/>
  <c r="GS37" i="1"/>
  <c r="GV37" i="1"/>
  <c r="GY37" i="1"/>
  <c r="HB37" i="1"/>
  <c r="HE37" i="1"/>
  <c r="HH37" i="1"/>
  <c r="HK37" i="1"/>
  <c r="HN37" i="1"/>
  <c r="HQ37" i="1"/>
  <c r="HT37" i="1"/>
  <c r="HW37" i="1"/>
  <c r="HZ37" i="1"/>
  <c r="DJ38" i="1"/>
  <c r="DM38" i="1"/>
  <c r="DP38" i="1"/>
  <c r="DS38" i="1"/>
  <c r="DV38" i="1"/>
  <c r="EB38" i="1"/>
  <c r="EE38" i="1"/>
  <c r="EH38" i="1"/>
  <c r="EK38" i="1"/>
  <c r="EQ38" i="1"/>
  <c r="ET38" i="1"/>
  <c r="EW38" i="1"/>
  <c r="EZ38" i="1"/>
  <c r="FC38" i="1"/>
  <c r="FF38" i="1"/>
  <c r="FI38" i="1"/>
  <c r="FL38" i="1"/>
  <c r="FO38" i="1"/>
  <c r="FR38" i="1"/>
  <c r="FU38" i="1"/>
  <c r="GD38" i="1"/>
  <c r="GG38" i="1"/>
  <c r="GJ38" i="1"/>
  <c r="GM38" i="1"/>
  <c r="GP38" i="1"/>
  <c r="GS38" i="1"/>
  <c r="GV38" i="1"/>
  <c r="GY38" i="1"/>
  <c r="HB38" i="1"/>
  <c r="HE38" i="1"/>
  <c r="HK38" i="1"/>
  <c r="HN38" i="1"/>
  <c r="HQ38" i="1"/>
  <c r="HT38" i="1"/>
  <c r="HW38" i="1"/>
  <c r="HZ38" i="1"/>
  <c r="DJ39" i="1"/>
  <c r="DP39" i="1"/>
  <c r="DS39" i="1"/>
  <c r="DV39" i="1"/>
  <c r="DY39" i="1"/>
  <c r="EB39" i="1"/>
  <c r="EH39" i="1"/>
  <c r="EK39" i="1"/>
  <c r="EN39" i="1"/>
  <c r="ET39" i="1"/>
  <c r="EZ39" i="1"/>
  <c r="FC39" i="1"/>
  <c r="FF39" i="1"/>
  <c r="FI39" i="1"/>
  <c r="FL39" i="1"/>
  <c r="FO39" i="1"/>
  <c r="FR39" i="1"/>
  <c r="FU39" i="1"/>
  <c r="GA39" i="1"/>
  <c r="GD39" i="1"/>
  <c r="GG39" i="1"/>
  <c r="GJ39" i="1"/>
  <c r="GM39" i="1"/>
  <c r="GP39" i="1"/>
  <c r="GS39" i="1"/>
  <c r="GV39" i="1"/>
  <c r="GY39" i="1"/>
  <c r="HB39" i="1"/>
  <c r="HE39" i="1"/>
  <c r="HH39" i="1"/>
  <c r="HK39" i="1"/>
  <c r="HN39" i="1"/>
  <c r="HQ39" i="1"/>
  <c r="HT39" i="1"/>
  <c r="HW39" i="1"/>
  <c r="HZ39" i="1"/>
  <c r="DJ40" i="1"/>
  <c r="DP40" i="1"/>
  <c r="DS40" i="1"/>
  <c r="DV40" i="1"/>
  <c r="DY40" i="1"/>
  <c r="EB40" i="1"/>
  <c r="EE40" i="1"/>
  <c r="EH40" i="1"/>
  <c r="EK40" i="1"/>
  <c r="ET40" i="1"/>
  <c r="EW40" i="1"/>
  <c r="EZ40" i="1"/>
  <c r="FC40" i="1"/>
  <c r="FF40" i="1"/>
  <c r="FI40" i="1"/>
  <c r="FL40" i="1"/>
  <c r="FO40" i="1"/>
  <c r="FR40" i="1"/>
  <c r="FU40" i="1"/>
  <c r="GA40" i="1"/>
  <c r="GD40" i="1"/>
  <c r="GG40" i="1"/>
  <c r="GJ40" i="1"/>
  <c r="GM40" i="1"/>
  <c r="GP40" i="1"/>
  <c r="GS40" i="1"/>
  <c r="GV40" i="1"/>
  <c r="GY40" i="1"/>
  <c r="HB40" i="1"/>
  <c r="HE40" i="1"/>
  <c r="HH40" i="1"/>
  <c r="HK40" i="1"/>
  <c r="HN40" i="1"/>
  <c r="HT40" i="1"/>
  <c r="HW40" i="1"/>
  <c r="HZ40" i="1"/>
  <c r="DJ41" i="1"/>
  <c r="DP41" i="1"/>
  <c r="DS41" i="1"/>
  <c r="DV41" i="1"/>
  <c r="DY41" i="1"/>
  <c r="EE41" i="1"/>
  <c r="EH41" i="1"/>
  <c r="EK41" i="1"/>
  <c r="EN41" i="1"/>
  <c r="ET41" i="1"/>
  <c r="EW41" i="1"/>
  <c r="EZ41" i="1"/>
  <c r="FC41" i="1"/>
  <c r="FF41" i="1"/>
  <c r="FI41" i="1"/>
  <c r="FL41" i="1"/>
  <c r="FO41" i="1"/>
  <c r="FR41" i="1"/>
  <c r="FU41" i="1"/>
  <c r="GA41" i="1"/>
  <c r="GD41" i="1"/>
  <c r="GG41" i="1"/>
  <c r="GJ41" i="1"/>
  <c r="GM41" i="1"/>
  <c r="GP41" i="1"/>
  <c r="GS41" i="1"/>
  <c r="GV41" i="1"/>
  <c r="GY41" i="1"/>
  <c r="HB41" i="1"/>
  <c r="HE41" i="1"/>
  <c r="HH41" i="1"/>
  <c r="HK41" i="1"/>
  <c r="HQ41" i="1"/>
  <c r="HT41" i="1"/>
  <c r="HW41" i="1"/>
  <c r="HZ41" i="1"/>
  <c r="DJ42" i="1"/>
  <c r="DP42" i="1"/>
  <c r="DS42" i="1"/>
  <c r="DV42" i="1"/>
  <c r="DY42" i="1"/>
  <c r="EB42" i="1"/>
  <c r="EN42" i="1"/>
  <c r="ET42" i="1"/>
  <c r="EW42" i="1"/>
  <c r="EZ42" i="1"/>
  <c r="FC42" i="1"/>
  <c r="FF42" i="1"/>
  <c r="FI42" i="1"/>
  <c r="FL42" i="1"/>
  <c r="FO42" i="1"/>
  <c r="FR42" i="1"/>
  <c r="FU42" i="1"/>
  <c r="FX42" i="1"/>
  <c r="GA42" i="1"/>
  <c r="GD42" i="1"/>
  <c r="GG42" i="1"/>
  <c r="GJ42" i="1"/>
  <c r="GM42" i="1"/>
  <c r="GP42" i="1"/>
  <c r="GS42" i="1"/>
  <c r="GV42" i="1"/>
  <c r="GY42" i="1"/>
  <c r="HB42" i="1"/>
  <c r="HE42" i="1"/>
  <c r="HK42" i="1"/>
  <c r="HN42" i="1"/>
  <c r="HQ42" i="1"/>
  <c r="HT42" i="1"/>
  <c r="HW42" i="1"/>
  <c r="HZ42" i="1"/>
  <c r="DJ43" i="1"/>
  <c r="DP43" i="1"/>
  <c r="DS43" i="1"/>
  <c r="DV43" i="1"/>
  <c r="DY43" i="1"/>
  <c r="EB43" i="1"/>
  <c r="EE43" i="1"/>
  <c r="EH43" i="1"/>
  <c r="EK43" i="1"/>
  <c r="EN43" i="1"/>
  <c r="EQ43" i="1"/>
  <c r="ET43" i="1"/>
  <c r="EW43" i="1"/>
  <c r="EZ43" i="1"/>
  <c r="FF43" i="1"/>
  <c r="FI43" i="1"/>
  <c r="FL43" i="1"/>
  <c r="FO43" i="1"/>
  <c r="FR43" i="1"/>
  <c r="FU43" i="1"/>
  <c r="FX43" i="1"/>
  <c r="GD43" i="1"/>
  <c r="GJ43" i="1"/>
  <c r="GM43" i="1"/>
  <c r="GP43" i="1"/>
  <c r="GS43" i="1"/>
  <c r="GV43" i="1"/>
  <c r="GY43" i="1"/>
  <c r="HB43" i="1"/>
  <c r="HE43" i="1"/>
  <c r="HH43" i="1"/>
  <c r="HK43" i="1"/>
  <c r="HN43" i="1"/>
  <c r="HQ43" i="1"/>
  <c r="HT43" i="1"/>
  <c r="HW43" i="1"/>
  <c r="HZ43" i="1"/>
  <c r="DJ44" i="1"/>
  <c r="DM44" i="1"/>
  <c r="DP44" i="1"/>
  <c r="DS44" i="1"/>
  <c r="DV44" i="1"/>
  <c r="EB44" i="1"/>
  <c r="EE44" i="1"/>
  <c r="EH44" i="1"/>
  <c r="EK44" i="1"/>
  <c r="EQ44" i="1"/>
  <c r="ET44" i="1"/>
  <c r="EW44" i="1"/>
  <c r="EZ44" i="1"/>
  <c r="FF44" i="1"/>
  <c r="FI44" i="1"/>
  <c r="FL44" i="1"/>
  <c r="FR44" i="1"/>
  <c r="FU44" i="1"/>
  <c r="FX44" i="1"/>
  <c r="GA44" i="1"/>
  <c r="GD44" i="1"/>
  <c r="GJ44" i="1"/>
  <c r="GM44" i="1"/>
  <c r="GP44" i="1"/>
  <c r="GS44" i="1"/>
  <c r="GV44" i="1"/>
  <c r="GY44" i="1"/>
  <c r="HB44" i="1"/>
  <c r="HE44" i="1"/>
  <c r="HH44" i="1"/>
  <c r="HK44" i="1"/>
  <c r="HQ44" i="1"/>
  <c r="HT44" i="1"/>
  <c r="HW44" i="1"/>
  <c r="HZ44" i="1"/>
  <c r="DJ45" i="1"/>
  <c r="DM45" i="1"/>
  <c r="DP45" i="1"/>
  <c r="DS45" i="1"/>
  <c r="DV45" i="1"/>
  <c r="DY45" i="1"/>
  <c r="EB45" i="1"/>
  <c r="EE45" i="1"/>
  <c r="EH45" i="1"/>
  <c r="EK45" i="1"/>
  <c r="EN45" i="1"/>
  <c r="EQ45" i="1"/>
  <c r="ET45" i="1"/>
  <c r="EW45" i="1"/>
  <c r="EZ45" i="1"/>
  <c r="FC45" i="1"/>
  <c r="FF45" i="1"/>
  <c r="FI45" i="1"/>
  <c r="FL45" i="1"/>
  <c r="FO45" i="1"/>
  <c r="FR45" i="1"/>
  <c r="FU45" i="1"/>
  <c r="FX45" i="1"/>
  <c r="GA45" i="1"/>
  <c r="GD45" i="1"/>
  <c r="GG45" i="1"/>
  <c r="GJ45" i="1"/>
  <c r="GM45" i="1"/>
  <c r="GS45" i="1"/>
  <c r="GV45" i="1"/>
  <c r="GY45" i="1"/>
  <c r="HB45" i="1"/>
  <c r="HE45" i="1"/>
  <c r="HH45" i="1"/>
  <c r="HK45" i="1"/>
  <c r="HN45" i="1"/>
  <c r="HQ45" i="1"/>
  <c r="HT45" i="1"/>
  <c r="HW45" i="1"/>
  <c r="HZ45" i="1"/>
  <c r="DJ46" i="1"/>
  <c r="DM46" i="1"/>
  <c r="DP46" i="1"/>
  <c r="DS46" i="1"/>
  <c r="DV46" i="1"/>
  <c r="DY46" i="1"/>
  <c r="EB46" i="1"/>
  <c r="EE46" i="1"/>
  <c r="EH46" i="1"/>
  <c r="EQ46" i="1"/>
  <c r="ET46" i="1"/>
  <c r="EW46" i="1"/>
  <c r="EZ46" i="1"/>
  <c r="FF46" i="1"/>
  <c r="FI46" i="1"/>
  <c r="FL46" i="1"/>
  <c r="FO46" i="1"/>
  <c r="FR46" i="1"/>
  <c r="FU46" i="1"/>
  <c r="FX46" i="1"/>
  <c r="GA46" i="1"/>
  <c r="GD46" i="1"/>
  <c r="GG46" i="1"/>
  <c r="GJ46" i="1"/>
  <c r="GM46" i="1"/>
  <c r="GP46" i="1"/>
  <c r="GV46" i="1"/>
  <c r="GY46" i="1"/>
  <c r="HB46" i="1"/>
  <c r="HE46" i="1"/>
  <c r="HH46" i="1"/>
  <c r="HK46" i="1"/>
  <c r="HN46" i="1"/>
  <c r="HQ46" i="1"/>
  <c r="HT46" i="1"/>
  <c r="HW46" i="1"/>
  <c r="HZ46" i="1"/>
  <c r="DJ47" i="1"/>
  <c r="DM47" i="1"/>
  <c r="DP47" i="1"/>
  <c r="DS47" i="1"/>
  <c r="DV47" i="1"/>
  <c r="DY47" i="1"/>
  <c r="EB47" i="1"/>
  <c r="EE47" i="1"/>
  <c r="EH47" i="1"/>
  <c r="EK47" i="1"/>
  <c r="EN47" i="1"/>
  <c r="EQ47" i="1"/>
  <c r="ET47" i="1"/>
  <c r="EZ47" i="1"/>
  <c r="FC47" i="1"/>
  <c r="FI47" i="1"/>
  <c r="FL47" i="1"/>
  <c r="FO47" i="1"/>
  <c r="FR47" i="1"/>
  <c r="FX47" i="1"/>
  <c r="GA47" i="1"/>
  <c r="GD47" i="1"/>
  <c r="GG47" i="1"/>
  <c r="GJ47" i="1"/>
  <c r="GM47" i="1"/>
  <c r="GP47" i="1"/>
  <c r="GS47" i="1"/>
  <c r="GV47" i="1"/>
  <c r="GY47" i="1"/>
  <c r="HB47" i="1"/>
  <c r="HE47" i="1"/>
  <c r="HK47" i="1"/>
  <c r="HN47" i="1"/>
  <c r="HQ47" i="1"/>
  <c r="HT47" i="1"/>
  <c r="HW47" i="1"/>
  <c r="HZ47" i="1"/>
  <c r="DJ48" i="1"/>
  <c r="DM48" i="1"/>
  <c r="DP48" i="1"/>
  <c r="DS48" i="1"/>
  <c r="DV48" i="1"/>
  <c r="DY48" i="1"/>
  <c r="EB48" i="1"/>
  <c r="EE48" i="1"/>
  <c r="EH48" i="1"/>
  <c r="EK48" i="1"/>
  <c r="EQ48" i="1"/>
  <c r="ET48" i="1"/>
  <c r="EW48" i="1"/>
  <c r="EZ48" i="1"/>
  <c r="FC48" i="1"/>
  <c r="FI48" i="1"/>
  <c r="FL48" i="1"/>
  <c r="FO48" i="1"/>
  <c r="FR48" i="1"/>
  <c r="FU48" i="1"/>
  <c r="FX48" i="1"/>
  <c r="GA48" i="1"/>
  <c r="GD48" i="1"/>
  <c r="GG48" i="1"/>
  <c r="GJ48" i="1"/>
  <c r="GM48" i="1"/>
  <c r="GP48" i="1"/>
  <c r="GV48" i="1"/>
  <c r="GY48" i="1"/>
  <c r="HB48" i="1"/>
  <c r="HE48" i="1"/>
  <c r="HH48" i="1"/>
  <c r="HK48" i="1"/>
  <c r="HN48" i="1"/>
  <c r="HQ48" i="1"/>
  <c r="HT48" i="1"/>
  <c r="HW48" i="1"/>
  <c r="HZ48" i="1"/>
  <c r="DJ49" i="1"/>
  <c r="DM49" i="1"/>
  <c r="DP49" i="1"/>
  <c r="DS49" i="1"/>
  <c r="DV49" i="1"/>
  <c r="DY49" i="1"/>
  <c r="EB49" i="1"/>
  <c r="EE49" i="1"/>
  <c r="EH49" i="1"/>
  <c r="EK49" i="1"/>
  <c r="EN49" i="1"/>
  <c r="EQ49" i="1"/>
  <c r="ET49" i="1"/>
  <c r="EW49" i="1"/>
  <c r="EZ49" i="1"/>
  <c r="FF49" i="1"/>
  <c r="FI49" i="1"/>
  <c r="FL49" i="1"/>
  <c r="FO49" i="1"/>
  <c r="FR49" i="1"/>
  <c r="FU49" i="1"/>
  <c r="FX49" i="1"/>
  <c r="GA49" i="1"/>
  <c r="GD49" i="1"/>
  <c r="GG49" i="1"/>
  <c r="GJ49" i="1"/>
  <c r="GM49" i="1"/>
  <c r="GS49" i="1"/>
  <c r="GV49" i="1"/>
  <c r="GY49" i="1"/>
  <c r="HB49" i="1"/>
  <c r="HE49" i="1"/>
  <c r="HH49" i="1"/>
  <c r="HK49" i="1"/>
  <c r="HQ49" i="1"/>
  <c r="HT49" i="1"/>
  <c r="HW49" i="1"/>
  <c r="HZ49" i="1"/>
  <c r="DJ50" i="1"/>
  <c r="DM50" i="1"/>
  <c r="DP50" i="1"/>
  <c r="DS50" i="1"/>
  <c r="DV50" i="1"/>
  <c r="DY50" i="1"/>
  <c r="EB50" i="1"/>
  <c r="EE50" i="1"/>
  <c r="EH50" i="1"/>
  <c r="EK50" i="1"/>
  <c r="EN50" i="1"/>
  <c r="EQ50" i="1"/>
  <c r="ET50" i="1"/>
  <c r="EW50" i="1"/>
  <c r="EZ50" i="1"/>
  <c r="FC50" i="1"/>
  <c r="FF50" i="1"/>
  <c r="FI50" i="1"/>
  <c r="FL50" i="1"/>
  <c r="FO50" i="1"/>
  <c r="FR50" i="1"/>
  <c r="FU50" i="1"/>
  <c r="GA50" i="1"/>
  <c r="GD50" i="1"/>
  <c r="GG50" i="1"/>
  <c r="GJ50" i="1"/>
  <c r="GM50" i="1"/>
  <c r="GP50" i="1"/>
  <c r="GS50" i="1"/>
  <c r="GV50" i="1"/>
  <c r="GY50" i="1"/>
  <c r="HB50" i="1"/>
  <c r="HE50" i="1"/>
  <c r="HK50" i="1"/>
  <c r="HN50" i="1"/>
  <c r="HQ50" i="1"/>
  <c r="HT50" i="1"/>
  <c r="HW50" i="1"/>
  <c r="HZ50" i="1"/>
  <c r="DJ51" i="1"/>
  <c r="DM51" i="1"/>
  <c r="DP51" i="1"/>
  <c r="DS51" i="1"/>
  <c r="DV51" i="1"/>
  <c r="DY51" i="1"/>
  <c r="EB51" i="1"/>
  <c r="EE51" i="1"/>
  <c r="EH51" i="1"/>
  <c r="EK51" i="1"/>
  <c r="EQ51" i="1"/>
  <c r="ET51" i="1"/>
  <c r="EW51" i="1"/>
  <c r="EZ51" i="1"/>
  <c r="FC51" i="1"/>
  <c r="FF51" i="1"/>
  <c r="FI51" i="1"/>
  <c r="FL51" i="1"/>
  <c r="FO51" i="1"/>
  <c r="FR51" i="1"/>
  <c r="FU51" i="1"/>
  <c r="FX51" i="1"/>
  <c r="GA51" i="1"/>
  <c r="GD51" i="1"/>
  <c r="GG51" i="1"/>
  <c r="GJ51" i="1"/>
  <c r="GM51" i="1"/>
  <c r="GP51" i="1"/>
  <c r="GV51" i="1"/>
  <c r="GY51" i="1"/>
  <c r="HB51" i="1"/>
  <c r="HE51" i="1"/>
  <c r="HH51" i="1"/>
  <c r="HK51" i="1"/>
  <c r="HN51" i="1"/>
  <c r="HT51" i="1"/>
  <c r="HW51" i="1"/>
  <c r="HZ51" i="1"/>
  <c r="DJ52" i="1"/>
  <c r="DM52" i="1"/>
  <c r="DP52" i="1"/>
  <c r="DS52" i="1"/>
  <c r="DV52" i="1"/>
  <c r="EB52" i="1"/>
  <c r="EE52" i="1"/>
  <c r="EH52" i="1"/>
  <c r="EK52" i="1"/>
  <c r="EN52" i="1"/>
  <c r="EQ52" i="1"/>
  <c r="ET52" i="1"/>
  <c r="EW52" i="1"/>
  <c r="EZ52" i="1"/>
  <c r="FC52" i="1"/>
  <c r="FF52" i="1"/>
  <c r="FI52" i="1"/>
  <c r="FL52" i="1"/>
  <c r="FR52" i="1"/>
  <c r="FU52" i="1"/>
  <c r="FX52" i="1"/>
  <c r="GA52" i="1"/>
  <c r="GD52" i="1"/>
  <c r="GG52" i="1"/>
  <c r="GJ52" i="1"/>
  <c r="GM52" i="1"/>
  <c r="GP52" i="1"/>
  <c r="GS52" i="1"/>
  <c r="GV52" i="1"/>
  <c r="GY52" i="1"/>
  <c r="HB52" i="1"/>
  <c r="HE52" i="1"/>
  <c r="HH52" i="1"/>
  <c r="HK52" i="1"/>
  <c r="HN52" i="1"/>
  <c r="HQ52" i="1"/>
  <c r="HT52" i="1"/>
  <c r="HW52" i="1"/>
  <c r="HZ52" i="1"/>
  <c r="DJ53" i="1"/>
  <c r="DM53" i="1"/>
  <c r="DP53" i="1"/>
  <c r="DS53" i="1"/>
  <c r="DV53" i="1"/>
  <c r="DY53" i="1"/>
  <c r="EB53" i="1"/>
  <c r="EE53" i="1"/>
  <c r="EH53" i="1"/>
  <c r="EN53" i="1"/>
  <c r="EQ53" i="1"/>
  <c r="ET53" i="1"/>
  <c r="EW53" i="1"/>
  <c r="EZ53" i="1"/>
  <c r="FC53" i="1"/>
  <c r="FF53" i="1"/>
  <c r="FI53" i="1"/>
  <c r="FL53" i="1"/>
  <c r="FO53" i="1"/>
  <c r="FR53" i="1"/>
  <c r="FX53" i="1"/>
  <c r="GD53" i="1"/>
  <c r="GJ53" i="1"/>
  <c r="GM53" i="1"/>
  <c r="GP53" i="1"/>
  <c r="GS53" i="1"/>
  <c r="GV53" i="1"/>
  <c r="GY53" i="1"/>
  <c r="HB53" i="1"/>
  <c r="HE53" i="1"/>
  <c r="HH53" i="1"/>
  <c r="HK53" i="1"/>
  <c r="HN53" i="1"/>
  <c r="HQ53" i="1"/>
  <c r="HT53" i="1"/>
  <c r="HW53" i="1"/>
  <c r="HZ53" i="1"/>
  <c r="DJ54" i="1"/>
  <c r="DM54" i="1"/>
  <c r="DP54" i="1"/>
  <c r="DS54" i="1"/>
  <c r="DV54" i="1"/>
  <c r="DY54" i="1"/>
  <c r="EE54" i="1"/>
  <c r="EH54" i="1"/>
  <c r="EK54" i="1"/>
  <c r="EN54" i="1"/>
  <c r="EQ54" i="1"/>
  <c r="ET54" i="1"/>
  <c r="EW54" i="1"/>
  <c r="EZ54" i="1"/>
  <c r="FC54" i="1"/>
  <c r="FF54" i="1"/>
  <c r="FI54" i="1"/>
  <c r="FL54" i="1"/>
  <c r="FO54" i="1"/>
  <c r="FR54" i="1"/>
  <c r="FU54" i="1"/>
  <c r="FX54" i="1"/>
  <c r="GA54" i="1"/>
  <c r="GD54" i="1"/>
  <c r="GG54" i="1"/>
  <c r="GJ54" i="1"/>
  <c r="GM54" i="1"/>
  <c r="GP54" i="1"/>
  <c r="GS54" i="1"/>
  <c r="GV54" i="1"/>
  <c r="GY54" i="1"/>
  <c r="HB54" i="1"/>
  <c r="HE54" i="1"/>
  <c r="HH54" i="1"/>
  <c r="HK54" i="1"/>
  <c r="HN54" i="1"/>
  <c r="HQ54" i="1"/>
  <c r="HT54" i="1"/>
  <c r="HW54" i="1"/>
  <c r="HZ54" i="1"/>
  <c r="DJ55" i="1"/>
  <c r="DP55" i="1"/>
  <c r="DS55" i="1"/>
  <c r="DV55" i="1"/>
  <c r="DY55" i="1"/>
  <c r="EB55" i="1"/>
  <c r="EE55" i="1"/>
  <c r="EH55" i="1"/>
  <c r="EK55" i="1"/>
  <c r="EQ55" i="1"/>
  <c r="ET55" i="1"/>
  <c r="EW55" i="1"/>
  <c r="EZ55" i="1"/>
  <c r="FC55" i="1"/>
  <c r="FF55" i="1"/>
  <c r="FI55" i="1"/>
  <c r="FL55" i="1"/>
  <c r="FO55" i="1"/>
  <c r="FR55" i="1"/>
  <c r="FX55" i="1"/>
  <c r="GA55" i="1"/>
  <c r="GD55" i="1"/>
  <c r="GG55" i="1"/>
  <c r="GJ55" i="1"/>
  <c r="GM55" i="1"/>
  <c r="GP55" i="1"/>
  <c r="GS55" i="1"/>
  <c r="GV55" i="1"/>
  <c r="GY55" i="1"/>
  <c r="HB55" i="1"/>
  <c r="HE55" i="1"/>
  <c r="HH55" i="1"/>
  <c r="HK55" i="1"/>
  <c r="HN55" i="1"/>
  <c r="HQ55" i="1"/>
  <c r="HT55" i="1"/>
  <c r="HW55" i="1"/>
  <c r="HZ55" i="1"/>
  <c r="DJ56" i="1"/>
  <c r="DM56" i="1"/>
  <c r="DP56" i="1"/>
  <c r="DS56" i="1"/>
  <c r="DV56" i="1"/>
  <c r="DY56" i="1"/>
  <c r="EB56" i="1"/>
  <c r="EE56" i="1"/>
  <c r="EH56" i="1"/>
  <c r="EK56" i="1"/>
  <c r="EN56" i="1"/>
  <c r="ET56" i="1"/>
  <c r="EW56" i="1"/>
  <c r="EZ56" i="1"/>
  <c r="FC56" i="1"/>
  <c r="FF56" i="1"/>
  <c r="FI56" i="1"/>
  <c r="FL56" i="1"/>
  <c r="FO56" i="1"/>
  <c r="FR56" i="1"/>
  <c r="FX56" i="1"/>
  <c r="GA56" i="1"/>
  <c r="GD56" i="1"/>
  <c r="GG56" i="1"/>
  <c r="GJ56" i="1"/>
  <c r="GM56" i="1"/>
  <c r="GP56" i="1"/>
  <c r="GS56" i="1"/>
  <c r="GV56" i="1"/>
  <c r="GY56" i="1"/>
  <c r="HB56" i="1"/>
  <c r="HE56" i="1"/>
  <c r="HH56" i="1"/>
  <c r="HK56" i="1"/>
  <c r="HN56" i="1"/>
  <c r="HQ56" i="1"/>
  <c r="HT56" i="1"/>
  <c r="HW56" i="1"/>
  <c r="HZ56" i="1"/>
  <c r="DJ57" i="1"/>
  <c r="DM57" i="1"/>
  <c r="DP57" i="1"/>
  <c r="DS57" i="1"/>
  <c r="DV57" i="1"/>
  <c r="DY57" i="1"/>
  <c r="EB57" i="1"/>
  <c r="EE57" i="1"/>
  <c r="EH57" i="1"/>
  <c r="EK57" i="1"/>
  <c r="EN57" i="1"/>
  <c r="EQ57" i="1"/>
  <c r="ET57" i="1"/>
  <c r="EZ57" i="1"/>
  <c r="FC57" i="1"/>
  <c r="FF57" i="1"/>
  <c r="FI57" i="1"/>
  <c r="FL57" i="1"/>
  <c r="FO57" i="1"/>
  <c r="FR57" i="1"/>
  <c r="FU57" i="1"/>
  <c r="FX57" i="1"/>
  <c r="GA57" i="1"/>
  <c r="GD57" i="1"/>
  <c r="GG57" i="1"/>
  <c r="GJ57" i="1"/>
  <c r="GM57" i="1"/>
  <c r="GP57" i="1"/>
  <c r="GV57" i="1"/>
  <c r="GY57" i="1"/>
  <c r="HB57" i="1"/>
  <c r="HE57" i="1"/>
  <c r="HH57" i="1"/>
  <c r="HK57" i="1"/>
  <c r="HN57" i="1"/>
  <c r="HQ57" i="1"/>
  <c r="HT57" i="1"/>
  <c r="HW57" i="1"/>
  <c r="HZ57" i="1"/>
  <c r="DJ58" i="1"/>
  <c r="DM58" i="1"/>
  <c r="DP58" i="1"/>
  <c r="DS58" i="1"/>
  <c r="DV58" i="1"/>
  <c r="DY58" i="1"/>
  <c r="EB58" i="1"/>
  <c r="EE58" i="1"/>
  <c r="EH58" i="1"/>
  <c r="EK58" i="1"/>
  <c r="EN58" i="1"/>
  <c r="EQ58" i="1"/>
  <c r="ET58" i="1"/>
  <c r="EW58" i="1"/>
  <c r="EZ58" i="1"/>
  <c r="FC58" i="1"/>
  <c r="FF58" i="1"/>
  <c r="FI58" i="1"/>
  <c r="FL58" i="1"/>
  <c r="FO58" i="1"/>
  <c r="FR58" i="1"/>
  <c r="FU58" i="1"/>
  <c r="FX58" i="1"/>
  <c r="GA58" i="1"/>
  <c r="GD58" i="1"/>
  <c r="GG58" i="1"/>
  <c r="GJ58" i="1"/>
  <c r="GM58" i="1"/>
  <c r="GP58" i="1"/>
  <c r="GS58" i="1"/>
  <c r="GV58" i="1"/>
  <c r="GY58" i="1"/>
  <c r="HB58" i="1"/>
  <c r="HE58" i="1"/>
  <c r="HH58" i="1"/>
  <c r="HK58" i="1"/>
  <c r="HN58" i="1"/>
  <c r="HQ58" i="1"/>
  <c r="HT58" i="1"/>
  <c r="HW58" i="1"/>
  <c r="HZ58" i="1"/>
  <c r="DJ59" i="1"/>
  <c r="DM59" i="1"/>
  <c r="DP59" i="1"/>
  <c r="DS59" i="1"/>
  <c r="DV59" i="1"/>
  <c r="DY59" i="1"/>
  <c r="EB59" i="1"/>
  <c r="EE59" i="1"/>
  <c r="EH59" i="1"/>
  <c r="EK59" i="1"/>
  <c r="EN59" i="1"/>
  <c r="EQ59" i="1"/>
  <c r="ET59" i="1"/>
  <c r="EW59" i="1"/>
  <c r="EZ59" i="1"/>
  <c r="FC59" i="1"/>
  <c r="FF59" i="1"/>
  <c r="FI59" i="1"/>
  <c r="FL59" i="1"/>
  <c r="FR59" i="1"/>
  <c r="FU59" i="1"/>
  <c r="FX59" i="1"/>
  <c r="GA59" i="1"/>
  <c r="GD59" i="1"/>
  <c r="GG59" i="1"/>
  <c r="GJ59" i="1"/>
  <c r="GM59" i="1"/>
  <c r="GS59" i="1"/>
  <c r="GV59" i="1"/>
  <c r="GY59" i="1"/>
  <c r="HB59" i="1"/>
  <c r="HE59" i="1"/>
  <c r="HH59" i="1"/>
  <c r="HK59" i="1"/>
  <c r="HN59" i="1"/>
  <c r="HQ59" i="1"/>
  <c r="HT59" i="1"/>
  <c r="HW59" i="1"/>
  <c r="HZ59" i="1"/>
  <c r="DJ60" i="1"/>
  <c r="DM60" i="1"/>
  <c r="DP60" i="1"/>
  <c r="DS60" i="1"/>
  <c r="DV60" i="1"/>
  <c r="DY60" i="1"/>
  <c r="EB60" i="1"/>
  <c r="EE60" i="1"/>
  <c r="EH60" i="1"/>
  <c r="EK60" i="1"/>
  <c r="EN60" i="1"/>
  <c r="EQ60" i="1"/>
  <c r="ET60" i="1"/>
  <c r="EW60" i="1"/>
  <c r="EZ60" i="1"/>
  <c r="FC60" i="1"/>
  <c r="FF60" i="1"/>
  <c r="FI60" i="1"/>
  <c r="FL60" i="1"/>
  <c r="FO60" i="1"/>
  <c r="FR60" i="1"/>
  <c r="FU60" i="1"/>
  <c r="FX60" i="1"/>
  <c r="GA60" i="1"/>
  <c r="GD60" i="1"/>
  <c r="GG60" i="1"/>
  <c r="GJ60" i="1"/>
  <c r="GM60" i="1"/>
  <c r="GP60" i="1"/>
  <c r="GV60" i="1"/>
  <c r="GY60" i="1"/>
  <c r="HB60" i="1"/>
  <c r="HE60" i="1"/>
  <c r="HH60" i="1"/>
  <c r="HK60" i="1"/>
  <c r="HN60" i="1"/>
  <c r="HQ60" i="1"/>
  <c r="HT60" i="1"/>
  <c r="HW60" i="1"/>
  <c r="HZ60" i="1"/>
  <c r="DJ61" i="1"/>
  <c r="DM61" i="1"/>
  <c r="DP61" i="1"/>
  <c r="DS61" i="1"/>
  <c r="DV61" i="1"/>
  <c r="DY61" i="1"/>
  <c r="EB61" i="1"/>
  <c r="EE61" i="1"/>
  <c r="EH61" i="1"/>
  <c r="EK61" i="1"/>
  <c r="EN61" i="1"/>
  <c r="EQ61" i="1"/>
  <c r="ET61" i="1"/>
  <c r="EW61" i="1"/>
  <c r="EZ61" i="1"/>
  <c r="FC61" i="1"/>
  <c r="FI61" i="1"/>
  <c r="FL61" i="1"/>
  <c r="FO61" i="1"/>
  <c r="FR61" i="1"/>
  <c r="FU61" i="1"/>
  <c r="FX61" i="1"/>
  <c r="GA61" i="1"/>
  <c r="GD61" i="1"/>
  <c r="GG61" i="1"/>
  <c r="GJ61" i="1"/>
  <c r="GM61" i="1"/>
  <c r="GP61" i="1"/>
  <c r="GS61" i="1"/>
  <c r="GV61" i="1"/>
  <c r="GY61" i="1"/>
  <c r="HB61" i="1"/>
  <c r="HH61" i="1"/>
  <c r="HK61" i="1"/>
  <c r="HN61" i="1"/>
  <c r="HQ61" i="1"/>
  <c r="HT61" i="1"/>
  <c r="HZ61" i="1"/>
  <c r="DJ62" i="1"/>
  <c r="DM62" i="1"/>
  <c r="DP62" i="1"/>
  <c r="DS62" i="1"/>
  <c r="DV62" i="1"/>
  <c r="DY62" i="1"/>
  <c r="EB62" i="1"/>
  <c r="EE62" i="1"/>
  <c r="EH62" i="1"/>
  <c r="EK62" i="1"/>
  <c r="EN62" i="1"/>
  <c r="EQ62" i="1"/>
  <c r="ET62" i="1"/>
  <c r="EW62" i="1"/>
  <c r="EZ62" i="1"/>
  <c r="FC62" i="1"/>
  <c r="FF62" i="1"/>
  <c r="FI62" i="1"/>
  <c r="FL62" i="1"/>
  <c r="FR62" i="1"/>
  <c r="FU62" i="1"/>
  <c r="FX62" i="1"/>
  <c r="GA62" i="1"/>
  <c r="GD62" i="1"/>
  <c r="GG62" i="1"/>
  <c r="GJ62" i="1"/>
  <c r="GM62" i="1"/>
  <c r="GP62" i="1"/>
  <c r="GS62" i="1"/>
  <c r="GV62" i="1"/>
  <c r="HB62" i="1"/>
  <c r="HE62" i="1"/>
  <c r="HH62" i="1"/>
  <c r="HK62" i="1"/>
  <c r="HN62" i="1"/>
  <c r="HQ62" i="1"/>
  <c r="HT62" i="1"/>
  <c r="HZ62" i="1"/>
  <c r="DJ63" i="1"/>
  <c r="DM63" i="1"/>
  <c r="DP63" i="1"/>
  <c r="DS63" i="1"/>
  <c r="DV63" i="1"/>
  <c r="DY63" i="1"/>
  <c r="EB63" i="1"/>
  <c r="EE63" i="1"/>
  <c r="EH63" i="1"/>
  <c r="EK63" i="1"/>
  <c r="EN63" i="1"/>
  <c r="EQ63" i="1"/>
  <c r="ET63" i="1"/>
  <c r="EW63" i="1"/>
  <c r="EZ63" i="1"/>
  <c r="FC63" i="1"/>
  <c r="FF63" i="1"/>
  <c r="FI63" i="1"/>
  <c r="FL63" i="1"/>
  <c r="FR63" i="1"/>
  <c r="FU63" i="1"/>
  <c r="FX63" i="1"/>
  <c r="GA63" i="1"/>
  <c r="GD63" i="1"/>
  <c r="GG63" i="1"/>
  <c r="GJ63" i="1"/>
  <c r="GM63" i="1"/>
  <c r="GP63" i="1"/>
  <c r="GS63" i="1"/>
  <c r="GV63" i="1"/>
  <c r="HB63" i="1"/>
  <c r="HE63" i="1"/>
  <c r="HH63" i="1"/>
  <c r="HK63" i="1"/>
  <c r="HN63" i="1"/>
  <c r="HQ63" i="1"/>
  <c r="HT63" i="1"/>
  <c r="HZ63" i="1"/>
  <c r="DJ64" i="1"/>
  <c r="DM64" i="1"/>
  <c r="DP64" i="1"/>
  <c r="DS64" i="1"/>
  <c r="DV64" i="1"/>
  <c r="DY64" i="1"/>
  <c r="EB64" i="1"/>
  <c r="EE64" i="1"/>
  <c r="EH64" i="1"/>
  <c r="EK64" i="1"/>
  <c r="EN64" i="1"/>
  <c r="EQ64" i="1"/>
  <c r="ET64" i="1"/>
  <c r="EW64" i="1"/>
  <c r="EZ64" i="1"/>
  <c r="FC64" i="1"/>
  <c r="FF64" i="1"/>
  <c r="FI64" i="1"/>
  <c r="FL64" i="1"/>
  <c r="FR64" i="1"/>
  <c r="FU64" i="1"/>
  <c r="FX64" i="1"/>
  <c r="GA64" i="1"/>
  <c r="GD64" i="1"/>
  <c r="GG64" i="1"/>
  <c r="GJ64" i="1"/>
  <c r="GM64" i="1"/>
  <c r="GP64" i="1"/>
  <c r="GS64" i="1"/>
  <c r="GV64" i="1"/>
  <c r="HB64" i="1"/>
  <c r="HE64" i="1"/>
  <c r="HH64" i="1"/>
  <c r="HK64" i="1"/>
  <c r="HN64" i="1"/>
  <c r="HQ64" i="1"/>
  <c r="HT64" i="1"/>
  <c r="HZ64" i="1"/>
  <c r="DJ65" i="1"/>
  <c r="DM65" i="1"/>
  <c r="DP65" i="1"/>
  <c r="DS65" i="1"/>
  <c r="DV65" i="1"/>
  <c r="DY65" i="1"/>
  <c r="EB65" i="1"/>
  <c r="EE65" i="1"/>
  <c r="EH65" i="1"/>
  <c r="EK65" i="1"/>
  <c r="EN65" i="1"/>
  <c r="EQ65" i="1"/>
  <c r="ET65" i="1"/>
  <c r="EW65" i="1"/>
  <c r="EZ65" i="1"/>
  <c r="FC65" i="1"/>
  <c r="FF65" i="1"/>
  <c r="FI65" i="1"/>
  <c r="FL65" i="1"/>
  <c r="FR65" i="1"/>
  <c r="FU65" i="1"/>
  <c r="FX65" i="1"/>
  <c r="GA65" i="1"/>
  <c r="GD65" i="1"/>
  <c r="GG65" i="1"/>
  <c r="GJ65" i="1"/>
  <c r="GM65" i="1"/>
  <c r="GP65" i="1"/>
  <c r="GV65" i="1"/>
  <c r="HB65" i="1"/>
  <c r="HE65" i="1"/>
  <c r="HH65" i="1"/>
  <c r="HK65" i="1"/>
  <c r="HN65" i="1"/>
  <c r="HQ65" i="1"/>
  <c r="HT65" i="1"/>
  <c r="HZ65" i="1"/>
  <c r="DJ66" i="1"/>
  <c r="DM66" i="1"/>
  <c r="DS66" i="1"/>
  <c r="DV66" i="1"/>
  <c r="DY66" i="1"/>
  <c r="EB66" i="1"/>
  <c r="EE66" i="1"/>
  <c r="EH66" i="1"/>
  <c r="EK66" i="1"/>
  <c r="EN66" i="1"/>
  <c r="EQ66" i="1"/>
  <c r="ET66" i="1"/>
  <c r="EW66" i="1"/>
  <c r="EZ66" i="1"/>
  <c r="FC66" i="1"/>
  <c r="FF66" i="1"/>
  <c r="FI66" i="1"/>
  <c r="FL66" i="1"/>
  <c r="FO66" i="1"/>
  <c r="FR66" i="1"/>
  <c r="FU66" i="1"/>
  <c r="FX66" i="1"/>
  <c r="GA66" i="1"/>
  <c r="GD66" i="1"/>
  <c r="GG66" i="1"/>
  <c r="GJ66" i="1"/>
  <c r="GM66" i="1"/>
  <c r="GP66" i="1"/>
  <c r="GS66" i="1"/>
  <c r="GV66" i="1"/>
  <c r="GY66" i="1"/>
  <c r="HB66" i="1"/>
  <c r="HE66" i="1"/>
  <c r="HH66" i="1"/>
  <c r="HK66" i="1"/>
  <c r="HN66" i="1"/>
  <c r="HQ66" i="1"/>
  <c r="HW66" i="1"/>
  <c r="HZ66" i="1"/>
  <c r="DJ67" i="1"/>
  <c r="DM67" i="1"/>
  <c r="DS67" i="1"/>
  <c r="DV67" i="1"/>
  <c r="DY67" i="1"/>
  <c r="EB67" i="1"/>
  <c r="EE67" i="1"/>
  <c r="EH67" i="1"/>
  <c r="EK67" i="1"/>
  <c r="EN67" i="1"/>
  <c r="EQ67" i="1"/>
  <c r="ET67" i="1"/>
  <c r="EW67" i="1"/>
  <c r="EZ67" i="1"/>
  <c r="FC67" i="1"/>
  <c r="FF67" i="1"/>
  <c r="FI67" i="1"/>
  <c r="FL67" i="1"/>
  <c r="FO67" i="1"/>
  <c r="FR67" i="1"/>
  <c r="FU67" i="1"/>
  <c r="FX67" i="1"/>
  <c r="GA67" i="1"/>
  <c r="GD67" i="1"/>
  <c r="GJ67" i="1"/>
  <c r="GM67" i="1"/>
  <c r="GP67" i="1"/>
  <c r="GS67" i="1"/>
  <c r="GV67" i="1"/>
  <c r="GY67" i="1"/>
  <c r="HB67" i="1"/>
  <c r="HE67" i="1"/>
  <c r="HH67" i="1"/>
  <c r="HK67" i="1"/>
  <c r="HN67" i="1"/>
  <c r="HQ67" i="1"/>
  <c r="HW67" i="1"/>
  <c r="HZ67" i="1"/>
  <c r="DJ68" i="1"/>
  <c r="DM68" i="1"/>
  <c r="DS68" i="1"/>
  <c r="DV68" i="1"/>
  <c r="DY68" i="1"/>
  <c r="EB68" i="1"/>
  <c r="EE68" i="1"/>
  <c r="EH68" i="1"/>
  <c r="EK68" i="1"/>
  <c r="EN68" i="1"/>
  <c r="EQ68" i="1"/>
  <c r="ET68" i="1"/>
  <c r="EW68" i="1"/>
  <c r="EZ68" i="1"/>
  <c r="FC68" i="1"/>
  <c r="FF68" i="1"/>
  <c r="FI68" i="1"/>
  <c r="FL68" i="1"/>
  <c r="FO68" i="1"/>
  <c r="FR68" i="1"/>
  <c r="FU68" i="1"/>
  <c r="FX68" i="1"/>
  <c r="GA68" i="1"/>
  <c r="GD68" i="1"/>
  <c r="GG68" i="1"/>
  <c r="GJ68" i="1"/>
  <c r="GM68" i="1"/>
  <c r="GP68" i="1"/>
  <c r="GS68" i="1"/>
  <c r="GV68" i="1"/>
  <c r="GY68" i="1"/>
  <c r="HB68" i="1"/>
  <c r="HE68" i="1"/>
  <c r="HH68" i="1"/>
  <c r="HK68" i="1"/>
  <c r="HN68" i="1"/>
  <c r="HQ68" i="1"/>
  <c r="HW68" i="1"/>
  <c r="HZ68" i="1"/>
  <c r="DJ69" i="1"/>
  <c r="DM69" i="1"/>
  <c r="DP69" i="1"/>
  <c r="DV69" i="1"/>
  <c r="DY69" i="1"/>
  <c r="EB69" i="1"/>
  <c r="EE69" i="1"/>
  <c r="EK69" i="1"/>
  <c r="EN69" i="1"/>
  <c r="EQ69" i="1"/>
  <c r="ET69" i="1"/>
  <c r="EW69" i="1"/>
  <c r="EZ69" i="1"/>
  <c r="FC69" i="1"/>
  <c r="FF69" i="1"/>
  <c r="FI69" i="1"/>
  <c r="FL69" i="1"/>
  <c r="FO69" i="1"/>
  <c r="FR69" i="1"/>
  <c r="FU69" i="1"/>
  <c r="FX69" i="1"/>
  <c r="GA69" i="1"/>
  <c r="GD69" i="1"/>
  <c r="GG69" i="1"/>
  <c r="GM69" i="1"/>
  <c r="GP69" i="1"/>
  <c r="GS69" i="1"/>
  <c r="GV69" i="1"/>
  <c r="GY69" i="1"/>
  <c r="HB69" i="1"/>
  <c r="HE69" i="1"/>
  <c r="HH69" i="1"/>
  <c r="HN69" i="1"/>
  <c r="HQ69" i="1"/>
  <c r="HT69" i="1"/>
  <c r="HW69" i="1"/>
  <c r="HZ69" i="1"/>
  <c r="DM70" i="1"/>
  <c r="DP70" i="1"/>
  <c r="DS70" i="1"/>
  <c r="DY70" i="1"/>
  <c r="EB70" i="1"/>
  <c r="EE70" i="1"/>
  <c r="EH70" i="1"/>
  <c r="EK70" i="1"/>
  <c r="EN70" i="1"/>
  <c r="EQ70" i="1"/>
  <c r="ET70" i="1"/>
  <c r="EW70" i="1"/>
  <c r="EZ70" i="1"/>
  <c r="FC70" i="1"/>
  <c r="FF70" i="1"/>
  <c r="FI70" i="1"/>
  <c r="FL70" i="1"/>
  <c r="FO70" i="1"/>
  <c r="FU70" i="1"/>
  <c r="FX70" i="1"/>
  <c r="GA70" i="1"/>
  <c r="GD70" i="1"/>
  <c r="GG70" i="1"/>
  <c r="GJ70" i="1"/>
  <c r="GM70" i="1"/>
  <c r="GP70" i="1"/>
  <c r="GS70" i="1"/>
  <c r="GV70" i="1"/>
  <c r="HB70" i="1"/>
  <c r="HE70" i="1"/>
  <c r="HH70" i="1"/>
  <c r="HK70" i="1"/>
  <c r="HN70" i="1"/>
  <c r="HQ70" i="1"/>
  <c r="HT70" i="1"/>
  <c r="HW70" i="1"/>
  <c r="HZ70" i="1"/>
  <c r="DJ71" i="1"/>
  <c r="DM71" i="1"/>
  <c r="DP71" i="1"/>
  <c r="DV71" i="1"/>
  <c r="DY71" i="1"/>
  <c r="EB71" i="1"/>
  <c r="EE71" i="1"/>
  <c r="EK71" i="1"/>
  <c r="EN71" i="1"/>
  <c r="EQ71" i="1"/>
  <c r="ET71" i="1"/>
  <c r="EW71" i="1"/>
  <c r="EZ71" i="1"/>
  <c r="FC71" i="1"/>
  <c r="FF71" i="1"/>
  <c r="FI71" i="1"/>
  <c r="FL71" i="1"/>
  <c r="FO71" i="1"/>
  <c r="FR71" i="1"/>
  <c r="FU71" i="1"/>
  <c r="FX71" i="1"/>
  <c r="GA71" i="1"/>
  <c r="GD71" i="1"/>
  <c r="GG71" i="1"/>
  <c r="GM71" i="1"/>
  <c r="GP71" i="1"/>
  <c r="GS71" i="1"/>
  <c r="GV71" i="1"/>
  <c r="GY71" i="1"/>
  <c r="HB71" i="1"/>
  <c r="HE71" i="1"/>
  <c r="HH71" i="1"/>
  <c r="HK71" i="1"/>
  <c r="HN71" i="1"/>
  <c r="HQ71" i="1"/>
  <c r="HT71" i="1"/>
  <c r="HW71" i="1"/>
  <c r="HZ71" i="1"/>
  <c r="DM72" i="1"/>
  <c r="DP72" i="1"/>
  <c r="DS72" i="1"/>
  <c r="DY72" i="1"/>
  <c r="EB72" i="1"/>
  <c r="EE72" i="1"/>
  <c r="EH72" i="1"/>
  <c r="EK72" i="1"/>
  <c r="EN72" i="1"/>
  <c r="EQ72" i="1"/>
  <c r="ET72" i="1"/>
  <c r="EW72" i="1"/>
  <c r="EZ72" i="1"/>
  <c r="FC72" i="1"/>
  <c r="FF72" i="1"/>
  <c r="FI72" i="1"/>
  <c r="FL72" i="1"/>
  <c r="FO72" i="1"/>
  <c r="FU72" i="1"/>
  <c r="FX72" i="1"/>
  <c r="GA72" i="1"/>
  <c r="GD72" i="1"/>
  <c r="GG72" i="1"/>
  <c r="GJ72" i="1"/>
  <c r="GM72" i="1"/>
  <c r="GP72" i="1"/>
  <c r="GS72" i="1"/>
  <c r="GV72" i="1"/>
  <c r="GY72" i="1"/>
  <c r="HB72" i="1"/>
  <c r="HE72" i="1"/>
  <c r="HH72" i="1"/>
  <c r="HN72" i="1"/>
  <c r="HQ72" i="1"/>
  <c r="HT72" i="1"/>
  <c r="HW72" i="1"/>
  <c r="HZ72" i="1"/>
  <c r="DJ73" i="1"/>
  <c r="DM73" i="1"/>
  <c r="DP73" i="1"/>
  <c r="DS73" i="1"/>
  <c r="DV73" i="1"/>
  <c r="DY73" i="1"/>
  <c r="EB73" i="1"/>
  <c r="EE73" i="1"/>
  <c r="EK73" i="1"/>
  <c r="EN73" i="1"/>
  <c r="EQ73" i="1"/>
  <c r="ET73" i="1"/>
  <c r="EW73" i="1"/>
  <c r="EZ73" i="1"/>
  <c r="FC73" i="1"/>
  <c r="FF73" i="1"/>
  <c r="FI73" i="1"/>
  <c r="FL73" i="1"/>
  <c r="FO73" i="1"/>
  <c r="FR73" i="1"/>
  <c r="FU73" i="1"/>
  <c r="FX73" i="1"/>
  <c r="GA73" i="1"/>
  <c r="GD73" i="1"/>
  <c r="GG73" i="1"/>
  <c r="GM73" i="1"/>
  <c r="GP73" i="1"/>
  <c r="GS73" i="1"/>
  <c r="GV73" i="1"/>
  <c r="GY73" i="1"/>
  <c r="HB73" i="1"/>
  <c r="HE73" i="1"/>
  <c r="HH73" i="1"/>
  <c r="HN73" i="1"/>
  <c r="HQ73" i="1"/>
  <c r="HT73" i="1"/>
  <c r="HW73" i="1"/>
  <c r="HZ73" i="1"/>
  <c r="DM74" i="1"/>
  <c r="DP74" i="1"/>
  <c r="DS74" i="1"/>
  <c r="DY74" i="1"/>
  <c r="EB74" i="1"/>
  <c r="EE74" i="1"/>
  <c r="EH74" i="1"/>
  <c r="EK74" i="1"/>
  <c r="EN74" i="1"/>
  <c r="EQ74" i="1"/>
  <c r="ET74" i="1"/>
  <c r="EW74" i="1"/>
  <c r="EZ74" i="1"/>
  <c r="FC74" i="1"/>
  <c r="FF74" i="1"/>
  <c r="FI74" i="1"/>
  <c r="FL74" i="1"/>
  <c r="FO74" i="1"/>
  <c r="FR74" i="1"/>
  <c r="FU74" i="1"/>
  <c r="FX74" i="1"/>
  <c r="GA74" i="1"/>
  <c r="GD74" i="1"/>
  <c r="GG74" i="1"/>
  <c r="GM74" i="1"/>
  <c r="GP74" i="1"/>
  <c r="GS74" i="1"/>
  <c r="GV74" i="1"/>
  <c r="GY74" i="1"/>
  <c r="HB74" i="1"/>
  <c r="HE74" i="1"/>
  <c r="HH74" i="1"/>
  <c r="HK74" i="1"/>
  <c r="HN74" i="1"/>
  <c r="HQ74" i="1"/>
  <c r="HT74" i="1"/>
  <c r="HW74" i="1"/>
  <c r="HZ74" i="1"/>
  <c r="DJ75" i="1"/>
  <c r="DM75" i="1"/>
  <c r="DP75" i="1"/>
  <c r="DV75" i="1"/>
  <c r="EB75" i="1"/>
  <c r="EE75" i="1"/>
  <c r="EH75" i="1"/>
  <c r="EK75" i="1"/>
  <c r="EN75" i="1"/>
  <c r="EQ75" i="1"/>
  <c r="ET75" i="1"/>
  <c r="EW75" i="1"/>
  <c r="EZ75" i="1"/>
  <c r="FC75" i="1"/>
  <c r="FF75" i="1"/>
  <c r="FI75" i="1"/>
  <c r="FL75" i="1"/>
  <c r="FO75" i="1"/>
  <c r="FU75" i="1"/>
  <c r="FX75" i="1"/>
  <c r="GA75" i="1"/>
  <c r="GD75" i="1"/>
  <c r="GG75" i="1"/>
  <c r="GJ75" i="1"/>
  <c r="GM75" i="1"/>
  <c r="GP75" i="1"/>
  <c r="GS75" i="1"/>
  <c r="GV75" i="1"/>
  <c r="GY75" i="1"/>
  <c r="HB75" i="1"/>
  <c r="HE75" i="1"/>
  <c r="HH75" i="1"/>
  <c r="HK75" i="1"/>
  <c r="HN75" i="1"/>
  <c r="HQ75" i="1"/>
  <c r="HT75" i="1"/>
  <c r="HW75" i="1"/>
  <c r="HZ75" i="1"/>
  <c r="DJ76" i="1"/>
  <c r="DM76" i="1"/>
  <c r="DP76" i="1"/>
  <c r="DS76" i="1"/>
  <c r="DV76" i="1"/>
  <c r="DY76" i="1"/>
  <c r="EB76" i="1"/>
  <c r="EE76" i="1"/>
  <c r="EH76" i="1"/>
  <c r="EK76" i="1"/>
  <c r="EN76" i="1"/>
  <c r="EQ76" i="1"/>
  <c r="ET76" i="1"/>
  <c r="EW76" i="1"/>
  <c r="EZ76" i="1"/>
  <c r="FC76" i="1"/>
  <c r="FF76" i="1"/>
  <c r="FI76" i="1"/>
  <c r="FL76" i="1"/>
  <c r="FO76" i="1"/>
  <c r="FR76" i="1"/>
  <c r="FU76" i="1"/>
  <c r="FX76" i="1"/>
  <c r="GA76" i="1"/>
  <c r="GD76" i="1"/>
  <c r="GG76" i="1"/>
  <c r="GJ76" i="1"/>
  <c r="GM76" i="1"/>
  <c r="GP76" i="1"/>
  <c r="GS76" i="1"/>
  <c r="GV76" i="1"/>
  <c r="GY76" i="1"/>
  <c r="HB76" i="1"/>
  <c r="HE76" i="1"/>
  <c r="HH76" i="1"/>
  <c r="HK76" i="1"/>
  <c r="HN76" i="1"/>
  <c r="HQ76" i="1"/>
  <c r="HT76" i="1"/>
  <c r="HW76" i="1"/>
  <c r="HZ76" i="1"/>
  <c r="DM77" i="1"/>
  <c r="DP77" i="1"/>
  <c r="DV77" i="1"/>
  <c r="DY77" i="1"/>
  <c r="EB77" i="1"/>
  <c r="EE77" i="1"/>
  <c r="EH77" i="1"/>
  <c r="EK77" i="1"/>
  <c r="EN77" i="1"/>
  <c r="EQ77" i="1"/>
  <c r="ET77" i="1"/>
  <c r="EW77" i="1"/>
  <c r="EZ77" i="1"/>
  <c r="FC77" i="1"/>
  <c r="FF77" i="1"/>
  <c r="FI77" i="1"/>
  <c r="FL77" i="1"/>
  <c r="FO77" i="1"/>
  <c r="FU77" i="1"/>
  <c r="FX77" i="1"/>
  <c r="GA77" i="1"/>
  <c r="GD77" i="1"/>
  <c r="GG77" i="1"/>
  <c r="GM77" i="1"/>
  <c r="GP77" i="1"/>
  <c r="GS77" i="1"/>
  <c r="GV77" i="1"/>
  <c r="GY77" i="1"/>
  <c r="HB77" i="1"/>
  <c r="HE77" i="1"/>
  <c r="HH77" i="1"/>
  <c r="HK77" i="1"/>
  <c r="HN77" i="1"/>
  <c r="HQ77" i="1"/>
  <c r="HT77" i="1"/>
  <c r="HW77" i="1"/>
  <c r="HZ77" i="1"/>
  <c r="DJ78" i="1"/>
  <c r="DM78" i="1"/>
  <c r="DP78" i="1"/>
  <c r="DS78" i="1"/>
  <c r="DY78" i="1"/>
  <c r="EB78" i="1"/>
  <c r="EE78" i="1"/>
  <c r="EK78" i="1"/>
  <c r="EN78" i="1"/>
  <c r="EQ78" i="1"/>
  <c r="ET78" i="1"/>
  <c r="EW78" i="1"/>
  <c r="EZ78" i="1"/>
  <c r="FC78" i="1"/>
  <c r="FF78" i="1"/>
  <c r="FI78" i="1"/>
  <c r="FL78" i="1"/>
  <c r="FO78" i="1"/>
  <c r="FR78" i="1"/>
  <c r="FU78" i="1"/>
  <c r="FX78" i="1"/>
  <c r="GA78" i="1"/>
  <c r="GD78" i="1"/>
  <c r="GG78" i="1"/>
  <c r="GJ78" i="1"/>
  <c r="GM78" i="1"/>
  <c r="GP78" i="1"/>
  <c r="GS78" i="1"/>
  <c r="GV78" i="1"/>
  <c r="GY78" i="1"/>
  <c r="HB78" i="1"/>
  <c r="HE78" i="1"/>
  <c r="HH78" i="1"/>
  <c r="HK78" i="1"/>
  <c r="HN78" i="1"/>
  <c r="HQ78" i="1"/>
  <c r="HT78" i="1"/>
  <c r="HW78" i="1"/>
  <c r="HZ78" i="1"/>
  <c r="DJ79" i="1"/>
  <c r="DM79" i="1"/>
  <c r="DP79" i="1"/>
  <c r="DS79" i="1"/>
  <c r="DV79" i="1"/>
  <c r="DY79" i="1"/>
  <c r="EB79" i="1"/>
  <c r="EE79" i="1"/>
  <c r="EH79" i="1"/>
  <c r="EK79" i="1"/>
  <c r="EN79" i="1"/>
  <c r="EQ79" i="1"/>
  <c r="ET79" i="1"/>
  <c r="EW79" i="1"/>
  <c r="EZ79" i="1"/>
  <c r="FC79" i="1"/>
  <c r="FF79" i="1"/>
  <c r="FI79" i="1"/>
  <c r="FL79" i="1"/>
  <c r="FO79" i="1"/>
  <c r="FR79" i="1"/>
  <c r="FU79" i="1"/>
  <c r="FX79" i="1"/>
  <c r="GA79" i="1"/>
  <c r="GD79" i="1"/>
  <c r="GG79" i="1"/>
  <c r="GJ79" i="1"/>
  <c r="GM79" i="1"/>
  <c r="GP79" i="1"/>
  <c r="GS79" i="1"/>
  <c r="GV79" i="1"/>
  <c r="GY79" i="1"/>
  <c r="HB79" i="1"/>
  <c r="HE79" i="1"/>
  <c r="HH79" i="1"/>
  <c r="HK79" i="1"/>
  <c r="HN79" i="1"/>
  <c r="HQ79" i="1"/>
  <c r="HT79" i="1"/>
  <c r="HW79" i="1"/>
  <c r="HZ79" i="1"/>
  <c r="DJ80" i="1"/>
  <c r="DM80" i="1"/>
  <c r="DP80" i="1"/>
  <c r="DV80" i="1"/>
  <c r="DY80" i="1"/>
  <c r="EB80" i="1"/>
  <c r="EE80" i="1"/>
  <c r="EK80" i="1"/>
  <c r="EN80" i="1"/>
  <c r="EQ80" i="1"/>
  <c r="ET80" i="1"/>
  <c r="EW80" i="1"/>
  <c r="EZ80" i="1"/>
  <c r="FC80" i="1"/>
  <c r="FF80" i="1"/>
  <c r="FI80" i="1"/>
  <c r="FL80" i="1"/>
  <c r="FO80" i="1"/>
  <c r="FR80" i="1"/>
  <c r="FU80" i="1"/>
  <c r="FX80" i="1"/>
  <c r="GA80" i="1"/>
  <c r="GD80" i="1"/>
  <c r="GG80" i="1"/>
  <c r="GJ80" i="1"/>
  <c r="GM80" i="1"/>
  <c r="GP80" i="1"/>
  <c r="GS80" i="1"/>
  <c r="GV80" i="1"/>
  <c r="GY80" i="1"/>
  <c r="HB80" i="1"/>
  <c r="HE80" i="1"/>
  <c r="HH80" i="1"/>
  <c r="HK80" i="1"/>
  <c r="HN80" i="1"/>
  <c r="HQ80" i="1"/>
  <c r="HT80" i="1"/>
  <c r="HW80" i="1"/>
  <c r="HZ80" i="1"/>
  <c r="DJ81" i="1"/>
  <c r="DM81" i="1"/>
  <c r="DP81" i="1"/>
  <c r="DS81" i="1"/>
  <c r="DY81" i="1"/>
  <c r="EB81" i="1"/>
  <c r="EE81" i="1"/>
  <c r="EH81" i="1"/>
  <c r="EK81" i="1"/>
  <c r="EN81" i="1"/>
  <c r="EQ81" i="1"/>
  <c r="ET81" i="1"/>
  <c r="EW81" i="1"/>
  <c r="EZ81" i="1"/>
  <c r="FC81" i="1"/>
  <c r="FF81" i="1"/>
  <c r="FI81" i="1"/>
  <c r="FL81" i="1"/>
  <c r="FO81" i="1"/>
  <c r="FU81" i="1"/>
  <c r="FX81" i="1"/>
  <c r="GA81" i="1"/>
  <c r="GD81" i="1"/>
  <c r="GG81" i="1"/>
  <c r="GJ81" i="1"/>
  <c r="GM81" i="1"/>
  <c r="GP81" i="1"/>
  <c r="GS81" i="1"/>
  <c r="GV81" i="1"/>
  <c r="GY81" i="1"/>
  <c r="HB81" i="1"/>
  <c r="HE81" i="1"/>
  <c r="HH81" i="1"/>
  <c r="HN81" i="1"/>
  <c r="HQ81" i="1"/>
  <c r="HT81" i="1"/>
  <c r="HW81" i="1"/>
  <c r="HZ81" i="1"/>
  <c r="DJ82" i="1"/>
  <c r="DM82" i="1"/>
  <c r="DP82" i="1"/>
  <c r="DS82" i="1"/>
  <c r="DV82" i="1"/>
  <c r="DY82" i="1"/>
  <c r="EB82" i="1"/>
  <c r="EE82" i="1"/>
  <c r="EH82" i="1"/>
  <c r="EK82" i="1"/>
  <c r="EN82" i="1"/>
  <c r="EQ82" i="1"/>
  <c r="ET82" i="1"/>
  <c r="EW82" i="1"/>
  <c r="EZ82" i="1"/>
  <c r="FC82" i="1"/>
  <c r="FF82" i="1"/>
  <c r="FI82" i="1"/>
  <c r="FL82" i="1"/>
  <c r="FO82" i="1"/>
  <c r="FR82" i="1"/>
  <c r="FU82" i="1"/>
  <c r="FX82" i="1"/>
  <c r="GA82" i="1"/>
  <c r="GD82" i="1"/>
  <c r="GG82" i="1"/>
  <c r="GJ82" i="1"/>
  <c r="GM82" i="1"/>
  <c r="GP82" i="1"/>
  <c r="GS82" i="1"/>
  <c r="GV82" i="1"/>
  <c r="GY82" i="1"/>
  <c r="HB82" i="1"/>
  <c r="HE82" i="1"/>
  <c r="HH82" i="1"/>
  <c r="HK82" i="1"/>
  <c r="HN82" i="1"/>
  <c r="HQ82" i="1"/>
  <c r="HT82" i="1"/>
  <c r="HW82" i="1"/>
  <c r="HZ82" i="1"/>
  <c r="DJ83" i="1"/>
  <c r="DM83" i="1"/>
  <c r="DP83" i="1"/>
  <c r="DS83" i="1"/>
  <c r="DV83" i="1"/>
  <c r="DY83" i="1"/>
  <c r="EB83" i="1"/>
  <c r="EE83" i="1"/>
  <c r="EH83" i="1"/>
  <c r="EK83" i="1"/>
  <c r="EN83" i="1"/>
  <c r="EQ83" i="1"/>
  <c r="ET83" i="1"/>
  <c r="EW83" i="1"/>
  <c r="FC83" i="1"/>
  <c r="FF83" i="1"/>
  <c r="FI83" i="1"/>
  <c r="FL83" i="1"/>
  <c r="FO83" i="1"/>
  <c r="FR83" i="1"/>
  <c r="FU83" i="1"/>
  <c r="FX83" i="1"/>
  <c r="GA83" i="1"/>
  <c r="GG83" i="1"/>
  <c r="GJ83" i="1"/>
  <c r="GM83" i="1"/>
  <c r="GP83" i="1"/>
  <c r="GS83" i="1"/>
  <c r="GV83" i="1"/>
  <c r="GY83" i="1"/>
  <c r="HB83" i="1"/>
  <c r="HH83" i="1"/>
  <c r="HK83" i="1"/>
  <c r="HN83" i="1"/>
  <c r="HQ83" i="1"/>
  <c r="HT83" i="1"/>
  <c r="HW83" i="1"/>
  <c r="HZ83" i="1"/>
  <c r="DJ84" i="1"/>
  <c r="DM84" i="1"/>
  <c r="DS84" i="1"/>
  <c r="DV84" i="1"/>
  <c r="DY84" i="1"/>
  <c r="EB84" i="1"/>
  <c r="EE84" i="1"/>
  <c r="EH84" i="1"/>
  <c r="EK84" i="1"/>
  <c r="EN84" i="1"/>
  <c r="EQ84" i="1"/>
  <c r="ET84" i="1"/>
  <c r="EW84" i="1"/>
  <c r="FC84" i="1"/>
  <c r="FF84" i="1"/>
  <c r="FI84" i="1"/>
  <c r="FL84" i="1"/>
  <c r="FO84" i="1"/>
  <c r="FR84" i="1"/>
  <c r="FU84" i="1"/>
  <c r="FX84" i="1"/>
  <c r="GA84" i="1"/>
  <c r="GD84" i="1"/>
  <c r="GG84" i="1"/>
  <c r="GJ84" i="1"/>
  <c r="GM84" i="1"/>
  <c r="GP84" i="1"/>
  <c r="GS84" i="1"/>
  <c r="GV84" i="1"/>
  <c r="GY84" i="1"/>
  <c r="HB84" i="1"/>
  <c r="HE84" i="1"/>
  <c r="HH84" i="1"/>
  <c r="HK84" i="1"/>
  <c r="HN84" i="1"/>
  <c r="HQ84" i="1"/>
  <c r="HW84" i="1"/>
  <c r="HZ84" i="1"/>
  <c r="BW13" i="1" l="1"/>
  <c r="DA84" i="1"/>
  <c r="CX84" i="1"/>
  <c r="CU84" i="1"/>
  <c r="CR84" i="1"/>
  <c r="CO84" i="1"/>
  <c r="CL84" i="1"/>
  <c r="CI84" i="1"/>
  <c r="CF84" i="1"/>
  <c r="CC84" i="1"/>
  <c r="BZ84" i="1"/>
  <c r="BW84" i="1"/>
  <c r="BT84" i="1"/>
  <c r="BQ84" i="1"/>
  <c r="BN84" i="1"/>
  <c r="BK84" i="1"/>
  <c r="BH84" i="1"/>
  <c r="BE84" i="1"/>
  <c r="BB84" i="1"/>
  <c r="AY84" i="1"/>
  <c r="AV84" i="1"/>
  <c r="AS84" i="1"/>
  <c r="AP84" i="1"/>
  <c r="AJ84" i="1"/>
  <c r="DA83" i="1"/>
  <c r="CX83" i="1"/>
  <c r="CU83" i="1"/>
  <c r="CR83" i="1"/>
  <c r="CL83" i="1"/>
  <c r="CI83" i="1"/>
  <c r="CF83" i="1"/>
  <c r="CC83" i="1"/>
  <c r="BZ83" i="1"/>
  <c r="BW83" i="1"/>
  <c r="BT83" i="1"/>
  <c r="BQ83" i="1"/>
  <c r="BN83" i="1"/>
  <c r="BK83" i="1"/>
  <c r="BH83" i="1"/>
  <c r="BE83" i="1"/>
  <c r="BB83" i="1"/>
  <c r="AY83" i="1"/>
  <c r="AV83" i="1"/>
  <c r="AS83" i="1"/>
  <c r="AP83" i="1"/>
  <c r="AM83" i="1"/>
  <c r="AJ83" i="1"/>
  <c r="DD82" i="1"/>
  <c r="DA82" i="1"/>
  <c r="CX82" i="1"/>
  <c r="CU82" i="1"/>
  <c r="CR82" i="1"/>
  <c r="CO82" i="1"/>
  <c r="CL82" i="1"/>
  <c r="CI82" i="1"/>
  <c r="CF82" i="1"/>
  <c r="CC82" i="1"/>
  <c r="BZ82" i="1"/>
  <c r="BW82" i="1"/>
  <c r="BT82" i="1"/>
  <c r="BQ82" i="1"/>
  <c r="BN82" i="1"/>
  <c r="BK82" i="1"/>
  <c r="BH82" i="1"/>
  <c r="BE82" i="1"/>
  <c r="BB82" i="1"/>
  <c r="AY82" i="1"/>
  <c r="AV82" i="1"/>
  <c r="AS82" i="1"/>
  <c r="AP82" i="1"/>
  <c r="AM82" i="1"/>
  <c r="AJ82" i="1"/>
  <c r="DD81" i="1"/>
  <c r="DA81" i="1"/>
  <c r="CX81" i="1"/>
  <c r="CU81" i="1"/>
  <c r="CR81" i="1"/>
  <c r="CO81" i="1"/>
  <c r="CL81" i="1"/>
  <c r="CI81" i="1"/>
  <c r="CF81" i="1"/>
  <c r="CC81" i="1"/>
  <c r="BZ81" i="1"/>
  <c r="BW81" i="1"/>
  <c r="BT81" i="1"/>
  <c r="BQ81" i="1"/>
  <c r="BN81" i="1"/>
  <c r="BK81" i="1"/>
  <c r="BE81" i="1"/>
  <c r="BB81" i="1"/>
  <c r="AY81" i="1"/>
  <c r="AV81" i="1"/>
  <c r="AS81" i="1"/>
  <c r="AP81" i="1"/>
  <c r="AM81" i="1"/>
  <c r="DD80" i="1"/>
  <c r="DA80" i="1"/>
  <c r="CX80" i="1"/>
  <c r="CU80" i="1"/>
  <c r="CR80" i="1"/>
  <c r="CO80" i="1"/>
  <c r="CL80" i="1"/>
  <c r="CI80" i="1"/>
  <c r="CF80" i="1"/>
  <c r="CC80" i="1"/>
  <c r="BZ80" i="1"/>
  <c r="BW80" i="1"/>
  <c r="BT80" i="1"/>
  <c r="BQ80" i="1"/>
  <c r="BN80" i="1"/>
  <c r="BK80" i="1"/>
  <c r="BE80" i="1"/>
  <c r="BB80" i="1"/>
  <c r="AY80" i="1"/>
  <c r="AV80" i="1"/>
  <c r="AS80" i="1"/>
  <c r="AP80" i="1"/>
  <c r="AM80" i="1"/>
  <c r="AJ80" i="1"/>
  <c r="DD79" i="1"/>
  <c r="DA79" i="1"/>
  <c r="CX79" i="1"/>
  <c r="CU79" i="1"/>
  <c r="CR79" i="1"/>
  <c r="CO79" i="1"/>
  <c r="CL79" i="1"/>
  <c r="CI79" i="1"/>
  <c r="CF79" i="1"/>
  <c r="CC79" i="1"/>
  <c r="BZ79" i="1"/>
  <c r="BW79" i="1"/>
  <c r="BT79" i="1"/>
  <c r="BQ79" i="1"/>
  <c r="BN79" i="1"/>
  <c r="BK79" i="1"/>
  <c r="BH79" i="1"/>
  <c r="BE79" i="1"/>
  <c r="BB79" i="1"/>
  <c r="AY79" i="1"/>
  <c r="AV79" i="1"/>
  <c r="AS79" i="1"/>
  <c r="AP79" i="1"/>
  <c r="AM79" i="1"/>
  <c r="AJ79" i="1"/>
  <c r="DD78" i="1"/>
  <c r="DA78" i="1"/>
  <c r="CX78" i="1"/>
  <c r="CU78" i="1"/>
  <c r="CR78" i="1"/>
  <c r="CO78" i="1"/>
  <c r="CL78" i="1"/>
  <c r="CI78" i="1"/>
  <c r="CF78" i="1"/>
  <c r="CC78" i="1"/>
  <c r="BZ78" i="1"/>
  <c r="BW78" i="1"/>
  <c r="BT78" i="1"/>
  <c r="BQ78" i="1"/>
  <c r="BN78" i="1"/>
  <c r="BK78" i="1"/>
  <c r="BE78" i="1"/>
  <c r="BB78" i="1"/>
  <c r="AY78" i="1"/>
  <c r="AV78" i="1"/>
  <c r="AS78" i="1"/>
  <c r="AP78" i="1"/>
  <c r="AM78" i="1"/>
  <c r="DD77" i="1"/>
  <c r="DA77" i="1"/>
  <c r="CX77" i="1"/>
  <c r="CU77" i="1"/>
  <c r="CR77" i="1"/>
  <c r="CO77" i="1"/>
  <c r="CL77" i="1"/>
  <c r="CI77" i="1"/>
  <c r="CF77" i="1"/>
  <c r="CC77" i="1"/>
  <c r="BZ77" i="1"/>
  <c r="BW77" i="1"/>
  <c r="BT77" i="1"/>
  <c r="BQ77" i="1"/>
  <c r="BN77" i="1"/>
  <c r="BK77" i="1"/>
  <c r="BH77" i="1"/>
  <c r="BE77" i="1"/>
  <c r="BB77" i="1"/>
  <c r="AY77" i="1"/>
  <c r="AV77" i="1"/>
  <c r="AS77" i="1"/>
  <c r="AP77" i="1"/>
  <c r="AM77" i="1"/>
  <c r="AJ77" i="1"/>
  <c r="DD76" i="1"/>
  <c r="DA76" i="1"/>
  <c r="CX76" i="1"/>
  <c r="CU76" i="1"/>
  <c r="CR76" i="1"/>
  <c r="CO76" i="1"/>
  <c r="CL76" i="1"/>
  <c r="CI76" i="1"/>
  <c r="CF76" i="1"/>
  <c r="CC76" i="1"/>
  <c r="BZ76" i="1"/>
  <c r="BW76" i="1"/>
  <c r="BT76" i="1"/>
  <c r="BQ76" i="1"/>
  <c r="BN76" i="1"/>
  <c r="BK76" i="1"/>
  <c r="BH76" i="1"/>
  <c r="BE76" i="1"/>
  <c r="BB76" i="1"/>
  <c r="AY76" i="1"/>
  <c r="AV76" i="1"/>
  <c r="AS76" i="1"/>
  <c r="AP76" i="1"/>
  <c r="AM76" i="1"/>
  <c r="AJ76" i="1"/>
  <c r="DD75" i="1"/>
  <c r="DA75" i="1"/>
  <c r="CX75" i="1"/>
  <c r="CU75" i="1"/>
  <c r="CR75" i="1"/>
  <c r="CO75" i="1"/>
  <c r="CL75" i="1"/>
  <c r="CI75" i="1"/>
  <c r="CF75" i="1"/>
  <c r="CC75" i="1"/>
  <c r="BZ75" i="1"/>
  <c r="BW75" i="1"/>
  <c r="BT75" i="1"/>
  <c r="BQ75" i="1"/>
  <c r="BN75" i="1"/>
  <c r="BK75" i="1"/>
  <c r="BE75" i="1"/>
  <c r="BB75" i="1"/>
  <c r="AY75" i="1"/>
  <c r="AV75" i="1"/>
  <c r="AS75" i="1"/>
  <c r="AP75" i="1"/>
  <c r="AM75" i="1"/>
  <c r="AJ75" i="1"/>
  <c r="DD74" i="1"/>
  <c r="DA74" i="1"/>
  <c r="CX74" i="1"/>
  <c r="CU74" i="1"/>
  <c r="CR74" i="1"/>
  <c r="CO74" i="1"/>
  <c r="CL74" i="1"/>
  <c r="CI74" i="1"/>
  <c r="CF74" i="1"/>
  <c r="CC74" i="1"/>
  <c r="BZ74" i="1"/>
  <c r="BW74" i="1"/>
  <c r="BT74" i="1"/>
  <c r="BQ74" i="1"/>
  <c r="BN74" i="1"/>
  <c r="BK74" i="1"/>
  <c r="BH74" i="1"/>
  <c r="BE74" i="1"/>
  <c r="BB74" i="1"/>
  <c r="AY74" i="1"/>
  <c r="AV74" i="1"/>
  <c r="AS74" i="1"/>
  <c r="AP74" i="1"/>
  <c r="AM74" i="1"/>
  <c r="DD73" i="1"/>
  <c r="DA73" i="1"/>
  <c r="CX73" i="1"/>
  <c r="CU73" i="1"/>
  <c r="CR73" i="1"/>
  <c r="CO73" i="1"/>
  <c r="CL73" i="1"/>
  <c r="CI73" i="1"/>
  <c r="CF73" i="1"/>
  <c r="CC73" i="1"/>
  <c r="BZ73" i="1"/>
  <c r="BW73" i="1"/>
  <c r="BT73" i="1"/>
  <c r="BQ73" i="1"/>
  <c r="BN73" i="1"/>
  <c r="BK73" i="1"/>
  <c r="BE73" i="1"/>
  <c r="BB73" i="1"/>
  <c r="AY73" i="1"/>
  <c r="AV73" i="1"/>
  <c r="AS73" i="1"/>
  <c r="AP73" i="1"/>
  <c r="AM73" i="1"/>
  <c r="AJ73" i="1"/>
  <c r="DD72" i="1"/>
  <c r="DA72" i="1"/>
  <c r="CX72" i="1"/>
  <c r="CU72" i="1"/>
  <c r="CR72" i="1"/>
  <c r="CO72" i="1"/>
  <c r="CL72" i="1"/>
  <c r="CI72" i="1"/>
  <c r="CF72" i="1"/>
  <c r="CC72" i="1"/>
  <c r="BZ72" i="1"/>
  <c r="BW72" i="1"/>
  <c r="BT72" i="1"/>
  <c r="BQ72" i="1"/>
  <c r="BN72" i="1"/>
  <c r="BK72" i="1"/>
  <c r="BE72" i="1"/>
  <c r="BB72" i="1"/>
  <c r="AY72" i="1"/>
  <c r="AV72" i="1"/>
  <c r="AS72" i="1"/>
  <c r="AP72" i="1"/>
  <c r="AM72" i="1"/>
  <c r="AJ72" i="1"/>
  <c r="DD71" i="1"/>
  <c r="DA71" i="1"/>
  <c r="CX71" i="1"/>
  <c r="CU71" i="1"/>
  <c r="CR71" i="1"/>
  <c r="CO71" i="1"/>
  <c r="CL71" i="1"/>
  <c r="CI71" i="1"/>
  <c r="CF71" i="1"/>
  <c r="CC71" i="1"/>
  <c r="BZ71" i="1"/>
  <c r="BW71" i="1"/>
  <c r="BT71" i="1"/>
  <c r="BQ71" i="1"/>
  <c r="BN71" i="1"/>
  <c r="BK71" i="1"/>
  <c r="BH71" i="1"/>
  <c r="BE71" i="1"/>
  <c r="BB71" i="1"/>
  <c r="AY71" i="1"/>
  <c r="AV71" i="1"/>
  <c r="AS71" i="1"/>
  <c r="AP71" i="1"/>
  <c r="AM71" i="1"/>
  <c r="DD70" i="1"/>
  <c r="DA70" i="1"/>
  <c r="CX70" i="1"/>
  <c r="CU70" i="1"/>
  <c r="CR70" i="1"/>
  <c r="CO70" i="1"/>
  <c r="CL70" i="1"/>
  <c r="CI70" i="1"/>
  <c r="CF70" i="1"/>
  <c r="CC70" i="1"/>
  <c r="BZ70" i="1"/>
  <c r="BW70" i="1"/>
  <c r="BT70" i="1"/>
  <c r="BQ70" i="1"/>
  <c r="BN70" i="1"/>
  <c r="BK70" i="1"/>
  <c r="BH70" i="1"/>
  <c r="BE70" i="1"/>
  <c r="BB70" i="1"/>
  <c r="AY70" i="1"/>
  <c r="AV70" i="1"/>
  <c r="AS70" i="1"/>
  <c r="AP70" i="1"/>
  <c r="AM70" i="1"/>
  <c r="DD69" i="1"/>
  <c r="DA69" i="1"/>
  <c r="CX69" i="1"/>
  <c r="CU69" i="1"/>
  <c r="CR69" i="1"/>
  <c r="CO69" i="1"/>
  <c r="CL69" i="1"/>
  <c r="CI69" i="1"/>
  <c r="CF69" i="1"/>
  <c r="CC69" i="1"/>
  <c r="BZ69" i="1"/>
  <c r="BW69" i="1"/>
  <c r="BT69" i="1"/>
  <c r="BQ69" i="1"/>
  <c r="BN69" i="1"/>
  <c r="BK69" i="1"/>
  <c r="BH69" i="1"/>
  <c r="BE69" i="1"/>
  <c r="BB69" i="1"/>
  <c r="AY69" i="1"/>
  <c r="AV69" i="1"/>
  <c r="AS69" i="1"/>
  <c r="AP69" i="1"/>
  <c r="AM69" i="1"/>
  <c r="AJ69" i="1"/>
  <c r="DD68" i="1"/>
  <c r="DA68" i="1"/>
  <c r="CX68" i="1"/>
  <c r="CU68" i="1"/>
  <c r="CR68" i="1"/>
  <c r="CL68" i="1"/>
  <c r="CI68" i="1"/>
  <c r="CF68" i="1"/>
  <c r="CC68" i="1"/>
  <c r="BW68" i="1"/>
  <c r="BT68" i="1"/>
  <c r="BQ68" i="1"/>
  <c r="BN68" i="1"/>
  <c r="BK68" i="1"/>
  <c r="BH68" i="1"/>
  <c r="BE68" i="1"/>
  <c r="BB68" i="1"/>
  <c r="AY68" i="1"/>
  <c r="AV68" i="1"/>
  <c r="AS68" i="1"/>
  <c r="AP68" i="1"/>
  <c r="AJ68" i="1"/>
  <c r="DD67" i="1"/>
  <c r="DA67" i="1"/>
  <c r="CX67" i="1"/>
  <c r="CU67" i="1"/>
  <c r="CR67" i="1"/>
  <c r="CL67" i="1"/>
  <c r="CI67" i="1"/>
  <c r="CF67" i="1"/>
  <c r="CC67" i="1"/>
  <c r="BW67" i="1"/>
  <c r="BT67" i="1"/>
  <c r="BQ67" i="1"/>
  <c r="BN67" i="1"/>
  <c r="BK67" i="1"/>
  <c r="BH67" i="1"/>
  <c r="BE67" i="1"/>
  <c r="BB67" i="1"/>
  <c r="AY67" i="1"/>
  <c r="AV67" i="1"/>
  <c r="AS67" i="1"/>
  <c r="AP67" i="1"/>
  <c r="AJ67" i="1"/>
  <c r="DD66" i="1"/>
  <c r="DA66" i="1"/>
  <c r="CX66" i="1"/>
  <c r="CU66" i="1"/>
  <c r="CR66" i="1"/>
  <c r="CL66" i="1"/>
  <c r="CI66" i="1"/>
  <c r="CF66" i="1"/>
  <c r="CC66" i="1"/>
  <c r="BW66" i="1"/>
  <c r="BT66" i="1"/>
  <c r="BQ66" i="1"/>
  <c r="BN66" i="1"/>
  <c r="BK66" i="1"/>
  <c r="BH66" i="1"/>
  <c r="BE66" i="1"/>
  <c r="BB66" i="1"/>
  <c r="AY66" i="1"/>
  <c r="AV66" i="1"/>
  <c r="AS66" i="1"/>
  <c r="AP66" i="1"/>
  <c r="AJ66" i="1"/>
  <c r="DD65" i="1"/>
  <c r="DA65" i="1"/>
  <c r="CX65" i="1"/>
  <c r="CU65" i="1"/>
  <c r="CR65" i="1"/>
  <c r="CO65" i="1"/>
  <c r="CL65" i="1"/>
  <c r="CI65" i="1"/>
  <c r="CF65" i="1"/>
  <c r="CC65" i="1"/>
  <c r="BZ65" i="1"/>
  <c r="BW65" i="1"/>
  <c r="BT65" i="1"/>
  <c r="BQ65" i="1"/>
  <c r="BN65" i="1"/>
  <c r="BK65" i="1"/>
  <c r="BH65" i="1"/>
  <c r="BE65" i="1"/>
  <c r="BB65" i="1"/>
  <c r="AY65" i="1"/>
  <c r="AV65" i="1"/>
  <c r="AS65" i="1"/>
  <c r="AP65" i="1"/>
  <c r="AM65" i="1"/>
  <c r="AJ65" i="1"/>
  <c r="DD64" i="1"/>
  <c r="DA64" i="1"/>
  <c r="CX64" i="1"/>
  <c r="CU64" i="1"/>
  <c r="CR64" i="1"/>
  <c r="CO64" i="1"/>
  <c r="CI64" i="1"/>
  <c r="CF64" i="1"/>
  <c r="CC64" i="1"/>
  <c r="BZ64" i="1"/>
  <c r="BW64" i="1"/>
  <c r="BT64" i="1"/>
  <c r="BQ64" i="1"/>
  <c r="BN64" i="1"/>
  <c r="BK64" i="1"/>
  <c r="BH64" i="1"/>
  <c r="BE64" i="1"/>
  <c r="BB64" i="1"/>
  <c r="AY64" i="1"/>
  <c r="AV64" i="1"/>
  <c r="AP64" i="1"/>
  <c r="AM64" i="1"/>
  <c r="AJ64" i="1"/>
  <c r="DD63" i="1"/>
  <c r="DA63" i="1"/>
  <c r="CX63" i="1"/>
  <c r="CU63" i="1"/>
  <c r="CR63" i="1"/>
  <c r="CO63" i="1"/>
  <c r="CI63" i="1"/>
  <c r="CF63" i="1"/>
  <c r="CC63" i="1"/>
  <c r="BZ63" i="1"/>
  <c r="BW63" i="1"/>
  <c r="BT63" i="1"/>
  <c r="BQ63" i="1"/>
  <c r="BN63" i="1"/>
  <c r="BK63" i="1"/>
  <c r="BH63" i="1"/>
  <c r="BE63" i="1"/>
  <c r="BB63" i="1"/>
  <c r="AY63" i="1"/>
  <c r="AV63" i="1"/>
  <c r="AP63" i="1"/>
  <c r="AM63" i="1"/>
  <c r="AJ63" i="1"/>
  <c r="DD62" i="1"/>
  <c r="DA62" i="1"/>
  <c r="CX62" i="1"/>
  <c r="CU62" i="1"/>
  <c r="CR62" i="1"/>
  <c r="CO62" i="1"/>
  <c r="CI62" i="1"/>
  <c r="CF62" i="1"/>
  <c r="CC62" i="1"/>
  <c r="BZ62" i="1"/>
  <c r="BW62" i="1"/>
  <c r="BT62" i="1"/>
  <c r="BQ62" i="1"/>
  <c r="BN62" i="1"/>
  <c r="BK62" i="1"/>
  <c r="BH62" i="1"/>
  <c r="BE62" i="1"/>
  <c r="BB62" i="1"/>
  <c r="AY62" i="1"/>
  <c r="AV62" i="1"/>
  <c r="AP62" i="1"/>
  <c r="AM62" i="1"/>
  <c r="AJ62" i="1"/>
  <c r="DD61" i="1"/>
  <c r="DA61" i="1"/>
  <c r="CX61" i="1"/>
  <c r="CU61" i="1"/>
  <c r="CR61" i="1"/>
  <c r="CO61" i="1"/>
  <c r="CL61" i="1"/>
  <c r="CI61" i="1"/>
  <c r="CF61" i="1"/>
  <c r="CC61" i="1"/>
  <c r="BZ61" i="1"/>
  <c r="BT61" i="1"/>
  <c r="BQ61" i="1"/>
  <c r="BN61" i="1"/>
  <c r="BK61" i="1"/>
  <c r="BH61" i="1"/>
  <c r="BB61" i="1"/>
  <c r="AY61" i="1"/>
  <c r="AV61" i="1"/>
  <c r="AS61" i="1"/>
  <c r="AP61" i="1"/>
  <c r="AM61" i="1"/>
  <c r="AJ61" i="1"/>
  <c r="DA60" i="1"/>
  <c r="CU60" i="1"/>
  <c r="CR60" i="1"/>
  <c r="CO60" i="1"/>
  <c r="CL60" i="1"/>
  <c r="CI60" i="1"/>
  <c r="CF60" i="1"/>
  <c r="CC60" i="1"/>
  <c r="BZ60" i="1"/>
  <c r="BW60" i="1"/>
  <c r="BT60" i="1"/>
  <c r="BQ60" i="1"/>
  <c r="BN60" i="1"/>
  <c r="BH60" i="1"/>
  <c r="BE60" i="1"/>
  <c r="BB60" i="1"/>
  <c r="AY60" i="1"/>
  <c r="AV60" i="1"/>
  <c r="AS60" i="1"/>
  <c r="AP60" i="1"/>
  <c r="AM60" i="1"/>
  <c r="AJ60" i="1"/>
  <c r="DD59" i="1"/>
  <c r="DA59" i="1"/>
  <c r="CX59" i="1"/>
  <c r="CR59" i="1"/>
  <c r="CO59" i="1"/>
  <c r="CL59" i="1"/>
  <c r="CI59" i="1"/>
  <c r="CF59" i="1"/>
  <c r="BZ59" i="1"/>
  <c r="BW59" i="1"/>
  <c r="BT59" i="1"/>
  <c r="BQ59" i="1"/>
  <c r="BN59" i="1"/>
  <c r="BK59" i="1"/>
  <c r="BH59" i="1"/>
  <c r="BE59" i="1"/>
  <c r="BB59" i="1"/>
  <c r="AY59" i="1"/>
  <c r="AV59" i="1"/>
  <c r="AS59" i="1"/>
  <c r="AP59" i="1"/>
  <c r="AM59" i="1"/>
  <c r="AJ59" i="1"/>
  <c r="DD58" i="1"/>
  <c r="DA58" i="1"/>
  <c r="CX58" i="1"/>
  <c r="CU58" i="1"/>
  <c r="CR58" i="1"/>
  <c r="CO58" i="1"/>
  <c r="CL58" i="1"/>
  <c r="CI58" i="1"/>
  <c r="CF58" i="1"/>
  <c r="CC58" i="1"/>
  <c r="BZ58" i="1"/>
  <c r="BW58" i="1"/>
  <c r="BT58" i="1"/>
  <c r="BQ58" i="1"/>
  <c r="BN58" i="1"/>
  <c r="BK58" i="1"/>
  <c r="BH58" i="1"/>
  <c r="BE58" i="1"/>
  <c r="BB58" i="1"/>
  <c r="AY58" i="1"/>
  <c r="AV58" i="1"/>
  <c r="AS58" i="1"/>
  <c r="AP58" i="1"/>
  <c r="AM58" i="1"/>
  <c r="AJ58" i="1"/>
  <c r="DD57" i="1"/>
  <c r="DA57" i="1"/>
  <c r="CX57" i="1"/>
  <c r="CU57" i="1"/>
  <c r="CR57" i="1"/>
  <c r="CO57" i="1"/>
  <c r="CL57" i="1"/>
  <c r="CI57" i="1"/>
  <c r="CF57" i="1"/>
  <c r="CC57" i="1"/>
  <c r="BZ57" i="1"/>
  <c r="BW57" i="1"/>
  <c r="BT57" i="1"/>
  <c r="BQ57" i="1"/>
  <c r="BK57" i="1"/>
  <c r="BH57" i="1"/>
  <c r="BE57" i="1"/>
  <c r="BB57" i="1"/>
  <c r="AY57" i="1"/>
  <c r="AV57" i="1"/>
  <c r="AS57" i="1"/>
  <c r="AP57" i="1"/>
  <c r="AM57" i="1"/>
  <c r="AJ57" i="1"/>
  <c r="DA56" i="1"/>
  <c r="CU56" i="1"/>
  <c r="CR56" i="1"/>
  <c r="CO56" i="1"/>
  <c r="CL56" i="1"/>
  <c r="CF56" i="1"/>
  <c r="CC56" i="1"/>
  <c r="BZ56" i="1"/>
  <c r="BW56" i="1"/>
  <c r="BT56" i="1"/>
  <c r="BQ56" i="1"/>
  <c r="BN56" i="1"/>
  <c r="BK56" i="1"/>
  <c r="BH56" i="1"/>
  <c r="BE56" i="1"/>
  <c r="BB56" i="1"/>
  <c r="AY56" i="1"/>
  <c r="AV56" i="1"/>
  <c r="AS56" i="1"/>
  <c r="AP56" i="1"/>
  <c r="AM56" i="1"/>
  <c r="AJ56" i="1"/>
  <c r="DD55" i="1"/>
  <c r="DA55" i="1"/>
  <c r="CX55" i="1"/>
  <c r="CU55" i="1"/>
  <c r="CR55" i="1"/>
  <c r="CO55" i="1"/>
  <c r="CL55" i="1"/>
  <c r="CI55" i="1"/>
  <c r="CF55" i="1"/>
  <c r="BZ55" i="1"/>
  <c r="BW55" i="1"/>
  <c r="BT55" i="1"/>
  <c r="BQ55" i="1"/>
  <c r="BN55" i="1"/>
  <c r="BK55" i="1"/>
  <c r="BH55" i="1"/>
  <c r="BE55" i="1"/>
  <c r="BB55" i="1"/>
  <c r="AY55" i="1"/>
  <c r="AV55" i="1"/>
  <c r="AS55" i="1"/>
  <c r="AP55" i="1"/>
  <c r="AM55" i="1"/>
  <c r="AJ55" i="1"/>
  <c r="DD54" i="1"/>
  <c r="CX54" i="1"/>
  <c r="CU54" i="1"/>
  <c r="CR54" i="1"/>
  <c r="CO54" i="1"/>
  <c r="CL54" i="1"/>
  <c r="CI54" i="1"/>
  <c r="CF54" i="1"/>
  <c r="CC54" i="1"/>
  <c r="BZ54" i="1"/>
  <c r="BW54" i="1"/>
  <c r="BT54" i="1"/>
  <c r="BQ54" i="1"/>
  <c r="BN54" i="1"/>
  <c r="BH54" i="1"/>
  <c r="BB54" i="1"/>
  <c r="AY54" i="1"/>
  <c r="AV54" i="1"/>
  <c r="AS54" i="1"/>
  <c r="AP54" i="1"/>
  <c r="AM54" i="1"/>
  <c r="AJ54" i="1"/>
  <c r="DD53" i="1"/>
  <c r="DA53" i="1"/>
  <c r="CX53" i="1"/>
  <c r="CU53" i="1"/>
  <c r="CO53" i="1"/>
  <c r="CL53" i="1"/>
  <c r="CI53" i="1"/>
  <c r="CF53" i="1"/>
  <c r="CC53" i="1"/>
  <c r="BZ53" i="1"/>
  <c r="BW53" i="1"/>
  <c r="BT53" i="1"/>
  <c r="BQ53" i="1"/>
  <c r="BN53" i="1"/>
  <c r="BK53" i="1"/>
  <c r="BH53" i="1"/>
  <c r="BE53" i="1"/>
  <c r="BB53" i="1"/>
  <c r="AY53" i="1"/>
  <c r="AV53" i="1"/>
  <c r="AS53" i="1"/>
  <c r="AP53" i="1"/>
  <c r="AM53" i="1"/>
  <c r="AJ53" i="1"/>
  <c r="DD52" i="1"/>
  <c r="DA52" i="1"/>
  <c r="CX52" i="1"/>
  <c r="CU52" i="1"/>
  <c r="CR52" i="1"/>
  <c r="CO52" i="1"/>
  <c r="CL52" i="1"/>
  <c r="CI52" i="1"/>
  <c r="CF52" i="1"/>
  <c r="CC52" i="1"/>
  <c r="BZ52" i="1"/>
  <c r="BW52" i="1"/>
  <c r="BT52" i="1"/>
  <c r="BQ52" i="1"/>
  <c r="BK52" i="1"/>
  <c r="BH52" i="1"/>
  <c r="BE52" i="1"/>
  <c r="BB52" i="1"/>
  <c r="AY52" i="1"/>
  <c r="AV52" i="1"/>
  <c r="AS52" i="1"/>
  <c r="AP52" i="1"/>
  <c r="AM52" i="1"/>
  <c r="AJ52" i="1"/>
  <c r="DD51" i="1"/>
  <c r="DA51" i="1"/>
  <c r="CX51" i="1"/>
  <c r="CU51" i="1"/>
  <c r="CR51" i="1"/>
  <c r="CO51" i="1"/>
  <c r="CL51" i="1"/>
  <c r="CF51" i="1"/>
  <c r="CC51" i="1"/>
  <c r="BZ51" i="1"/>
  <c r="BW51" i="1"/>
  <c r="BT51" i="1"/>
  <c r="BQ51" i="1"/>
  <c r="BN51" i="1"/>
  <c r="BK51" i="1"/>
  <c r="BH51" i="1"/>
  <c r="BE51" i="1"/>
  <c r="BB51" i="1"/>
  <c r="AY51" i="1"/>
  <c r="AS51" i="1"/>
  <c r="AP51" i="1"/>
  <c r="AM51" i="1"/>
  <c r="AJ51" i="1"/>
  <c r="DD50" i="1"/>
  <c r="DA50" i="1"/>
  <c r="CX50" i="1"/>
  <c r="CR50" i="1"/>
  <c r="CO50" i="1"/>
  <c r="CL50" i="1"/>
  <c r="CF50" i="1"/>
  <c r="CC50" i="1"/>
  <c r="BZ50" i="1"/>
  <c r="BW50" i="1"/>
  <c r="BT50" i="1"/>
  <c r="BQ50" i="1"/>
  <c r="BN50" i="1"/>
  <c r="BK50" i="1"/>
  <c r="BH50" i="1"/>
  <c r="BE50" i="1"/>
  <c r="BB50" i="1"/>
  <c r="AY50" i="1"/>
  <c r="AV50" i="1"/>
  <c r="AS50" i="1"/>
  <c r="AM50" i="1"/>
  <c r="AJ50" i="1"/>
  <c r="DD49" i="1"/>
  <c r="DA49" i="1"/>
  <c r="CX49" i="1"/>
  <c r="CR49" i="1"/>
  <c r="CO49" i="1"/>
  <c r="CL49" i="1"/>
  <c r="CF49" i="1"/>
  <c r="CC49" i="1"/>
  <c r="BW49" i="1"/>
  <c r="BT49" i="1"/>
  <c r="BQ49" i="1"/>
  <c r="BN49" i="1"/>
  <c r="BK49" i="1"/>
  <c r="BE49" i="1"/>
  <c r="BB49" i="1"/>
  <c r="AY49" i="1"/>
  <c r="AV49" i="1"/>
  <c r="AP49" i="1"/>
  <c r="AM49" i="1"/>
  <c r="AJ49" i="1"/>
  <c r="DD48" i="1"/>
  <c r="DA48" i="1"/>
  <c r="CX48" i="1"/>
  <c r="CR48" i="1"/>
  <c r="CO48" i="1"/>
  <c r="CI48" i="1"/>
  <c r="CF48" i="1"/>
  <c r="CC48" i="1"/>
  <c r="BW48" i="1"/>
  <c r="BT48" i="1"/>
  <c r="BQ48" i="1"/>
  <c r="BN48" i="1"/>
  <c r="BK48" i="1"/>
  <c r="BE48" i="1"/>
  <c r="BB48" i="1"/>
  <c r="AY48" i="1"/>
  <c r="AV48" i="1"/>
  <c r="AP48" i="1"/>
  <c r="AM48" i="1"/>
  <c r="AJ48" i="1"/>
  <c r="DD47" i="1"/>
  <c r="DA47" i="1"/>
  <c r="CX47" i="1"/>
  <c r="CR47" i="1"/>
  <c r="CO47" i="1"/>
  <c r="CL47" i="1"/>
  <c r="CI47" i="1"/>
  <c r="CF47" i="1"/>
  <c r="BW47" i="1"/>
  <c r="BT47" i="1"/>
  <c r="BQ47" i="1"/>
  <c r="BN47" i="1"/>
  <c r="BK47" i="1"/>
  <c r="BE47" i="1"/>
  <c r="BB47" i="1"/>
  <c r="AY47" i="1"/>
  <c r="AV47" i="1"/>
  <c r="AS47" i="1"/>
  <c r="AP47" i="1"/>
  <c r="AM47" i="1"/>
  <c r="AJ47" i="1"/>
  <c r="DD46" i="1"/>
  <c r="DA46" i="1"/>
  <c r="CU46" i="1"/>
  <c r="CR46" i="1"/>
  <c r="CO46" i="1"/>
  <c r="CL46" i="1"/>
  <c r="CI46" i="1"/>
  <c r="CF46" i="1"/>
  <c r="CC46" i="1"/>
  <c r="BW46" i="1"/>
  <c r="BT46" i="1"/>
  <c r="BQ46" i="1"/>
  <c r="BN46" i="1"/>
  <c r="BK46" i="1"/>
  <c r="BH46" i="1"/>
  <c r="AY46" i="1"/>
  <c r="AV46" i="1"/>
  <c r="AP46" i="1"/>
  <c r="AM46" i="1"/>
  <c r="AJ46" i="1"/>
  <c r="DD45" i="1"/>
  <c r="DA45" i="1"/>
  <c r="CR45" i="1"/>
  <c r="CO45" i="1"/>
  <c r="CL45" i="1"/>
  <c r="CI45" i="1"/>
  <c r="CF45" i="1"/>
  <c r="CC45" i="1"/>
  <c r="BZ45" i="1"/>
  <c r="BW45" i="1"/>
  <c r="BT45" i="1"/>
  <c r="BQ45" i="1"/>
  <c r="BN45" i="1"/>
  <c r="BK45" i="1"/>
  <c r="BH45" i="1"/>
  <c r="BE45" i="1"/>
  <c r="AY45" i="1"/>
  <c r="AV45" i="1"/>
  <c r="AS45" i="1"/>
  <c r="AM45" i="1"/>
  <c r="AJ45" i="1"/>
  <c r="DD44" i="1"/>
  <c r="DA44" i="1"/>
  <c r="CX44" i="1"/>
  <c r="CU44" i="1"/>
  <c r="CR44" i="1"/>
  <c r="CL44" i="1"/>
  <c r="CI44" i="1"/>
  <c r="CF44" i="1"/>
  <c r="CC44" i="1"/>
  <c r="BZ44" i="1"/>
  <c r="BW44" i="1"/>
  <c r="BT44" i="1"/>
  <c r="BQ44" i="1"/>
  <c r="BN44" i="1"/>
  <c r="BH44" i="1"/>
  <c r="BE44" i="1"/>
  <c r="BB44" i="1"/>
  <c r="AY44" i="1"/>
  <c r="AV44" i="1"/>
  <c r="AS44" i="1"/>
  <c r="AP44" i="1"/>
  <c r="AM44" i="1"/>
  <c r="AJ44" i="1"/>
  <c r="DD43" i="1"/>
  <c r="CX43" i="1"/>
  <c r="CU43" i="1"/>
  <c r="CO43" i="1"/>
  <c r="CL43" i="1"/>
  <c r="CI43" i="1"/>
  <c r="CF43" i="1"/>
  <c r="BZ43" i="1"/>
  <c r="BW43" i="1"/>
  <c r="BT43" i="1"/>
  <c r="BQ43" i="1"/>
  <c r="BN43" i="1"/>
  <c r="BK43" i="1"/>
  <c r="BH43" i="1"/>
  <c r="BE43" i="1"/>
  <c r="BB43" i="1"/>
  <c r="AV43" i="1"/>
  <c r="AP43" i="1"/>
  <c r="AM43" i="1"/>
  <c r="AJ43" i="1"/>
  <c r="DD42" i="1"/>
  <c r="DA42" i="1"/>
  <c r="CX42" i="1"/>
  <c r="CU42" i="1"/>
  <c r="CR42" i="1"/>
  <c r="CO42" i="1"/>
  <c r="CI42" i="1"/>
  <c r="CF42" i="1"/>
  <c r="CC42" i="1"/>
  <c r="BZ42" i="1"/>
  <c r="BW42" i="1"/>
  <c r="BQ42" i="1"/>
  <c r="BK42" i="1"/>
  <c r="BH42" i="1"/>
  <c r="BE42" i="1"/>
  <c r="AY42" i="1"/>
  <c r="AV42" i="1"/>
  <c r="AS42" i="1"/>
  <c r="AP42" i="1"/>
  <c r="AM42" i="1"/>
  <c r="AJ42" i="1"/>
  <c r="DD41" i="1"/>
  <c r="DA41" i="1"/>
  <c r="CX41" i="1"/>
  <c r="CU41" i="1"/>
  <c r="CR41" i="1"/>
  <c r="CO41" i="1"/>
  <c r="CI41" i="1"/>
  <c r="CF41" i="1"/>
  <c r="CC41" i="1"/>
  <c r="BZ41" i="1"/>
  <c r="BW41" i="1"/>
  <c r="BT41" i="1"/>
  <c r="BQ41" i="1"/>
  <c r="BN41" i="1"/>
  <c r="BK41" i="1"/>
  <c r="BH41" i="1"/>
  <c r="BE41" i="1"/>
  <c r="BB41" i="1"/>
  <c r="AV41" i="1"/>
  <c r="AS41" i="1"/>
  <c r="AM41" i="1"/>
  <c r="AJ41" i="1"/>
  <c r="DD40" i="1"/>
  <c r="DA40" i="1"/>
  <c r="CX40" i="1"/>
  <c r="CU40" i="1"/>
  <c r="CR40" i="1"/>
  <c r="CO40" i="1"/>
  <c r="CL40" i="1"/>
  <c r="CI40" i="1"/>
  <c r="CF40" i="1"/>
  <c r="CC40" i="1"/>
  <c r="BZ40" i="1"/>
  <c r="BW40" i="1"/>
  <c r="BQ40" i="1"/>
  <c r="BN40" i="1"/>
  <c r="BK40" i="1"/>
  <c r="BH40" i="1"/>
  <c r="AY40" i="1"/>
  <c r="AS40" i="1"/>
  <c r="AP40" i="1"/>
  <c r="AM40" i="1"/>
  <c r="AJ40" i="1"/>
  <c r="DD39" i="1"/>
  <c r="CX39" i="1"/>
  <c r="CU39" i="1"/>
  <c r="CR39" i="1"/>
  <c r="CO39" i="1"/>
  <c r="CL39" i="1"/>
  <c r="CI39" i="1"/>
  <c r="CF39" i="1"/>
  <c r="CC39" i="1"/>
  <c r="BZ39" i="1"/>
  <c r="BW39" i="1"/>
  <c r="BQ39" i="1"/>
  <c r="BN39" i="1"/>
  <c r="BK39" i="1"/>
  <c r="BH39" i="1"/>
  <c r="BE39" i="1"/>
  <c r="AY39" i="1"/>
  <c r="AS39" i="1"/>
  <c r="AP39" i="1"/>
  <c r="AM39" i="1"/>
  <c r="AJ39" i="1"/>
  <c r="DD38" i="1"/>
  <c r="DA38" i="1"/>
  <c r="CX38" i="1"/>
  <c r="CU38" i="1"/>
  <c r="CO38" i="1"/>
  <c r="CI38" i="1"/>
  <c r="CF38" i="1"/>
  <c r="CC38" i="1"/>
  <c r="BZ38" i="1"/>
  <c r="BW38" i="1"/>
  <c r="BQ38" i="1"/>
  <c r="BN38" i="1"/>
  <c r="BK38" i="1"/>
  <c r="BH38" i="1"/>
  <c r="BE38" i="1"/>
  <c r="AY38" i="1"/>
  <c r="AV38" i="1"/>
  <c r="AS38" i="1"/>
  <c r="AP38" i="1"/>
  <c r="AM38" i="1"/>
  <c r="AJ38" i="1"/>
  <c r="DD37" i="1"/>
  <c r="DA37" i="1"/>
  <c r="CU37" i="1"/>
  <c r="CR37" i="1"/>
  <c r="CO37" i="1"/>
  <c r="CL37" i="1"/>
  <c r="CI37" i="1"/>
  <c r="CF37" i="1"/>
  <c r="CC37" i="1"/>
  <c r="BZ37" i="1"/>
  <c r="BW37" i="1"/>
  <c r="BT37" i="1"/>
  <c r="BQ37" i="1"/>
  <c r="BN37" i="1"/>
  <c r="BH37" i="1"/>
  <c r="BE37" i="1"/>
  <c r="BB37" i="1"/>
  <c r="AY37" i="1"/>
  <c r="AV37" i="1"/>
  <c r="AS37" i="1"/>
  <c r="AP37" i="1"/>
  <c r="AM37" i="1"/>
  <c r="AJ37" i="1"/>
  <c r="DD36" i="1"/>
  <c r="DA36" i="1"/>
  <c r="CX36" i="1"/>
  <c r="CU36" i="1"/>
  <c r="CR36" i="1"/>
  <c r="CO36" i="1"/>
  <c r="CL36" i="1"/>
  <c r="CI36" i="1"/>
  <c r="CF36" i="1"/>
  <c r="BZ36" i="1"/>
  <c r="BW36" i="1"/>
  <c r="BT36" i="1"/>
  <c r="BQ36" i="1"/>
  <c r="BH36" i="1"/>
  <c r="BB36" i="1"/>
  <c r="AV36" i="1"/>
  <c r="AS36" i="1"/>
  <c r="AP36" i="1"/>
  <c r="AM36" i="1"/>
  <c r="AJ36" i="1"/>
  <c r="DD35" i="1"/>
  <c r="DA35" i="1"/>
  <c r="CU35" i="1"/>
  <c r="CR35" i="1"/>
  <c r="CO35" i="1"/>
  <c r="CI35" i="1"/>
  <c r="CF35" i="1"/>
  <c r="CC35" i="1"/>
  <c r="BZ35" i="1"/>
  <c r="BW35" i="1"/>
  <c r="BQ35" i="1"/>
  <c r="BN35" i="1"/>
  <c r="BK35" i="1"/>
  <c r="BE35" i="1"/>
  <c r="BB35" i="1"/>
  <c r="AY35" i="1"/>
  <c r="AV35" i="1"/>
  <c r="AS35" i="1"/>
  <c r="AP35" i="1"/>
  <c r="AM35" i="1"/>
  <c r="AJ35" i="1"/>
  <c r="DD34" i="1"/>
  <c r="DA34" i="1"/>
  <c r="CX34" i="1"/>
  <c r="CU34" i="1"/>
  <c r="CR34" i="1"/>
  <c r="CO34" i="1"/>
  <c r="CL34" i="1"/>
  <c r="CI34" i="1"/>
  <c r="CF34" i="1"/>
  <c r="CC34" i="1"/>
  <c r="BZ34" i="1"/>
  <c r="BW34" i="1"/>
  <c r="BT34" i="1"/>
  <c r="BQ34" i="1"/>
  <c r="BN34" i="1"/>
  <c r="BH34" i="1"/>
  <c r="BE34" i="1"/>
  <c r="AV34" i="1"/>
  <c r="AS34" i="1"/>
  <c r="AM34" i="1"/>
  <c r="AJ34" i="1"/>
  <c r="DD33" i="1"/>
  <c r="DA33" i="1"/>
  <c r="CU33" i="1"/>
  <c r="CR33" i="1"/>
  <c r="CO33" i="1"/>
  <c r="CL33" i="1"/>
  <c r="CI33" i="1"/>
  <c r="CF33" i="1"/>
  <c r="CC33" i="1"/>
  <c r="BZ33" i="1"/>
  <c r="BW33" i="1"/>
  <c r="BT33" i="1"/>
  <c r="BQ33" i="1"/>
  <c r="BN33" i="1"/>
  <c r="BH33" i="1"/>
  <c r="BE33" i="1"/>
  <c r="BB33" i="1"/>
  <c r="AY33" i="1"/>
  <c r="AV33" i="1"/>
  <c r="AS33" i="1"/>
  <c r="AP33" i="1"/>
  <c r="AM33" i="1"/>
  <c r="AJ33" i="1"/>
  <c r="DD32" i="1"/>
  <c r="CX32" i="1"/>
  <c r="CU32" i="1"/>
  <c r="CR32" i="1"/>
  <c r="CO32" i="1"/>
  <c r="CL32" i="1"/>
  <c r="CI32" i="1"/>
  <c r="CF32" i="1"/>
  <c r="CC32" i="1"/>
  <c r="BZ32" i="1"/>
  <c r="BW32" i="1"/>
  <c r="BT32" i="1"/>
  <c r="BQ32" i="1"/>
  <c r="BN32" i="1"/>
  <c r="BH32" i="1"/>
  <c r="BE32" i="1"/>
  <c r="BB32" i="1"/>
  <c r="AS32" i="1"/>
  <c r="AM32" i="1"/>
  <c r="AJ32" i="1"/>
  <c r="DD31" i="1"/>
  <c r="DA31" i="1"/>
  <c r="CX31" i="1"/>
  <c r="CU31" i="1"/>
  <c r="CO31" i="1"/>
  <c r="CL31" i="1"/>
  <c r="CF31" i="1"/>
  <c r="CC31" i="1"/>
  <c r="BZ31" i="1"/>
  <c r="BW31" i="1"/>
  <c r="BT31" i="1"/>
  <c r="BQ31" i="1"/>
  <c r="BN31" i="1"/>
  <c r="BK31" i="1"/>
  <c r="BH31" i="1"/>
  <c r="BE31" i="1"/>
  <c r="BB31" i="1"/>
  <c r="AY31" i="1"/>
  <c r="AV31" i="1"/>
  <c r="AS31" i="1"/>
  <c r="AP31" i="1"/>
  <c r="AM31" i="1"/>
  <c r="AJ31" i="1"/>
  <c r="DD30" i="1"/>
  <c r="CX30" i="1"/>
  <c r="CU30" i="1"/>
  <c r="CR30" i="1"/>
  <c r="CO30" i="1"/>
  <c r="CL30" i="1"/>
  <c r="CF30" i="1"/>
  <c r="CC30" i="1"/>
  <c r="BZ30" i="1"/>
  <c r="BW30" i="1"/>
  <c r="BT30" i="1"/>
  <c r="BK30" i="1"/>
  <c r="BH30" i="1"/>
  <c r="BE30" i="1"/>
  <c r="BB30" i="1"/>
  <c r="AY30" i="1"/>
  <c r="AV30" i="1"/>
  <c r="AS30" i="1"/>
  <c r="AP30" i="1"/>
  <c r="AM30" i="1"/>
  <c r="AJ30" i="1"/>
  <c r="DD29" i="1"/>
  <c r="CX29" i="1"/>
  <c r="CU29" i="1"/>
  <c r="CR29" i="1"/>
  <c r="CO29" i="1"/>
  <c r="CL29" i="1"/>
  <c r="CF29" i="1"/>
  <c r="CC29" i="1"/>
  <c r="BZ29" i="1"/>
  <c r="BW29" i="1"/>
  <c r="BT29" i="1"/>
  <c r="BN29" i="1"/>
  <c r="BK29" i="1"/>
  <c r="BH29" i="1"/>
  <c r="BE29" i="1"/>
  <c r="AY29" i="1"/>
  <c r="AS29" i="1"/>
  <c r="AP29" i="1"/>
  <c r="AM29" i="1"/>
  <c r="AJ29" i="1"/>
  <c r="DD28" i="1"/>
  <c r="DA28" i="1"/>
  <c r="CX28" i="1"/>
  <c r="CU28" i="1"/>
  <c r="CR28" i="1"/>
  <c r="CO28" i="1"/>
  <c r="CL28" i="1"/>
  <c r="CI28" i="1"/>
  <c r="CF28" i="1"/>
  <c r="CC28" i="1"/>
  <c r="BZ28" i="1"/>
  <c r="BW28" i="1"/>
  <c r="BT28" i="1"/>
  <c r="BN28" i="1"/>
  <c r="BH28" i="1"/>
  <c r="BE28" i="1"/>
  <c r="BB28" i="1"/>
  <c r="AY28" i="1"/>
  <c r="AV28" i="1"/>
  <c r="AS28" i="1"/>
  <c r="AP28" i="1"/>
  <c r="AM28" i="1"/>
  <c r="AJ28" i="1"/>
  <c r="DD27" i="1"/>
  <c r="CX27" i="1"/>
  <c r="CU27" i="1"/>
  <c r="CR27" i="1"/>
  <c r="CO27" i="1"/>
  <c r="CL27" i="1"/>
  <c r="CF27" i="1"/>
  <c r="CC27" i="1"/>
  <c r="BZ27" i="1"/>
  <c r="BW27" i="1"/>
  <c r="BT27" i="1"/>
  <c r="BK27" i="1"/>
  <c r="BH27" i="1"/>
  <c r="BE27" i="1"/>
  <c r="BB27" i="1"/>
  <c r="AY27" i="1"/>
  <c r="AV27" i="1"/>
  <c r="AS27" i="1"/>
  <c r="AP27" i="1"/>
  <c r="AM27" i="1"/>
  <c r="AJ27" i="1"/>
  <c r="DD26" i="1"/>
  <c r="CU26" i="1"/>
  <c r="CO26" i="1"/>
  <c r="CL26" i="1"/>
  <c r="CF26" i="1"/>
  <c r="CC26" i="1"/>
  <c r="BZ26" i="1"/>
  <c r="BW26" i="1"/>
  <c r="BT26" i="1"/>
  <c r="BQ26" i="1"/>
  <c r="BN26" i="1"/>
  <c r="BK26" i="1"/>
  <c r="BH26" i="1"/>
  <c r="BE26" i="1"/>
  <c r="BB26" i="1"/>
  <c r="AY26" i="1"/>
  <c r="AV26" i="1"/>
  <c r="AS26" i="1"/>
  <c r="AP26" i="1"/>
  <c r="AM26" i="1"/>
  <c r="AJ26" i="1"/>
  <c r="DD25" i="1"/>
  <c r="DA25" i="1"/>
  <c r="CX25" i="1"/>
  <c r="CU25" i="1"/>
  <c r="CR25" i="1"/>
  <c r="CO25" i="1"/>
  <c r="CL25" i="1"/>
  <c r="CI25" i="1"/>
  <c r="CF25" i="1"/>
  <c r="CC25" i="1"/>
  <c r="BZ25" i="1"/>
  <c r="BW25" i="1"/>
  <c r="BT25" i="1"/>
  <c r="BQ25" i="1"/>
  <c r="BN25" i="1"/>
  <c r="BK25" i="1"/>
  <c r="BH25" i="1"/>
  <c r="BE25" i="1"/>
  <c r="BB25" i="1"/>
  <c r="AY25" i="1"/>
  <c r="AS25" i="1"/>
  <c r="AP25" i="1"/>
  <c r="AM25" i="1"/>
  <c r="AJ25" i="1"/>
  <c r="DD24" i="1"/>
  <c r="DA24" i="1"/>
  <c r="CU24" i="1"/>
  <c r="CR24" i="1"/>
  <c r="CO24" i="1"/>
  <c r="CL24" i="1"/>
  <c r="BZ24" i="1"/>
  <c r="BW24" i="1"/>
  <c r="BT24" i="1"/>
  <c r="BQ24" i="1"/>
  <c r="BN24" i="1"/>
  <c r="BK24" i="1"/>
  <c r="BH24" i="1"/>
  <c r="BE24" i="1"/>
  <c r="BB24" i="1"/>
  <c r="AY24" i="1"/>
  <c r="AV24" i="1"/>
  <c r="AS24" i="1"/>
  <c r="AP24" i="1"/>
  <c r="AJ24" i="1"/>
  <c r="DD23" i="1"/>
  <c r="DA23" i="1"/>
  <c r="CX23" i="1"/>
  <c r="CU23" i="1"/>
  <c r="CR23" i="1"/>
  <c r="CO23" i="1"/>
  <c r="CL23" i="1"/>
  <c r="CI23" i="1"/>
  <c r="CC23" i="1"/>
  <c r="BZ23" i="1"/>
  <c r="BW23" i="1"/>
  <c r="BT23" i="1"/>
  <c r="BK23" i="1"/>
  <c r="BH23" i="1"/>
  <c r="BE23" i="1"/>
  <c r="BB23" i="1"/>
  <c r="AY23" i="1"/>
  <c r="AV23" i="1"/>
  <c r="AP23" i="1"/>
  <c r="AM23" i="1"/>
  <c r="AJ23" i="1"/>
  <c r="DD22" i="1"/>
  <c r="DA22" i="1"/>
  <c r="CX22" i="1"/>
  <c r="CU22" i="1"/>
  <c r="CR22" i="1"/>
  <c r="CO22" i="1"/>
  <c r="CL22" i="1"/>
  <c r="CI22" i="1"/>
  <c r="CC22" i="1"/>
  <c r="BZ22" i="1"/>
  <c r="BW22" i="1"/>
  <c r="BN22" i="1"/>
  <c r="BK22" i="1"/>
  <c r="BH22" i="1"/>
  <c r="BE22" i="1"/>
  <c r="BB22" i="1"/>
  <c r="AY22" i="1"/>
  <c r="AS22" i="1"/>
  <c r="AP22" i="1"/>
  <c r="AM22" i="1"/>
  <c r="AJ22" i="1"/>
  <c r="DD21" i="1"/>
  <c r="DA21" i="1"/>
  <c r="CX21" i="1"/>
  <c r="CU21" i="1"/>
  <c r="CR21" i="1"/>
  <c r="CO21" i="1"/>
  <c r="CI21" i="1"/>
  <c r="CF21" i="1"/>
  <c r="CC21" i="1"/>
  <c r="BZ21" i="1"/>
  <c r="BW21" i="1"/>
  <c r="BT21" i="1"/>
  <c r="BN21" i="1"/>
  <c r="BK21" i="1"/>
  <c r="BH21" i="1"/>
  <c r="BE21" i="1"/>
  <c r="BB21" i="1"/>
  <c r="AV21" i="1"/>
  <c r="AS21" i="1"/>
  <c r="AM21" i="1"/>
  <c r="AJ21" i="1"/>
  <c r="DD20" i="1"/>
  <c r="DA20" i="1"/>
  <c r="CX20" i="1"/>
  <c r="CU20" i="1"/>
  <c r="CR20" i="1"/>
  <c r="CO20" i="1"/>
  <c r="CL20" i="1"/>
  <c r="CI20" i="1"/>
  <c r="CC20" i="1"/>
  <c r="BZ20" i="1"/>
  <c r="BW20" i="1"/>
  <c r="BN20" i="1"/>
  <c r="BK20" i="1"/>
  <c r="BH20" i="1"/>
  <c r="BE20" i="1"/>
  <c r="BB20" i="1"/>
  <c r="AV20" i="1"/>
  <c r="AS20" i="1"/>
  <c r="AM20" i="1"/>
  <c r="AJ20" i="1"/>
  <c r="DD19" i="1"/>
  <c r="DA19" i="1"/>
  <c r="CX19" i="1"/>
  <c r="CU19" i="1"/>
  <c r="CR19" i="1"/>
  <c r="CO19" i="1"/>
  <c r="CL19" i="1"/>
  <c r="CI19" i="1"/>
  <c r="CC19" i="1"/>
  <c r="BZ19" i="1"/>
  <c r="BW19" i="1"/>
  <c r="BN19" i="1"/>
  <c r="BK19" i="1"/>
  <c r="BH19" i="1"/>
  <c r="BE19" i="1"/>
  <c r="BB19" i="1"/>
  <c r="AV19" i="1"/>
  <c r="AS19" i="1"/>
  <c r="AP19" i="1"/>
  <c r="DD18" i="1"/>
  <c r="DA18" i="1"/>
  <c r="CX18" i="1"/>
  <c r="CU18" i="1"/>
  <c r="CR18" i="1"/>
  <c r="CO18" i="1"/>
  <c r="CL18" i="1"/>
  <c r="CI18" i="1"/>
  <c r="CF18" i="1"/>
  <c r="CC18" i="1"/>
  <c r="BZ18" i="1"/>
  <c r="BW18" i="1"/>
  <c r="BQ18" i="1"/>
  <c r="BN18" i="1"/>
  <c r="BK18" i="1"/>
  <c r="BH18" i="1"/>
  <c r="BE18" i="1"/>
  <c r="BB18" i="1"/>
  <c r="AV18" i="1"/>
  <c r="AS18" i="1"/>
  <c r="AP18" i="1"/>
  <c r="AJ18" i="1"/>
  <c r="DD17" i="1"/>
  <c r="DA17" i="1"/>
  <c r="CX17" i="1"/>
  <c r="CU17" i="1"/>
  <c r="CR17" i="1"/>
  <c r="CO17" i="1"/>
  <c r="CL17" i="1"/>
  <c r="CI17" i="1"/>
  <c r="CF17" i="1"/>
  <c r="CC17" i="1"/>
  <c r="BZ17" i="1"/>
  <c r="BW17" i="1"/>
  <c r="BQ17" i="1"/>
  <c r="BK17" i="1"/>
  <c r="BH17" i="1"/>
  <c r="BE17" i="1"/>
  <c r="BB17" i="1"/>
  <c r="AY17" i="1"/>
  <c r="AV17" i="1"/>
  <c r="AP17" i="1"/>
  <c r="AM17" i="1"/>
  <c r="DD16" i="1"/>
  <c r="DA16" i="1"/>
  <c r="CX16" i="1"/>
  <c r="CU16" i="1"/>
  <c r="CR16" i="1"/>
  <c r="CO16" i="1"/>
  <c r="CI16" i="1"/>
  <c r="CF16" i="1"/>
  <c r="CC16" i="1"/>
  <c r="BZ16" i="1"/>
  <c r="BW16" i="1"/>
  <c r="BT16" i="1"/>
  <c r="BQ16" i="1"/>
  <c r="BK16" i="1"/>
  <c r="BH16" i="1"/>
  <c r="BE16" i="1"/>
  <c r="BB16" i="1"/>
  <c r="AV16" i="1"/>
  <c r="AS16" i="1"/>
  <c r="AP16" i="1"/>
  <c r="AM16" i="1"/>
  <c r="DD15" i="1"/>
  <c r="DA15" i="1"/>
  <c r="CX15" i="1"/>
  <c r="CU15" i="1"/>
  <c r="CR15" i="1"/>
  <c r="CO15" i="1"/>
  <c r="CL15" i="1"/>
  <c r="CI15" i="1"/>
  <c r="CF15" i="1"/>
  <c r="CC15" i="1"/>
  <c r="BZ15" i="1"/>
  <c r="BW15" i="1"/>
  <c r="BT15" i="1"/>
  <c r="BQ15" i="1"/>
  <c r="BK15" i="1"/>
  <c r="BH15" i="1"/>
  <c r="BE15" i="1"/>
  <c r="BB15" i="1"/>
  <c r="AY15" i="1"/>
  <c r="AV15" i="1"/>
  <c r="AS15" i="1"/>
  <c r="AP15" i="1"/>
  <c r="AM15" i="1"/>
  <c r="DD14" i="1"/>
  <c r="DA14" i="1"/>
  <c r="CX14" i="1"/>
  <c r="CU14" i="1"/>
  <c r="CR14" i="1"/>
  <c r="CO14" i="1"/>
  <c r="CL14" i="1"/>
  <c r="CI14" i="1"/>
  <c r="CF14" i="1"/>
  <c r="CC14" i="1"/>
  <c r="BZ14" i="1"/>
  <c r="BW14" i="1"/>
  <c r="BT14" i="1"/>
  <c r="BQ14" i="1"/>
  <c r="BN14" i="1"/>
  <c r="BH14" i="1"/>
  <c r="BE14" i="1"/>
  <c r="BB14" i="1"/>
  <c r="AY14" i="1"/>
  <c r="AV14" i="1"/>
  <c r="AS14" i="1"/>
  <c r="AP14" i="1"/>
  <c r="AM14" i="1"/>
  <c r="AJ14" i="1"/>
  <c r="DD13" i="1"/>
  <c r="DA13" i="1"/>
  <c r="CX13" i="1"/>
  <c r="CU13" i="1"/>
  <c r="CR13" i="1"/>
  <c r="CO13" i="1"/>
  <c r="CL13" i="1"/>
  <c r="CI13" i="1"/>
  <c r="CF13" i="1"/>
  <c r="CC13" i="1"/>
  <c r="BZ13" i="1"/>
  <c r="BT13" i="1"/>
  <c r="BQ13" i="1"/>
  <c r="BN13" i="1"/>
  <c r="BK13" i="1"/>
  <c r="BH13" i="1"/>
  <c r="BE13" i="1"/>
  <c r="BB13" i="1"/>
  <c r="AY13" i="1"/>
  <c r="AS13" i="1"/>
  <c r="AP13" i="1"/>
  <c r="AM13" i="1"/>
  <c r="AJ13" i="1"/>
  <c r="DD12" i="1"/>
  <c r="DA12" i="1"/>
  <c r="CX12" i="1"/>
  <c r="CU12" i="1"/>
  <c r="CR12" i="1"/>
  <c r="CO12" i="1"/>
  <c r="CL12" i="1"/>
  <c r="CI12" i="1"/>
  <c r="CF12" i="1"/>
  <c r="CC12" i="1"/>
  <c r="BZ12" i="1"/>
  <c r="BW12" i="1"/>
  <c r="BT12" i="1"/>
  <c r="BQ12" i="1"/>
  <c r="BN12" i="1"/>
  <c r="BK12" i="1"/>
  <c r="BH12" i="1"/>
  <c r="BE12" i="1"/>
  <c r="BB12" i="1"/>
  <c r="AY12" i="1"/>
  <c r="AV12" i="1"/>
  <c r="AS12" i="1"/>
  <c r="AM12" i="1"/>
  <c r="AJ12" i="1"/>
  <c r="DD11" i="1"/>
  <c r="DA11" i="1"/>
  <c r="CX11" i="1"/>
  <c r="CU11" i="1"/>
  <c r="CR11" i="1"/>
  <c r="CO11" i="1"/>
  <c r="CL11" i="1"/>
  <c r="CI11" i="1"/>
  <c r="CF11" i="1"/>
  <c r="CC11" i="1"/>
  <c r="BZ11" i="1"/>
  <c r="BW11" i="1"/>
  <c r="BT11" i="1"/>
  <c r="BQ11" i="1"/>
  <c r="BN11" i="1"/>
  <c r="BK11" i="1"/>
  <c r="BH11" i="1"/>
  <c r="BE11" i="1"/>
  <c r="BB11" i="1"/>
  <c r="AY11" i="1"/>
  <c r="AV11" i="1"/>
  <c r="AS11" i="1"/>
  <c r="AM11" i="1"/>
  <c r="AJ11" i="1"/>
  <c r="DD8" i="1"/>
  <c r="DA8" i="1"/>
  <c r="CX8" i="1"/>
  <c r="CU8" i="1"/>
  <c r="CR8" i="1"/>
  <c r="CL8" i="1"/>
  <c r="CI8" i="1"/>
  <c r="CC8" i="1"/>
  <c r="BZ8" i="1"/>
  <c r="BW8" i="1"/>
  <c r="BT8" i="1"/>
  <c r="BQ8" i="1"/>
  <c r="BN8" i="1"/>
  <c r="BK8" i="1"/>
  <c r="BH8" i="1"/>
  <c r="BE8" i="1"/>
  <c r="BB8" i="1"/>
  <c r="AY8" i="1"/>
  <c r="AV8" i="1"/>
  <c r="AS8" i="1"/>
  <c r="AP8" i="1"/>
  <c r="AM8" i="1"/>
  <c r="AJ8" i="1"/>
  <c r="DD7" i="1"/>
  <c r="DA7" i="1"/>
  <c r="CX7" i="1"/>
  <c r="CU7" i="1"/>
  <c r="CR7" i="1"/>
  <c r="CO7" i="1"/>
  <c r="CL7" i="1"/>
  <c r="CI7" i="1"/>
  <c r="CC7" i="1"/>
  <c r="BZ7" i="1"/>
  <c r="BW7" i="1"/>
  <c r="BT7" i="1"/>
  <c r="BQ7" i="1"/>
  <c r="BN7" i="1"/>
  <c r="BK7" i="1"/>
  <c r="BH7" i="1"/>
  <c r="BE7" i="1"/>
  <c r="BB7" i="1"/>
  <c r="AY7" i="1"/>
  <c r="AV7" i="1"/>
  <c r="AS7" i="1"/>
  <c r="AP7" i="1"/>
  <c r="AM7" i="1"/>
  <c r="AJ7" i="1"/>
  <c r="DD6" i="1"/>
  <c r="DA6" i="1"/>
  <c r="CX6" i="1"/>
  <c r="CU6" i="1"/>
  <c r="CR6" i="1"/>
  <c r="CL6" i="1"/>
  <c r="CI6" i="1"/>
  <c r="CC6" i="1"/>
  <c r="BZ6" i="1"/>
  <c r="BW6" i="1"/>
  <c r="BT6" i="1"/>
  <c r="BQ6" i="1"/>
  <c r="BN6" i="1"/>
  <c r="BK6" i="1"/>
  <c r="BH6" i="1"/>
  <c r="BE6" i="1"/>
  <c r="BB6" i="1"/>
  <c r="AY6" i="1"/>
  <c r="AV6" i="1"/>
  <c r="AS6" i="1"/>
  <c r="AP6" i="1"/>
  <c r="AM6" i="1"/>
  <c r="AJ6" i="1"/>
  <c r="DD5" i="1"/>
  <c r="DA5" i="1"/>
  <c r="CX5" i="1"/>
  <c r="CU5" i="1"/>
  <c r="CR5" i="1"/>
  <c r="CL5" i="1"/>
  <c r="CI5" i="1"/>
  <c r="CC5" i="1"/>
  <c r="BZ5" i="1"/>
  <c r="BW5" i="1"/>
  <c r="BT5" i="1"/>
  <c r="BQ5" i="1"/>
  <c r="BN5" i="1"/>
  <c r="BK5" i="1"/>
  <c r="BH5" i="1"/>
  <c r="BE5" i="1"/>
  <c r="BB5" i="1"/>
  <c r="AY5" i="1"/>
  <c r="AV5" i="1"/>
  <c r="AS5" i="1"/>
  <c r="AM5" i="1"/>
  <c r="AJ5" i="1"/>
  <c r="BW61" i="1" l="1"/>
  <c r="CC59" i="1"/>
  <c r="CC36" i="1"/>
  <c r="CC43" i="1"/>
  <c r="CC55" i="1"/>
  <c r="CC47" i="1"/>
  <c r="BW10" i="1"/>
  <c r="CC24" i="1"/>
  <c r="DP66" i="1"/>
  <c r="EN55" i="1"/>
  <c r="DJ70" i="1"/>
  <c r="DD56" i="1"/>
  <c r="CU86" i="1"/>
  <c r="CI50" i="1"/>
  <c r="KZ84" i="1"/>
  <c r="IR84" i="1"/>
  <c r="IO84" i="1"/>
  <c r="IL84" i="1"/>
  <c r="II84" i="1"/>
  <c r="IF84" i="1"/>
  <c r="IC84" i="1"/>
  <c r="AG84" i="1"/>
  <c r="AD84" i="1"/>
  <c r="AA84" i="1"/>
  <c r="X84" i="1"/>
  <c r="U84" i="1"/>
  <c r="R84" i="1"/>
  <c r="O84" i="1"/>
  <c r="KZ83" i="1"/>
  <c r="IR83" i="1"/>
  <c r="IO83" i="1"/>
  <c r="IL83" i="1"/>
  <c r="II83" i="1"/>
  <c r="IF83" i="1"/>
  <c r="IC83" i="1"/>
  <c r="AG83" i="1"/>
  <c r="AD83" i="1"/>
  <c r="AA83" i="1"/>
  <c r="X83" i="1"/>
  <c r="U83" i="1"/>
  <c r="R83" i="1"/>
  <c r="O83" i="1"/>
  <c r="KZ82" i="1"/>
  <c r="IR82" i="1"/>
  <c r="IO82" i="1"/>
  <c r="IL82" i="1"/>
  <c r="II82" i="1"/>
  <c r="IF82" i="1"/>
  <c r="IC82" i="1"/>
  <c r="AG82" i="1"/>
  <c r="AD82" i="1"/>
  <c r="AA82" i="1"/>
  <c r="X82" i="1"/>
  <c r="U82" i="1"/>
  <c r="R82" i="1"/>
  <c r="O82" i="1"/>
  <c r="KZ81" i="1"/>
  <c r="IR81" i="1"/>
  <c r="IO81" i="1"/>
  <c r="IL81" i="1"/>
  <c r="II81" i="1"/>
  <c r="IF81" i="1"/>
  <c r="IC81" i="1"/>
  <c r="AG81" i="1"/>
  <c r="AD81" i="1"/>
  <c r="AA81" i="1"/>
  <c r="X81" i="1"/>
  <c r="U81" i="1"/>
  <c r="R81" i="1"/>
  <c r="O81" i="1"/>
  <c r="KZ80" i="1"/>
  <c r="IR80" i="1"/>
  <c r="IO80" i="1"/>
  <c r="IL80" i="1"/>
  <c r="II80" i="1"/>
  <c r="IF80" i="1"/>
  <c r="IC80" i="1"/>
  <c r="AD80" i="1"/>
  <c r="AA80" i="1"/>
  <c r="X80" i="1"/>
  <c r="U80" i="1"/>
  <c r="R80" i="1"/>
  <c r="O80" i="1"/>
  <c r="KZ79" i="1"/>
  <c r="IR79" i="1"/>
  <c r="IO79" i="1"/>
  <c r="IL79" i="1"/>
  <c r="II79" i="1"/>
  <c r="IF79" i="1"/>
  <c r="IC79" i="1"/>
  <c r="AG79" i="1"/>
  <c r="AD79" i="1"/>
  <c r="AA79" i="1"/>
  <c r="X79" i="1"/>
  <c r="U79" i="1"/>
  <c r="R79" i="1"/>
  <c r="O79" i="1"/>
  <c r="KZ78" i="1"/>
  <c r="IR78" i="1"/>
  <c r="IO78" i="1"/>
  <c r="IL78" i="1"/>
  <c r="II78" i="1"/>
  <c r="IF78" i="1"/>
  <c r="IC78" i="1"/>
  <c r="AG78" i="1"/>
  <c r="AD78" i="1"/>
  <c r="X78" i="1"/>
  <c r="U78" i="1"/>
  <c r="R78" i="1"/>
  <c r="O78" i="1"/>
  <c r="KZ77" i="1"/>
  <c r="IR77" i="1"/>
  <c r="IO77" i="1"/>
  <c r="IL77" i="1"/>
  <c r="II77" i="1"/>
  <c r="IF77" i="1"/>
  <c r="IC77" i="1"/>
  <c r="AD77" i="1"/>
  <c r="AA77" i="1"/>
  <c r="X77" i="1"/>
  <c r="U77" i="1"/>
  <c r="R77" i="1"/>
  <c r="O77" i="1"/>
  <c r="KZ76" i="1"/>
  <c r="IR76" i="1"/>
  <c r="IO76" i="1"/>
  <c r="IL76" i="1"/>
  <c r="II76" i="1"/>
  <c r="IF76" i="1"/>
  <c r="IC76" i="1"/>
  <c r="AG76" i="1"/>
  <c r="AD76" i="1"/>
  <c r="AA76" i="1"/>
  <c r="X76" i="1"/>
  <c r="U76" i="1"/>
  <c r="R76" i="1"/>
  <c r="O76" i="1"/>
  <c r="KZ75" i="1"/>
  <c r="IR75" i="1"/>
  <c r="IO75" i="1"/>
  <c r="IL75" i="1"/>
  <c r="II75" i="1"/>
  <c r="IF75" i="1"/>
  <c r="IC75" i="1"/>
  <c r="AD75" i="1"/>
  <c r="AA75" i="1"/>
  <c r="X75" i="1"/>
  <c r="U75" i="1"/>
  <c r="R75" i="1"/>
  <c r="O75" i="1"/>
  <c r="KZ74" i="1"/>
  <c r="IR74" i="1"/>
  <c r="IO74" i="1"/>
  <c r="IL74" i="1"/>
  <c r="II74" i="1"/>
  <c r="IF74" i="1"/>
  <c r="IC74" i="1"/>
  <c r="AG74" i="1"/>
  <c r="AD74" i="1"/>
  <c r="X74" i="1"/>
  <c r="U74" i="1"/>
  <c r="R74" i="1"/>
  <c r="O74" i="1"/>
  <c r="KZ73" i="1"/>
  <c r="IR73" i="1"/>
  <c r="IO73" i="1"/>
  <c r="IL73" i="1"/>
  <c r="II73" i="1"/>
  <c r="IF73" i="1"/>
  <c r="IC73" i="1"/>
  <c r="AD73" i="1"/>
  <c r="AA73" i="1"/>
  <c r="X73" i="1"/>
  <c r="U73" i="1"/>
  <c r="R73" i="1"/>
  <c r="O73" i="1"/>
  <c r="KZ72" i="1"/>
  <c r="IR72" i="1"/>
  <c r="IO72" i="1"/>
  <c r="IL72" i="1"/>
  <c r="II72" i="1"/>
  <c r="IF72" i="1"/>
  <c r="IC72" i="1"/>
  <c r="AG72" i="1"/>
  <c r="AD72" i="1"/>
  <c r="AA72" i="1"/>
  <c r="X72" i="1"/>
  <c r="U72" i="1"/>
  <c r="R72" i="1"/>
  <c r="O72" i="1"/>
  <c r="KZ71" i="1"/>
  <c r="IR71" i="1"/>
  <c r="IO71" i="1"/>
  <c r="IL71" i="1"/>
  <c r="II71" i="1"/>
  <c r="IF71" i="1"/>
  <c r="IC71" i="1"/>
  <c r="AG71" i="1"/>
  <c r="AD71" i="1"/>
  <c r="X71" i="1"/>
  <c r="U71" i="1"/>
  <c r="R71" i="1"/>
  <c r="O71" i="1"/>
  <c r="KZ70" i="1"/>
  <c r="IR70" i="1"/>
  <c r="IO70" i="1"/>
  <c r="IL70" i="1"/>
  <c r="II70" i="1"/>
  <c r="IF70" i="1"/>
  <c r="IC70" i="1"/>
  <c r="AG70" i="1"/>
  <c r="AD70" i="1"/>
  <c r="AA70" i="1"/>
  <c r="X70" i="1"/>
  <c r="U70" i="1"/>
  <c r="R70" i="1"/>
  <c r="O70" i="1"/>
  <c r="KZ69" i="1"/>
  <c r="IR69" i="1"/>
  <c r="IO69" i="1"/>
  <c r="IL69" i="1"/>
  <c r="II69" i="1"/>
  <c r="IF69" i="1"/>
  <c r="IC69" i="1"/>
  <c r="AD69" i="1"/>
  <c r="AA69" i="1"/>
  <c r="X69" i="1"/>
  <c r="U69" i="1"/>
  <c r="R69" i="1"/>
  <c r="O69" i="1"/>
  <c r="KZ68" i="1"/>
  <c r="IR68" i="1"/>
  <c r="IO68" i="1"/>
  <c r="IL68" i="1"/>
  <c r="II68" i="1"/>
  <c r="IF68" i="1"/>
  <c r="IC68" i="1"/>
  <c r="AG68" i="1"/>
  <c r="AD68" i="1"/>
  <c r="AA68" i="1"/>
  <c r="X68" i="1"/>
  <c r="U68" i="1"/>
  <c r="R68" i="1"/>
  <c r="O68" i="1"/>
  <c r="KZ67" i="1"/>
  <c r="IR67" i="1"/>
  <c r="IO67" i="1"/>
  <c r="IL67" i="1"/>
  <c r="II67" i="1"/>
  <c r="IF67" i="1"/>
  <c r="IC67" i="1"/>
  <c r="AG67" i="1"/>
  <c r="AD67" i="1"/>
  <c r="AA67" i="1"/>
  <c r="X67" i="1"/>
  <c r="U67" i="1"/>
  <c r="R67" i="1"/>
  <c r="O67" i="1"/>
  <c r="KZ66" i="1"/>
  <c r="IR66" i="1"/>
  <c r="IO66" i="1"/>
  <c r="IL66" i="1"/>
  <c r="II66" i="1"/>
  <c r="IF66" i="1"/>
  <c r="IC66" i="1"/>
  <c r="AG66" i="1"/>
  <c r="AD66" i="1"/>
  <c r="AA66" i="1"/>
  <c r="X66" i="1"/>
  <c r="U66" i="1"/>
  <c r="R66" i="1"/>
  <c r="O66" i="1"/>
  <c r="KZ65" i="1"/>
  <c r="IR65" i="1"/>
  <c r="IO65" i="1"/>
  <c r="IL65" i="1"/>
  <c r="II65" i="1"/>
  <c r="IF65" i="1"/>
  <c r="IC65" i="1"/>
  <c r="AG65" i="1"/>
  <c r="AD65" i="1"/>
  <c r="AA65" i="1"/>
  <c r="X65" i="1"/>
  <c r="R65" i="1"/>
  <c r="O65" i="1"/>
  <c r="KZ64" i="1"/>
  <c r="IR64" i="1"/>
  <c r="IO64" i="1"/>
  <c r="IL64" i="1"/>
  <c r="II64" i="1"/>
  <c r="IF64" i="1"/>
  <c r="IC64" i="1"/>
  <c r="AG64" i="1"/>
  <c r="AD64" i="1"/>
  <c r="AA64" i="1"/>
  <c r="X64" i="1"/>
  <c r="U64" i="1"/>
  <c r="R64" i="1"/>
  <c r="O64" i="1"/>
  <c r="KZ63" i="1"/>
  <c r="IR63" i="1"/>
  <c r="IO63" i="1"/>
  <c r="IL63" i="1"/>
  <c r="II63" i="1"/>
  <c r="IF63" i="1"/>
  <c r="IC63" i="1"/>
  <c r="AG63" i="1"/>
  <c r="AD63" i="1"/>
  <c r="AA63" i="1"/>
  <c r="X63" i="1"/>
  <c r="U63" i="1"/>
  <c r="R63" i="1"/>
  <c r="O63" i="1"/>
  <c r="KZ62" i="1"/>
  <c r="IR62" i="1"/>
  <c r="IO62" i="1"/>
  <c r="IL62" i="1"/>
  <c r="II62" i="1"/>
  <c r="IF62" i="1"/>
  <c r="IC62" i="1"/>
  <c r="AG62" i="1"/>
  <c r="AD62" i="1"/>
  <c r="AA62" i="1"/>
  <c r="X62" i="1"/>
  <c r="U62" i="1"/>
  <c r="R62" i="1"/>
  <c r="O62" i="1"/>
  <c r="KZ61" i="1"/>
  <c r="IR61" i="1"/>
  <c r="IO61" i="1"/>
  <c r="IL61" i="1"/>
  <c r="II61" i="1"/>
  <c r="IF61" i="1"/>
  <c r="IC61" i="1"/>
  <c r="AG61" i="1"/>
  <c r="AD61" i="1"/>
  <c r="AA61" i="1"/>
  <c r="X61" i="1"/>
  <c r="U61" i="1"/>
  <c r="R61" i="1"/>
  <c r="O61" i="1"/>
  <c r="KZ60" i="1"/>
  <c r="IR60" i="1"/>
  <c r="IO60" i="1"/>
  <c r="IL60" i="1"/>
  <c r="II60" i="1"/>
  <c r="IF60" i="1"/>
  <c r="IC60" i="1"/>
  <c r="AG60" i="1"/>
  <c r="AD60" i="1"/>
  <c r="AA60" i="1"/>
  <c r="X60" i="1"/>
  <c r="U60" i="1"/>
  <c r="R60" i="1"/>
  <c r="O60" i="1"/>
  <c r="KZ59" i="1"/>
  <c r="IR59" i="1"/>
  <c r="IO59" i="1"/>
  <c r="IL59" i="1"/>
  <c r="II59" i="1"/>
  <c r="IF59" i="1"/>
  <c r="IC59" i="1"/>
  <c r="AG59" i="1"/>
  <c r="AD59" i="1"/>
  <c r="AA59" i="1"/>
  <c r="X59" i="1"/>
  <c r="U59" i="1"/>
  <c r="R59" i="1"/>
  <c r="O59" i="1"/>
  <c r="KZ58" i="1"/>
  <c r="IR58" i="1"/>
  <c r="IO58" i="1"/>
  <c r="IL58" i="1"/>
  <c r="II58" i="1"/>
  <c r="IF58" i="1"/>
  <c r="IC58" i="1"/>
  <c r="AG58" i="1"/>
  <c r="AD58" i="1"/>
  <c r="AA58" i="1"/>
  <c r="X58" i="1"/>
  <c r="U58" i="1"/>
  <c r="R58" i="1"/>
  <c r="O58" i="1"/>
  <c r="KZ57" i="1"/>
  <c r="IR57" i="1"/>
  <c r="IO57" i="1"/>
  <c r="IL57" i="1"/>
  <c r="II57" i="1"/>
  <c r="IF57" i="1"/>
  <c r="IC57" i="1"/>
  <c r="AG57" i="1"/>
  <c r="AA57" i="1"/>
  <c r="X57" i="1"/>
  <c r="U57" i="1"/>
  <c r="R57" i="1"/>
  <c r="O57" i="1"/>
  <c r="KZ56" i="1"/>
  <c r="IR56" i="1"/>
  <c r="IO56" i="1"/>
  <c r="IL56" i="1"/>
  <c r="II56" i="1"/>
  <c r="IF56" i="1"/>
  <c r="IC56" i="1"/>
  <c r="AG56" i="1"/>
  <c r="AD56" i="1"/>
  <c r="AA56" i="1"/>
  <c r="X56" i="1"/>
  <c r="U56" i="1"/>
  <c r="R56" i="1"/>
  <c r="O56" i="1"/>
  <c r="KZ55" i="1"/>
  <c r="IR55" i="1"/>
  <c r="IO55" i="1"/>
  <c r="IL55" i="1"/>
  <c r="II55" i="1"/>
  <c r="IF55" i="1"/>
  <c r="IC55" i="1"/>
  <c r="AG55" i="1"/>
  <c r="AD55" i="1"/>
  <c r="AA55" i="1"/>
  <c r="X55" i="1"/>
  <c r="U55" i="1"/>
  <c r="R55" i="1"/>
  <c r="O55" i="1"/>
  <c r="KZ54" i="1"/>
  <c r="IR54" i="1"/>
  <c r="IO54" i="1"/>
  <c r="IL54" i="1"/>
  <c r="II54" i="1"/>
  <c r="IF54" i="1"/>
  <c r="IC54" i="1"/>
  <c r="AG54" i="1"/>
  <c r="AD54" i="1"/>
  <c r="AA54" i="1"/>
  <c r="X54" i="1"/>
  <c r="U54" i="1"/>
  <c r="R54" i="1"/>
  <c r="O54" i="1"/>
  <c r="KZ53" i="1"/>
  <c r="IR53" i="1"/>
  <c r="IO53" i="1"/>
  <c r="IL53" i="1"/>
  <c r="II53" i="1"/>
  <c r="IF53" i="1"/>
  <c r="IC53" i="1"/>
  <c r="AG53" i="1"/>
  <c r="AD53" i="1"/>
  <c r="AA53" i="1"/>
  <c r="X53" i="1"/>
  <c r="U53" i="1"/>
  <c r="R53" i="1"/>
  <c r="KZ52" i="1"/>
  <c r="IR52" i="1"/>
  <c r="IO52" i="1"/>
  <c r="IL52" i="1"/>
  <c r="II52" i="1"/>
  <c r="IF52" i="1"/>
  <c r="IC52" i="1"/>
  <c r="AG52" i="1"/>
  <c r="AD52" i="1"/>
  <c r="AA52" i="1"/>
  <c r="X52" i="1"/>
  <c r="U52" i="1"/>
  <c r="O52" i="1"/>
  <c r="KZ51" i="1"/>
  <c r="IR51" i="1"/>
  <c r="IO51" i="1"/>
  <c r="IL51" i="1"/>
  <c r="II51" i="1"/>
  <c r="IF51" i="1"/>
  <c r="IC51" i="1"/>
  <c r="AG51" i="1"/>
  <c r="AD51" i="1"/>
  <c r="AA51" i="1"/>
  <c r="X51" i="1"/>
  <c r="U51" i="1"/>
  <c r="R51" i="1"/>
  <c r="O51" i="1"/>
  <c r="KZ50" i="1"/>
  <c r="IR50" i="1"/>
  <c r="IO50" i="1"/>
  <c r="IL50" i="1"/>
  <c r="II50" i="1"/>
  <c r="IF50" i="1"/>
  <c r="IC50" i="1"/>
  <c r="AG50" i="1"/>
  <c r="AD50" i="1"/>
  <c r="AA50" i="1"/>
  <c r="X50" i="1"/>
  <c r="U50" i="1"/>
  <c r="R50" i="1"/>
  <c r="O50" i="1"/>
  <c r="KZ49" i="1"/>
  <c r="IR49" i="1"/>
  <c r="IO49" i="1"/>
  <c r="IL49" i="1"/>
  <c r="II49" i="1"/>
  <c r="IF49" i="1"/>
  <c r="IC49" i="1"/>
  <c r="AG49" i="1"/>
  <c r="AD49" i="1"/>
  <c r="AA49" i="1"/>
  <c r="X49" i="1"/>
  <c r="R49" i="1"/>
  <c r="O49" i="1"/>
  <c r="KZ48" i="1"/>
  <c r="IR48" i="1"/>
  <c r="IO48" i="1"/>
  <c r="IL48" i="1"/>
  <c r="II48" i="1"/>
  <c r="IF48" i="1"/>
  <c r="IC48" i="1"/>
  <c r="AG48" i="1"/>
  <c r="AD48" i="1"/>
  <c r="AA48" i="1"/>
  <c r="R48" i="1"/>
  <c r="O48" i="1"/>
  <c r="KZ47" i="1"/>
  <c r="IR47" i="1"/>
  <c r="IO47" i="1"/>
  <c r="IL47" i="1"/>
  <c r="II47" i="1"/>
  <c r="IF47" i="1"/>
  <c r="IC47" i="1"/>
  <c r="AG47" i="1"/>
  <c r="AD47" i="1"/>
  <c r="AA47" i="1"/>
  <c r="X47" i="1"/>
  <c r="R47" i="1"/>
  <c r="O47" i="1"/>
  <c r="KZ46" i="1"/>
  <c r="IR46" i="1"/>
  <c r="IO46" i="1"/>
  <c r="IL46" i="1"/>
  <c r="II46" i="1"/>
  <c r="IF46" i="1"/>
  <c r="IC46" i="1"/>
  <c r="AG46" i="1"/>
  <c r="AD46" i="1"/>
  <c r="AA46" i="1"/>
  <c r="X46" i="1"/>
  <c r="R46" i="1"/>
  <c r="O46" i="1"/>
  <c r="KZ45" i="1"/>
  <c r="IR45" i="1"/>
  <c r="IO45" i="1"/>
  <c r="IL45" i="1"/>
  <c r="II45" i="1"/>
  <c r="IF45" i="1"/>
  <c r="IC45" i="1"/>
  <c r="AG45" i="1"/>
  <c r="AD45" i="1"/>
  <c r="AA45" i="1"/>
  <c r="X45" i="1"/>
  <c r="U45" i="1"/>
  <c r="R45" i="1"/>
  <c r="O45" i="1"/>
  <c r="KZ44" i="1"/>
  <c r="IR44" i="1"/>
  <c r="IO44" i="1"/>
  <c r="IL44" i="1"/>
  <c r="II44" i="1"/>
  <c r="IF44" i="1"/>
  <c r="IC44" i="1"/>
  <c r="AG44" i="1"/>
  <c r="AA44" i="1"/>
  <c r="X44" i="1"/>
  <c r="U44" i="1"/>
  <c r="R44" i="1"/>
  <c r="KZ43" i="1"/>
  <c r="IR43" i="1"/>
  <c r="IO43" i="1"/>
  <c r="IL43" i="1"/>
  <c r="II43" i="1"/>
  <c r="IF43" i="1"/>
  <c r="IC43" i="1"/>
  <c r="AG43" i="1"/>
  <c r="AA43" i="1"/>
  <c r="X43" i="1"/>
  <c r="U43" i="1"/>
  <c r="R43" i="1"/>
  <c r="O43" i="1"/>
  <c r="KZ42" i="1"/>
  <c r="IR42" i="1"/>
  <c r="IO42" i="1"/>
  <c r="IL42" i="1"/>
  <c r="II42" i="1"/>
  <c r="IF42" i="1"/>
  <c r="IC42" i="1"/>
  <c r="AG42" i="1"/>
  <c r="AA42" i="1"/>
  <c r="X42" i="1"/>
  <c r="U42" i="1"/>
  <c r="R42" i="1"/>
  <c r="O42" i="1"/>
  <c r="KZ41" i="1"/>
  <c r="IR41" i="1"/>
  <c r="IO41" i="1"/>
  <c r="IL41" i="1"/>
  <c r="II41" i="1"/>
  <c r="IF41" i="1"/>
  <c r="IC41" i="1"/>
  <c r="AG41" i="1"/>
  <c r="AD41" i="1"/>
  <c r="AA41" i="1"/>
  <c r="U41" i="1"/>
  <c r="R41" i="1"/>
  <c r="O41" i="1"/>
  <c r="KZ40" i="1"/>
  <c r="IR40" i="1"/>
  <c r="IO40" i="1"/>
  <c r="IL40" i="1"/>
  <c r="II40" i="1"/>
  <c r="IF40" i="1"/>
  <c r="IC40" i="1"/>
  <c r="AG40" i="1"/>
  <c r="AD40" i="1"/>
  <c r="AA40" i="1"/>
  <c r="X40" i="1"/>
  <c r="U40" i="1"/>
  <c r="R40" i="1"/>
  <c r="O40" i="1"/>
  <c r="KZ39" i="1"/>
  <c r="IR39" i="1"/>
  <c r="IO39" i="1"/>
  <c r="IL39" i="1"/>
  <c r="II39" i="1"/>
  <c r="IF39" i="1"/>
  <c r="IC39" i="1"/>
  <c r="AG39" i="1"/>
  <c r="AD39" i="1"/>
  <c r="AA39" i="1"/>
  <c r="X39" i="1"/>
  <c r="U39" i="1"/>
  <c r="R39" i="1"/>
  <c r="O39" i="1"/>
  <c r="KZ38" i="1"/>
  <c r="IR38" i="1"/>
  <c r="IO38" i="1"/>
  <c r="IL38" i="1"/>
  <c r="II38" i="1"/>
  <c r="IF38" i="1"/>
  <c r="IC38" i="1"/>
  <c r="AG38" i="1"/>
  <c r="AD38" i="1"/>
  <c r="AA38" i="1"/>
  <c r="X38" i="1"/>
  <c r="U38" i="1"/>
  <c r="R38" i="1"/>
  <c r="KZ37" i="1"/>
  <c r="IR37" i="1"/>
  <c r="IO37" i="1"/>
  <c r="IL37" i="1"/>
  <c r="II37" i="1"/>
  <c r="IF37" i="1"/>
  <c r="IC37" i="1"/>
  <c r="AG37" i="1"/>
  <c r="AA37" i="1"/>
  <c r="X37" i="1"/>
  <c r="U37" i="1"/>
  <c r="R37" i="1"/>
  <c r="O37" i="1"/>
  <c r="KZ36" i="1"/>
  <c r="IR36" i="1"/>
  <c r="IO36" i="1"/>
  <c r="IL36" i="1"/>
  <c r="II36" i="1"/>
  <c r="IF36" i="1"/>
  <c r="IC36" i="1"/>
  <c r="AG36" i="1"/>
  <c r="AD36" i="1"/>
  <c r="AA36" i="1"/>
  <c r="X36" i="1"/>
  <c r="U36" i="1"/>
  <c r="R36" i="1"/>
  <c r="O36" i="1"/>
  <c r="KZ35" i="1"/>
  <c r="IR35" i="1"/>
  <c r="IO35" i="1"/>
  <c r="IL35" i="1"/>
  <c r="II35" i="1"/>
  <c r="IF35" i="1"/>
  <c r="IC35" i="1"/>
  <c r="AG35" i="1"/>
  <c r="AD35" i="1"/>
  <c r="AA35" i="1"/>
  <c r="R35" i="1"/>
  <c r="O35" i="1"/>
  <c r="KZ34" i="1"/>
  <c r="IR34" i="1"/>
  <c r="IO34" i="1"/>
  <c r="IL34" i="1"/>
  <c r="II34" i="1"/>
  <c r="IF34" i="1"/>
  <c r="IC34" i="1"/>
  <c r="AG34" i="1"/>
  <c r="AA34" i="1"/>
  <c r="X34" i="1"/>
  <c r="U34" i="1"/>
  <c r="R34" i="1"/>
  <c r="O34" i="1"/>
  <c r="KZ33" i="1"/>
  <c r="IR33" i="1"/>
  <c r="IO33" i="1"/>
  <c r="IL33" i="1"/>
  <c r="II33" i="1"/>
  <c r="IF33" i="1"/>
  <c r="IC33" i="1"/>
  <c r="AG33" i="1"/>
  <c r="AD33" i="1"/>
  <c r="AA33" i="1"/>
  <c r="X33" i="1"/>
  <c r="U33" i="1"/>
  <c r="R33" i="1"/>
  <c r="KZ32" i="1"/>
  <c r="IR32" i="1"/>
  <c r="IO32" i="1"/>
  <c r="IL32" i="1"/>
  <c r="II32" i="1"/>
  <c r="IF32" i="1"/>
  <c r="IC32" i="1"/>
  <c r="AG32" i="1"/>
  <c r="AA32" i="1"/>
  <c r="X32" i="1"/>
  <c r="U32" i="1"/>
  <c r="R32" i="1"/>
  <c r="O32" i="1"/>
  <c r="KZ31" i="1"/>
  <c r="IR31" i="1"/>
  <c r="IO31" i="1"/>
  <c r="IL31" i="1"/>
  <c r="II31" i="1"/>
  <c r="IF31" i="1"/>
  <c r="IC31" i="1"/>
  <c r="AG31" i="1"/>
  <c r="AD31" i="1"/>
  <c r="AA31" i="1"/>
  <c r="U31" i="1"/>
  <c r="R31" i="1"/>
  <c r="O31" i="1"/>
  <c r="KZ30" i="1"/>
  <c r="IR30" i="1"/>
  <c r="IO30" i="1"/>
  <c r="IL30" i="1"/>
  <c r="II30" i="1"/>
  <c r="IF30" i="1"/>
  <c r="IC30" i="1"/>
  <c r="AG30" i="1"/>
  <c r="AA30" i="1"/>
  <c r="X30" i="1"/>
  <c r="U30" i="1"/>
  <c r="R30" i="1"/>
  <c r="O30" i="1"/>
  <c r="KZ29" i="1"/>
  <c r="IR29" i="1"/>
  <c r="IO29" i="1"/>
  <c r="IL29" i="1"/>
  <c r="II29" i="1"/>
  <c r="IF29" i="1"/>
  <c r="IC29" i="1"/>
  <c r="AG29" i="1"/>
  <c r="AD29" i="1"/>
  <c r="AA29" i="1"/>
  <c r="X29" i="1"/>
  <c r="U29" i="1"/>
  <c r="R29" i="1"/>
  <c r="O29" i="1"/>
  <c r="KZ28" i="1"/>
  <c r="IR28" i="1"/>
  <c r="IO28" i="1"/>
  <c r="IL28" i="1"/>
  <c r="II28" i="1"/>
  <c r="IF28" i="1"/>
  <c r="IC28" i="1"/>
  <c r="AG28" i="1"/>
  <c r="AD28" i="1"/>
  <c r="AA28" i="1"/>
  <c r="U28" i="1"/>
  <c r="R28" i="1"/>
  <c r="O28" i="1"/>
  <c r="KZ27" i="1"/>
  <c r="IR27" i="1"/>
  <c r="IO27" i="1"/>
  <c r="IL27" i="1"/>
  <c r="II27" i="1"/>
  <c r="IF27" i="1"/>
  <c r="IC27" i="1"/>
  <c r="AG27" i="1"/>
  <c r="AD27" i="1"/>
  <c r="AA27" i="1"/>
  <c r="X27" i="1"/>
  <c r="U27" i="1"/>
  <c r="R27" i="1"/>
  <c r="KZ26" i="1"/>
  <c r="IR26" i="1"/>
  <c r="IO26" i="1"/>
  <c r="IL26" i="1"/>
  <c r="II26" i="1"/>
  <c r="IF26" i="1"/>
  <c r="IC26" i="1"/>
  <c r="AG26" i="1"/>
  <c r="AA26" i="1"/>
  <c r="X26" i="1"/>
  <c r="U26" i="1"/>
  <c r="R26" i="1"/>
  <c r="O26" i="1"/>
  <c r="KZ25" i="1"/>
  <c r="IR25" i="1"/>
  <c r="IO25" i="1"/>
  <c r="IL25" i="1"/>
  <c r="II25" i="1"/>
  <c r="IF25" i="1"/>
  <c r="IC25" i="1"/>
  <c r="AG25" i="1"/>
  <c r="AD25" i="1"/>
  <c r="AA25" i="1"/>
  <c r="X25" i="1"/>
  <c r="U25" i="1"/>
  <c r="O25" i="1"/>
  <c r="KZ24" i="1"/>
  <c r="IR24" i="1"/>
  <c r="IO24" i="1"/>
  <c r="IL24" i="1"/>
  <c r="II24" i="1"/>
  <c r="IF24" i="1"/>
  <c r="IC24" i="1"/>
  <c r="AG24" i="1"/>
  <c r="AD24" i="1"/>
  <c r="AA24" i="1"/>
  <c r="X24" i="1"/>
  <c r="U24" i="1"/>
  <c r="O24" i="1"/>
  <c r="KZ23" i="1"/>
  <c r="IR23" i="1"/>
  <c r="IO23" i="1"/>
  <c r="IL23" i="1"/>
  <c r="II23" i="1"/>
  <c r="IF23" i="1"/>
  <c r="IC23" i="1"/>
  <c r="AG23" i="1"/>
  <c r="AA23" i="1"/>
  <c r="X23" i="1"/>
  <c r="U23" i="1"/>
  <c r="R23" i="1"/>
  <c r="O23" i="1"/>
  <c r="KZ22" i="1"/>
  <c r="IR22" i="1"/>
  <c r="IO22" i="1"/>
  <c r="IL22" i="1"/>
  <c r="II22" i="1"/>
  <c r="IF22" i="1"/>
  <c r="IC22" i="1"/>
  <c r="AG22" i="1"/>
  <c r="AD22" i="1"/>
  <c r="AA22" i="1"/>
  <c r="X22" i="1"/>
  <c r="U22" i="1"/>
  <c r="O22" i="1"/>
  <c r="KZ21" i="1"/>
  <c r="IR21" i="1"/>
  <c r="IO21" i="1"/>
  <c r="IL21" i="1"/>
  <c r="II21" i="1"/>
  <c r="IF21" i="1"/>
  <c r="IC21" i="1"/>
  <c r="AG21" i="1"/>
  <c r="AD21" i="1"/>
  <c r="AA21" i="1"/>
  <c r="X21" i="1"/>
  <c r="U21" i="1"/>
  <c r="R21" i="1"/>
  <c r="O21" i="1"/>
  <c r="KZ20" i="1"/>
  <c r="IR20" i="1"/>
  <c r="IO20" i="1"/>
  <c r="IL20" i="1"/>
  <c r="II20" i="1"/>
  <c r="IF20" i="1"/>
  <c r="IC20" i="1"/>
  <c r="AG20" i="1"/>
  <c r="AD20" i="1"/>
  <c r="AA20" i="1"/>
  <c r="X20" i="1"/>
  <c r="U20" i="1"/>
  <c r="O20" i="1"/>
  <c r="KZ19" i="1"/>
  <c r="IR19" i="1"/>
  <c r="IO19" i="1"/>
  <c r="IL19" i="1"/>
  <c r="II19" i="1"/>
  <c r="IF19" i="1"/>
  <c r="IC19" i="1"/>
  <c r="AG19" i="1"/>
  <c r="AD19" i="1"/>
  <c r="AA19" i="1"/>
  <c r="X19" i="1"/>
  <c r="U19" i="1"/>
  <c r="R19" i="1"/>
  <c r="O19" i="1"/>
  <c r="KZ18" i="1"/>
  <c r="IR18" i="1"/>
  <c r="IO18" i="1"/>
  <c r="IL18" i="1"/>
  <c r="II18" i="1"/>
  <c r="IF18" i="1"/>
  <c r="IC18" i="1"/>
  <c r="AG18" i="1"/>
  <c r="AD18" i="1"/>
  <c r="AA18" i="1"/>
  <c r="X18" i="1"/>
  <c r="U18" i="1"/>
  <c r="O18" i="1"/>
  <c r="KZ17" i="1"/>
  <c r="IR17" i="1"/>
  <c r="IO17" i="1"/>
  <c r="IL17" i="1"/>
  <c r="II17" i="1"/>
  <c r="IF17" i="1"/>
  <c r="IC17" i="1"/>
  <c r="AG17" i="1"/>
  <c r="AD17" i="1"/>
  <c r="AA17" i="1"/>
  <c r="X17" i="1"/>
  <c r="U17" i="1"/>
  <c r="R17" i="1"/>
  <c r="O17" i="1"/>
  <c r="LC25" i="1"/>
  <c r="KZ16" i="1"/>
  <c r="IR16" i="1"/>
  <c r="IO16" i="1"/>
  <c r="IL16" i="1"/>
  <c r="II16" i="1"/>
  <c r="IF16" i="1"/>
  <c r="IC16" i="1"/>
  <c r="AG16" i="1"/>
  <c r="AD16" i="1"/>
  <c r="AA16" i="1"/>
  <c r="X16" i="1"/>
  <c r="U16" i="1"/>
  <c r="R16" i="1"/>
  <c r="O16" i="1"/>
  <c r="KZ15" i="1"/>
  <c r="IR15" i="1"/>
  <c r="IO15" i="1"/>
  <c r="IL15" i="1"/>
  <c r="II15" i="1"/>
  <c r="IF15" i="1"/>
  <c r="IC15" i="1"/>
  <c r="AG15" i="1"/>
  <c r="AD15" i="1"/>
  <c r="AA15" i="1"/>
  <c r="X15" i="1"/>
  <c r="U15" i="1"/>
  <c r="R15" i="1"/>
  <c r="O15" i="1"/>
  <c r="KZ14" i="1"/>
  <c r="IR14" i="1"/>
  <c r="IO14" i="1"/>
  <c r="IL14" i="1"/>
  <c r="II14" i="1"/>
  <c r="IF14" i="1"/>
  <c r="IC14" i="1"/>
  <c r="AG14" i="1"/>
  <c r="AD14" i="1"/>
  <c r="AA14" i="1"/>
  <c r="X14" i="1"/>
  <c r="U14" i="1"/>
  <c r="R14" i="1"/>
  <c r="O14" i="1"/>
  <c r="KZ13" i="1"/>
  <c r="IR13" i="1"/>
  <c r="IO13" i="1"/>
  <c r="IL13" i="1"/>
  <c r="II13" i="1"/>
  <c r="IF13" i="1"/>
  <c r="IC13" i="1"/>
  <c r="AG13" i="1"/>
  <c r="AD13" i="1"/>
  <c r="AA13" i="1"/>
  <c r="X13" i="1"/>
  <c r="U13" i="1"/>
  <c r="R13" i="1"/>
  <c r="O13" i="1"/>
  <c r="KZ12" i="1"/>
  <c r="IR12" i="1"/>
  <c r="IO12" i="1"/>
  <c r="IL12" i="1"/>
  <c r="II12" i="1"/>
  <c r="IF12" i="1"/>
  <c r="IC12" i="1"/>
  <c r="AG12" i="1"/>
  <c r="AD12" i="1"/>
  <c r="X12" i="1"/>
  <c r="U12" i="1"/>
  <c r="O12" i="1"/>
  <c r="KZ11" i="1"/>
  <c r="IR11" i="1"/>
  <c r="IO11" i="1"/>
  <c r="IL11" i="1"/>
  <c r="II11" i="1"/>
  <c r="IF11" i="1"/>
  <c r="IC11" i="1"/>
  <c r="AG11" i="1"/>
  <c r="AD11" i="1"/>
  <c r="AA11" i="1"/>
  <c r="X11" i="1"/>
  <c r="U11" i="1"/>
  <c r="O11" i="1"/>
  <c r="KZ8" i="1"/>
  <c r="IR8" i="1"/>
  <c r="IO8" i="1"/>
  <c r="IL8" i="1"/>
  <c r="II8" i="1"/>
  <c r="IF8" i="1"/>
  <c r="IC8" i="1"/>
  <c r="AG8" i="1"/>
  <c r="AD8" i="1"/>
  <c r="AA8" i="1"/>
  <c r="X8" i="1"/>
  <c r="U8" i="1"/>
  <c r="R8" i="1"/>
  <c r="O8" i="1"/>
  <c r="KZ7" i="1"/>
  <c r="IR7" i="1"/>
  <c r="IO7" i="1"/>
  <c r="IL7" i="1"/>
  <c r="II7" i="1"/>
  <c r="IF7" i="1"/>
  <c r="IC7" i="1"/>
  <c r="AG7" i="1"/>
  <c r="AD7" i="1"/>
  <c r="X7" i="1"/>
  <c r="U7" i="1"/>
  <c r="R7" i="1"/>
  <c r="O7" i="1"/>
  <c r="KZ6" i="1"/>
  <c r="IR6" i="1"/>
  <c r="IO6" i="1"/>
  <c r="IL6" i="1"/>
  <c r="II6" i="1"/>
  <c r="IF6" i="1"/>
  <c r="IC6" i="1"/>
  <c r="AG6" i="1"/>
  <c r="AD6" i="1"/>
  <c r="AA6" i="1"/>
  <c r="X6" i="1"/>
  <c r="U6" i="1"/>
  <c r="R6" i="1"/>
  <c r="O6" i="1"/>
  <c r="KZ5" i="1"/>
  <c r="IR5" i="1"/>
  <c r="IO5" i="1"/>
  <c r="IL5" i="1"/>
  <c r="II5" i="1"/>
  <c r="IF5" i="1"/>
  <c r="IC5" i="1"/>
  <c r="AG5" i="1"/>
  <c r="AD5" i="1"/>
  <c r="AA5" i="1"/>
  <c r="X5" i="1"/>
  <c r="U5" i="1"/>
  <c r="R5" i="1"/>
  <c r="O5" i="1"/>
  <c r="LA4" i="1"/>
  <c r="KZ4" i="1"/>
  <c r="IS4" i="1"/>
  <c r="IR4" i="1"/>
  <c r="IP4" i="1"/>
  <c r="IO4" i="1"/>
  <c r="IM4" i="1"/>
  <c r="IL4" i="1"/>
  <c r="IJ4" i="1"/>
  <c r="II4" i="1"/>
  <c r="IG4" i="1"/>
  <c r="IF4" i="1"/>
  <c r="ID4" i="1"/>
  <c r="IC4" i="1"/>
  <c r="AH4" i="1"/>
  <c r="AG4" i="1"/>
  <c r="AE4" i="1"/>
  <c r="AD4" i="1"/>
  <c r="AB4" i="1"/>
  <c r="AA4" i="1"/>
  <c r="Y4" i="1"/>
  <c r="X4" i="1"/>
  <c r="V4" i="1"/>
  <c r="U4" i="1"/>
  <c r="S4" i="1"/>
  <c r="R4" i="1"/>
  <c r="P4" i="1"/>
  <c r="O4" i="1"/>
  <c r="LA3" i="1"/>
  <c r="KZ3" i="1"/>
  <c r="IS3" i="1"/>
  <c r="IR3" i="1"/>
  <c r="IP3" i="1"/>
  <c r="IO3" i="1"/>
  <c r="IM3" i="1"/>
  <c r="IL3" i="1"/>
  <c r="IJ3" i="1"/>
  <c r="II3" i="1"/>
  <c r="IG3" i="1"/>
  <c r="IF3" i="1"/>
  <c r="ID3" i="1"/>
  <c r="IC3" i="1"/>
  <c r="KY2" i="1"/>
  <c r="KY1" i="1"/>
  <c r="AD26" i="1" l="1"/>
  <c r="LD79" i="1"/>
  <c r="LE79" i="1" s="1"/>
  <c r="U49" i="1"/>
  <c r="R18" i="1"/>
  <c r="AD37" i="1"/>
  <c r="LD58" i="1"/>
  <c r="LD82" i="1"/>
  <c r="LE82" i="1" s="1"/>
  <c r="LD76" i="1"/>
  <c r="LE76" i="1" s="1"/>
  <c r="AD30" i="1"/>
  <c r="X48" i="1"/>
  <c r="R52" i="1"/>
  <c r="AD42" i="1"/>
  <c r="R20" i="1"/>
  <c r="AG75" i="1"/>
  <c r="EH73" i="1"/>
  <c r="O33" i="1"/>
  <c r="O44" i="1"/>
  <c r="AA78" i="1"/>
  <c r="AY16" i="1"/>
  <c r="AD57" i="1"/>
  <c r="AP32" i="1"/>
  <c r="BB46" i="1"/>
  <c r="BN57" i="1"/>
  <c r="DS77" i="1"/>
  <c r="EE36" i="1"/>
  <c r="FO52" i="1"/>
  <c r="GA43" i="1"/>
  <c r="GY63" i="1"/>
  <c r="X35" i="1"/>
  <c r="U47" i="1"/>
  <c r="AG80" i="1"/>
  <c r="AA12" i="1"/>
  <c r="O27" i="1"/>
  <c r="U35" i="1"/>
  <c r="U46" i="1"/>
  <c r="AA7" i="1"/>
  <c r="X41" i="1"/>
  <c r="U48" i="1"/>
  <c r="O53" i="1"/>
  <c r="U65" i="1"/>
  <c r="AA74" i="1"/>
  <c r="U86" i="1"/>
  <c r="AG77" i="1"/>
  <c r="AS23" i="1"/>
  <c r="BE36" i="1"/>
  <c r="BQ20" i="1"/>
  <c r="O38" i="1"/>
  <c r="R22" i="1"/>
  <c r="X28" i="1"/>
  <c r="X31" i="1"/>
  <c r="AG69" i="1"/>
  <c r="AA71" i="1"/>
  <c r="AJ81" i="1"/>
  <c r="EK31" i="1"/>
  <c r="FI8" i="1"/>
  <c r="HE83" i="1"/>
  <c r="HQ28" i="1"/>
  <c r="FF24" i="1"/>
  <c r="GD13" i="1"/>
  <c r="GD6" i="1"/>
  <c r="GD83" i="1"/>
  <c r="HH34" i="1"/>
  <c r="DY86" i="1"/>
  <c r="DY15" i="1"/>
  <c r="GS48" i="1"/>
  <c r="GS65" i="1"/>
  <c r="DY44" i="1"/>
  <c r="DY75" i="1"/>
  <c r="GS25" i="1"/>
  <c r="GS60" i="1"/>
  <c r="FF11" i="1"/>
  <c r="FF61" i="1"/>
  <c r="GS46" i="1"/>
  <c r="GS57" i="1"/>
  <c r="GS32" i="1"/>
  <c r="GS51" i="1"/>
  <c r="BB29" i="1"/>
  <c r="BB45" i="1"/>
  <c r="BB39" i="1"/>
  <c r="BB34" i="1"/>
  <c r="FI13" i="1"/>
  <c r="FI6" i="1"/>
  <c r="DV74" i="1"/>
  <c r="DV72" i="1"/>
  <c r="DV70" i="1"/>
  <c r="GG15" i="1"/>
  <c r="HQ40" i="1"/>
  <c r="HQ51" i="1"/>
  <c r="HQ36" i="1"/>
  <c r="HQ31" i="1"/>
  <c r="EB41" i="1"/>
  <c r="FU12" i="1"/>
  <c r="FU11" i="1"/>
  <c r="FU10" i="1"/>
  <c r="FU6" i="1"/>
  <c r="FU56" i="1"/>
  <c r="FU8" i="1"/>
  <c r="FF15" i="1"/>
  <c r="FF8" i="1"/>
  <c r="FF36" i="1"/>
  <c r="FF12" i="1"/>
  <c r="HE17" i="1"/>
  <c r="HE21" i="1"/>
  <c r="HE61" i="1"/>
  <c r="HE25" i="1"/>
  <c r="BK28" i="1"/>
  <c r="BK54" i="1"/>
  <c r="DV81" i="1"/>
  <c r="EN48" i="1"/>
  <c r="EN44" i="1"/>
  <c r="EN51" i="1"/>
  <c r="EN40" i="1"/>
  <c r="HH50" i="1"/>
  <c r="HW63" i="1"/>
  <c r="HW64" i="1"/>
  <c r="HW65" i="1"/>
  <c r="HW25" i="1"/>
  <c r="HW61" i="1"/>
  <c r="HW62" i="1"/>
  <c r="BH75" i="1"/>
  <c r="BH72" i="1"/>
  <c r="BH81" i="1"/>
  <c r="BH73" i="1"/>
  <c r="EW35" i="1"/>
  <c r="EW24" i="1"/>
  <c r="AP45" i="1"/>
  <c r="AP34" i="1"/>
  <c r="AP50" i="1"/>
  <c r="AP41" i="1"/>
  <c r="BH80" i="1"/>
  <c r="BH78" i="1"/>
  <c r="FU55" i="1"/>
  <c r="FU53" i="1"/>
  <c r="HN41" i="1"/>
  <c r="HN35" i="1"/>
  <c r="HN49" i="1"/>
  <c r="HN44" i="1"/>
  <c r="HN29" i="1"/>
  <c r="CF22" i="1"/>
  <c r="CF23" i="1"/>
  <c r="CF19" i="1"/>
  <c r="CF20" i="1"/>
  <c r="BK60" i="1"/>
  <c r="BK14" i="1"/>
  <c r="FO65" i="1"/>
  <c r="FO59" i="1"/>
  <c r="CF5" i="1"/>
  <c r="CF24" i="1"/>
  <c r="EQ18" i="1"/>
  <c r="EQ56" i="1"/>
  <c r="LC55" i="1"/>
  <c r="LC48" i="1"/>
  <c r="LC20" i="1"/>
  <c r="AY19" i="1"/>
  <c r="AY20" i="1"/>
  <c r="CU50" i="1"/>
  <c r="CU59" i="1"/>
  <c r="BT18" i="1"/>
  <c r="BT19" i="1"/>
  <c r="BT20" i="1"/>
  <c r="BT22" i="1"/>
  <c r="BT35" i="1"/>
  <c r="BT17" i="1"/>
  <c r="AY18" i="1"/>
  <c r="AY21" i="1"/>
  <c r="BQ19" i="1"/>
  <c r="BQ21" i="1"/>
  <c r="CU48" i="1"/>
  <c r="CU49" i="1"/>
  <c r="CU45" i="1"/>
  <c r="CU47" i="1"/>
  <c r="AM67" i="1"/>
  <c r="AM85" i="1"/>
  <c r="AM68" i="1"/>
  <c r="AM66" i="1"/>
  <c r="AM84" i="1"/>
  <c r="DM33" i="1"/>
  <c r="DM43" i="1"/>
  <c r="DM55" i="1"/>
  <c r="DM35" i="1"/>
  <c r="GP45" i="1"/>
  <c r="GP33" i="1"/>
  <c r="HT68" i="1"/>
  <c r="HT85" i="1"/>
  <c r="HT66" i="1"/>
  <c r="HT67" i="1"/>
  <c r="HT84" i="1"/>
  <c r="EQ23" i="1"/>
  <c r="EQ16" i="1"/>
  <c r="EQ17" i="1"/>
  <c r="EQ22" i="1"/>
  <c r="LC22" i="1"/>
  <c r="LC24" i="1"/>
  <c r="DD83" i="1"/>
  <c r="DD60" i="1"/>
  <c r="CX45" i="1"/>
  <c r="CX60" i="1"/>
  <c r="EE42" i="1"/>
  <c r="EE27" i="1"/>
  <c r="BN27" i="1"/>
  <c r="BN52" i="1"/>
  <c r="BN36" i="1"/>
  <c r="BN42" i="1"/>
  <c r="GJ74" i="1"/>
  <c r="GJ73" i="1"/>
  <c r="GJ69" i="1"/>
  <c r="GJ71" i="1"/>
  <c r="GJ26" i="1"/>
  <c r="GJ77" i="1"/>
  <c r="BQ23" i="1"/>
  <c r="BQ22" i="1"/>
  <c r="CL64" i="1"/>
  <c r="CL63" i="1"/>
  <c r="CL62" i="1"/>
  <c r="CL21" i="1"/>
  <c r="LC21" i="1"/>
  <c r="LC60" i="1"/>
  <c r="CL48" i="1"/>
  <c r="CL16" i="1"/>
  <c r="FO64" i="1"/>
  <c r="FO23" i="1"/>
  <c r="FO63" i="1"/>
  <c r="FO62" i="1"/>
  <c r="GM8" i="1"/>
  <c r="GM15" i="1"/>
  <c r="GM14" i="1"/>
  <c r="GM11" i="1"/>
  <c r="BN17" i="1"/>
  <c r="BN30" i="1"/>
  <c r="GP49" i="1"/>
  <c r="BK33" i="1"/>
  <c r="BK44" i="1"/>
  <c r="GV21" i="1"/>
  <c r="LC16" i="1"/>
  <c r="LC18" i="1"/>
  <c r="LC61" i="1"/>
  <c r="LC50" i="1"/>
  <c r="LC49" i="1"/>
  <c r="LC66" i="1"/>
  <c r="LC44" i="1"/>
  <c r="LC67" i="1"/>
  <c r="LC51" i="1"/>
  <c r="LC6" i="1"/>
  <c r="LC40" i="1"/>
  <c r="LC56" i="1"/>
  <c r="LC83" i="1"/>
  <c r="LC33" i="1"/>
  <c r="LC8" i="1"/>
  <c r="LC23" i="1"/>
  <c r="LC63" i="1"/>
  <c r="LC10" i="1"/>
  <c r="LC37" i="1"/>
  <c r="LC85" i="1"/>
  <c r="LC13" i="1"/>
  <c r="LC86" i="1"/>
  <c r="LC35" i="1"/>
  <c r="LC34" i="1"/>
  <c r="LC47" i="1"/>
  <c r="LC39" i="1"/>
  <c r="LC14" i="1"/>
  <c r="LC73" i="1"/>
  <c r="LC77" i="1"/>
  <c r="LC46" i="1"/>
  <c r="LC78" i="1"/>
  <c r="LC69" i="1"/>
  <c r="LC43" i="1"/>
  <c r="LC54" i="1"/>
  <c r="LC74" i="1"/>
  <c r="LC36" i="1"/>
  <c r="LC19" i="1"/>
  <c r="LC41" i="1"/>
  <c r="LC59" i="1"/>
  <c r="LC30" i="1"/>
  <c r="LC65" i="1"/>
  <c r="LC81" i="1"/>
  <c r="LC52" i="1"/>
  <c r="LC68" i="1"/>
  <c r="LC27" i="1"/>
  <c r="LC45" i="1"/>
  <c r="LC71" i="1"/>
  <c r="LC12" i="1"/>
  <c r="LC17" i="1"/>
  <c r="LC62" i="1"/>
  <c r="LC64" i="1"/>
  <c r="LC15" i="1"/>
  <c r="LC84" i="1"/>
  <c r="LC32" i="1"/>
  <c r="LC31" i="1"/>
  <c r="LC11" i="1"/>
  <c r="LC29" i="1"/>
  <c r="LC57" i="1"/>
  <c r="LC42" i="1"/>
  <c r="LC7" i="1"/>
  <c r="LC26" i="1"/>
  <c r="LC38" i="1"/>
  <c r="LC80" i="1"/>
  <c r="LC70" i="1"/>
  <c r="LC53" i="1"/>
  <c r="LC75" i="1"/>
  <c r="LC28" i="1"/>
  <c r="LC72" i="1"/>
  <c r="GV17" i="1"/>
  <c r="GV16" i="1"/>
  <c r="GV19" i="1"/>
  <c r="GV18" i="1"/>
  <c r="EZ86" i="1"/>
  <c r="EZ85" i="1"/>
  <c r="EZ83" i="1"/>
  <c r="BE54" i="1"/>
  <c r="BE61" i="1"/>
  <c r="BE46" i="1"/>
  <c r="BE40" i="1"/>
  <c r="CI51" i="1"/>
  <c r="CI30" i="1"/>
  <c r="BZ66" i="1"/>
  <c r="BZ67" i="1"/>
  <c r="BZ10" i="1"/>
  <c r="BZ46" i="1"/>
  <c r="BZ68" i="1"/>
  <c r="HK73" i="1"/>
  <c r="HK72" i="1"/>
  <c r="HK81" i="1"/>
  <c r="HK69" i="1"/>
  <c r="DV78" i="1"/>
  <c r="FX30" i="1"/>
  <c r="FX28" i="1"/>
  <c r="FX50" i="1"/>
  <c r="DA54" i="1"/>
  <c r="DA43" i="1"/>
  <c r="DA32" i="1"/>
  <c r="DA39" i="1"/>
  <c r="GP59" i="1"/>
  <c r="GP26" i="1"/>
  <c r="GY65" i="1"/>
  <c r="GY64" i="1"/>
  <c r="GY70" i="1"/>
  <c r="GY62" i="1"/>
  <c r="CO68" i="1"/>
  <c r="CO83" i="1"/>
  <c r="CO67" i="1"/>
  <c r="CO66" i="1"/>
  <c r="CI56" i="1"/>
  <c r="CI49" i="1"/>
  <c r="DS71" i="1"/>
  <c r="DS80" i="1"/>
  <c r="FR81" i="1"/>
  <c r="EK46" i="1"/>
  <c r="EK42" i="1"/>
  <c r="DY34" i="1"/>
  <c r="DY38" i="1"/>
  <c r="DP85" i="1"/>
  <c r="DP67" i="1"/>
  <c r="DY52" i="1"/>
  <c r="DP68" i="1"/>
  <c r="DP84" i="1"/>
  <c r="AV29" i="1"/>
  <c r="AV51" i="1"/>
  <c r="AV39" i="1"/>
  <c r="AV32" i="1"/>
  <c r="ET10" i="1"/>
  <c r="ET6" i="1"/>
  <c r="ET13" i="1"/>
  <c r="ET7" i="1"/>
  <c r="AV22" i="1"/>
  <c r="AV40" i="1"/>
  <c r="GA53" i="1"/>
  <c r="GA38" i="1"/>
  <c r="GA31" i="1"/>
  <c r="GA27" i="1"/>
  <c r="HH38" i="1"/>
  <c r="HH42" i="1"/>
  <c r="EH71" i="1"/>
  <c r="EH78" i="1"/>
  <c r="EH69" i="1"/>
  <c r="CR31" i="1"/>
  <c r="CR53" i="1"/>
  <c r="CX37" i="1"/>
  <c r="CX56" i="1"/>
  <c r="AJ70" i="1"/>
  <c r="AJ71" i="1"/>
  <c r="HH47" i="1"/>
  <c r="FR77" i="1"/>
  <c r="FR70" i="1"/>
  <c r="FR75" i="1"/>
  <c r="FR72" i="1"/>
  <c r="EZ31" i="1"/>
  <c r="EZ84" i="1"/>
  <c r="FL7" i="1"/>
  <c r="FL12" i="1"/>
  <c r="FL31" i="1"/>
  <c r="FL14" i="1"/>
  <c r="CX33" i="1"/>
  <c r="CX26" i="1"/>
  <c r="AS62" i="1"/>
  <c r="AS63" i="1"/>
  <c r="AS64" i="1"/>
  <c r="AS17" i="1"/>
  <c r="DJ72" i="1"/>
  <c r="DJ77" i="1"/>
  <c r="DD86" i="1"/>
  <c r="DD85" i="1"/>
  <c r="DD84" i="1"/>
  <c r="EB32" i="1"/>
  <c r="EB37" i="1"/>
  <c r="FI11" i="1"/>
  <c r="FI10" i="1"/>
  <c r="EW57" i="1"/>
  <c r="EW34" i="1"/>
  <c r="EW47" i="1"/>
  <c r="EW39" i="1"/>
  <c r="EE39" i="1"/>
  <c r="EE29" i="1"/>
  <c r="AG73" i="1"/>
  <c r="EH80" i="1"/>
  <c r="CR26" i="1"/>
  <c r="CR38" i="1"/>
  <c r="AJ74" i="1"/>
  <c r="AJ78" i="1"/>
  <c r="EK26" i="1"/>
  <c r="EK53" i="1"/>
  <c r="DS75" i="1"/>
  <c r="DS69" i="1"/>
  <c r="CR43" i="1"/>
  <c r="GG7" i="1"/>
  <c r="GG14" i="1"/>
  <c r="DJ6" i="1"/>
  <c r="DJ74" i="1"/>
  <c r="EB54" i="1"/>
  <c r="EB14" i="1"/>
  <c r="EB28" i="1"/>
  <c r="DS9" i="1"/>
  <c r="DS5" i="1"/>
  <c r="DS6" i="1"/>
  <c r="DS8" i="1"/>
  <c r="DS11" i="1"/>
  <c r="DS12" i="1"/>
  <c r="AD44" i="1"/>
  <c r="AD34" i="1"/>
  <c r="AD32" i="1"/>
  <c r="R12" i="1"/>
  <c r="R24" i="1"/>
  <c r="R11" i="1"/>
  <c r="AD23" i="1"/>
  <c r="R25" i="1"/>
  <c r="AD43" i="1"/>
  <c r="DA26" i="1"/>
  <c r="EW25" i="1"/>
  <c r="CX46" i="1"/>
  <c r="CX24" i="1"/>
  <c r="BQ27" i="1"/>
  <c r="BQ30" i="1"/>
  <c r="BQ29" i="1"/>
  <c r="GG44" i="1"/>
  <c r="DV28" i="1"/>
  <c r="DV26" i="1"/>
  <c r="CO5" i="1"/>
  <c r="FX41" i="1"/>
  <c r="FX37" i="1"/>
  <c r="BK37" i="1"/>
  <c r="DA29" i="1"/>
  <c r="AJ19" i="1"/>
  <c r="AJ15" i="1"/>
  <c r="BH35" i="1"/>
  <c r="BH48" i="1"/>
  <c r="DY30" i="1"/>
  <c r="BH49" i="1"/>
  <c r="BH47" i="1"/>
  <c r="CI31" i="1"/>
  <c r="EW10" i="1"/>
  <c r="DM42" i="1"/>
  <c r="EQ41" i="1"/>
  <c r="DY13" i="1"/>
  <c r="DY28" i="1"/>
  <c r="FL9" i="1"/>
  <c r="FL27" i="1"/>
  <c r="CF8" i="1"/>
  <c r="CF7" i="1"/>
  <c r="FL29" i="1"/>
  <c r="FL26" i="1"/>
  <c r="DY20" i="1"/>
  <c r="CF6" i="1"/>
  <c r="EQ42" i="1"/>
  <c r="EQ39" i="1"/>
  <c r="EQ40" i="1"/>
  <c r="CL38" i="1"/>
  <c r="CL42" i="1"/>
  <c r="CL35" i="1"/>
  <c r="CL41" i="1"/>
  <c r="DM39" i="1"/>
  <c r="DM40" i="1"/>
  <c r="DM41" i="1"/>
  <c r="EW18" i="1"/>
  <c r="EW21" i="1"/>
  <c r="AY43" i="1"/>
  <c r="AY32" i="1"/>
  <c r="AY34" i="1"/>
  <c r="AY41" i="1"/>
  <c r="AY36" i="1"/>
  <c r="CI27" i="1"/>
  <c r="CI26" i="1"/>
  <c r="CI29" i="1"/>
  <c r="BB38" i="1"/>
  <c r="BB42" i="1"/>
  <c r="EH7" i="1"/>
  <c r="EH35" i="1"/>
  <c r="BB40" i="1"/>
  <c r="AS48" i="1"/>
  <c r="AS46" i="1"/>
  <c r="BK32" i="1"/>
  <c r="AS49" i="1"/>
  <c r="BK36" i="1"/>
  <c r="DA27" i="1"/>
  <c r="AS43" i="1"/>
  <c r="DA30" i="1"/>
  <c r="BK34" i="1"/>
  <c r="GJ31" i="1"/>
  <c r="GJ28" i="1"/>
  <c r="CO44" i="1"/>
  <c r="FI14" i="1"/>
  <c r="CO8" i="1"/>
  <c r="CO6" i="1"/>
  <c r="BZ49" i="1"/>
  <c r="BZ47" i="1"/>
  <c r="ET20" i="1"/>
  <c r="ET16" i="1"/>
  <c r="BZ48" i="1"/>
  <c r="ET17" i="1"/>
  <c r="ET22" i="1"/>
  <c r="FI25" i="1"/>
  <c r="FI24" i="1"/>
  <c r="FI15" i="1"/>
  <c r="FU15" i="1"/>
  <c r="FU25" i="1"/>
  <c r="FU47" i="1"/>
  <c r="AV25" i="1"/>
  <c r="AV9" i="1"/>
  <c r="FU13" i="1"/>
  <c r="FU19" i="1"/>
  <c r="FU14" i="1"/>
  <c r="AV10" i="1"/>
  <c r="AV13" i="1"/>
  <c r="GJ29" i="1"/>
  <c r="AP21" i="1"/>
  <c r="AP5" i="1"/>
  <c r="DJ8" i="1"/>
  <c r="DJ9" i="1"/>
  <c r="BT38" i="1"/>
  <c r="BT39" i="1"/>
  <c r="BT40" i="1"/>
  <c r="BT42" i="1"/>
  <c r="DV31" i="1"/>
  <c r="DV30" i="1"/>
  <c r="BN16" i="1"/>
  <c r="BN23" i="1"/>
  <c r="BN15" i="1"/>
  <c r="EN32" i="1"/>
  <c r="EN46" i="1"/>
  <c r="GG43" i="1"/>
  <c r="GG37" i="1"/>
  <c r="GG36" i="1"/>
  <c r="FO44" i="1"/>
  <c r="FF47" i="1"/>
  <c r="GA20" i="1"/>
  <c r="FF48" i="1"/>
  <c r="FF37" i="1"/>
  <c r="BQ28" i="1"/>
  <c r="CX35" i="1"/>
  <c r="CX10" i="1"/>
  <c r="EZ27" i="1"/>
  <c r="EZ30" i="1"/>
  <c r="EZ28" i="1"/>
  <c r="GD16" i="1"/>
  <c r="GD12" i="1"/>
  <c r="GD17" i="1"/>
  <c r="GD18" i="1"/>
  <c r="GD9" i="1"/>
  <c r="GD11" i="1"/>
  <c r="DS10" i="1"/>
  <c r="DS7" i="1"/>
  <c r="AM19" i="1"/>
  <c r="AM18" i="1"/>
  <c r="AM24" i="1"/>
  <c r="EN38" i="1"/>
  <c r="EN34" i="1"/>
  <c r="EN37" i="1"/>
  <c r="FO21" i="1"/>
  <c r="FO12" i="1"/>
  <c r="FO13" i="1"/>
  <c r="GA11" i="1"/>
  <c r="FO22" i="1"/>
  <c r="DJ7" i="1"/>
  <c r="DJ5" i="1"/>
  <c r="FC43" i="1"/>
  <c r="FX39" i="1"/>
  <c r="FX38" i="1"/>
  <c r="FX40" i="1"/>
  <c r="FC46" i="1"/>
  <c r="FC44" i="1"/>
  <c r="FC49" i="1"/>
  <c r="EH8" i="1"/>
  <c r="EH6" i="1"/>
  <c r="AJ16" i="1"/>
  <c r="AJ17" i="1"/>
  <c r="DS14" i="1"/>
  <c r="DS22" i="1"/>
  <c r="DS16" i="1"/>
  <c r="DS23" i="1"/>
  <c r="DS18" i="1"/>
  <c r="DS13" i="1"/>
  <c r="DS17" i="1"/>
  <c r="FR23" i="1"/>
  <c r="FR12" i="1"/>
  <c r="FR15" i="1"/>
  <c r="FR11" i="1"/>
  <c r="AP11" i="1"/>
  <c r="AP12" i="1"/>
  <c r="AP20" i="1"/>
  <c r="GA19" i="1"/>
  <c r="EB9" i="1"/>
  <c r="EB21" i="1"/>
  <c r="EB10" i="1"/>
  <c r="FC12" i="1"/>
  <c r="O109" i="1"/>
  <c r="EH42" i="1"/>
  <c r="LB106" i="1"/>
  <c r="LB105" i="1"/>
  <c r="LD26" i="1" l="1"/>
  <c r="LD23" i="1"/>
  <c r="LD73" i="1"/>
  <c r="LD21" i="1"/>
  <c r="LD62" i="1"/>
  <c r="LD61" i="1"/>
  <c r="LF89" i="1"/>
  <c r="LF92" i="1"/>
  <c r="LD69" i="1"/>
  <c r="LD77" i="1"/>
  <c r="LD51" i="1"/>
  <c r="LD52" i="1"/>
  <c r="LD55" i="1"/>
  <c r="LF94" i="1"/>
  <c r="LF91" i="1"/>
  <c r="LD36" i="1"/>
  <c r="LD8" i="1"/>
  <c r="LF88" i="1"/>
  <c r="LF93" i="1"/>
  <c r="LF87" i="1"/>
  <c r="LF90" i="1"/>
  <c r="LF42" i="1"/>
  <c r="LF21" i="1"/>
  <c r="LD46" i="1"/>
  <c r="LD35" i="1"/>
  <c r="LD37" i="1"/>
  <c r="LD25" i="1"/>
  <c r="LD24" i="1"/>
  <c r="LD83" i="1"/>
  <c r="LD68" i="1"/>
  <c r="LD45" i="1"/>
  <c r="LD74" i="1"/>
  <c r="LD65" i="1"/>
  <c r="LF95" i="1"/>
  <c r="LF64" i="1"/>
  <c r="LF41" i="1"/>
  <c r="LF12" i="1"/>
  <c r="LF52" i="1"/>
  <c r="LD6" i="1"/>
  <c r="LD12" i="1"/>
  <c r="LD64" i="1"/>
  <c r="LD39" i="1"/>
  <c r="LD56" i="1"/>
  <c r="LD17" i="1"/>
  <c r="LD85" i="1"/>
  <c r="LD59" i="1"/>
  <c r="LD41" i="1"/>
  <c r="LD72" i="1"/>
  <c r="LD81" i="1"/>
  <c r="LD7" i="1"/>
  <c r="LD57" i="1"/>
  <c r="LD20" i="1"/>
  <c r="LF98" i="1"/>
  <c r="LF38" i="1"/>
  <c r="LD16" i="1"/>
  <c r="LD18" i="1"/>
  <c r="LD15" i="1"/>
  <c r="LD5" i="1"/>
  <c r="LD13" i="1"/>
  <c r="LD49" i="1"/>
  <c r="LD19" i="1"/>
  <c r="LD43" i="1"/>
  <c r="LD34" i="1"/>
  <c r="LD78" i="1"/>
  <c r="LD63" i="1"/>
  <c r="LD40" i="1"/>
  <c r="LD54" i="1"/>
  <c r="LD22" i="1"/>
  <c r="LD60" i="1"/>
  <c r="LD84" i="1"/>
  <c r="LD67" i="1"/>
  <c r="LD14" i="1"/>
  <c r="LD50" i="1"/>
  <c r="LD75" i="1"/>
  <c r="LD70" i="1"/>
  <c r="LD29" i="1"/>
  <c r="LD71" i="1"/>
  <c r="LD48" i="1"/>
  <c r="LD80" i="1"/>
  <c r="LD42" i="1"/>
  <c r="LF97" i="1"/>
  <c r="LF20" i="1"/>
  <c r="LD31" i="1"/>
  <c r="LD11" i="1"/>
  <c r="LD32" i="1"/>
  <c r="LD66" i="1"/>
  <c r="LD28" i="1"/>
  <c r="LD47" i="1"/>
  <c r="LD30" i="1"/>
  <c r="LF96" i="1"/>
  <c r="LF74" i="1"/>
  <c r="LF59" i="1"/>
  <c r="LF53" i="1"/>
  <c r="LF47" i="1"/>
  <c r="LF84" i="1"/>
  <c r="LF75" i="1"/>
  <c r="LF72" i="1"/>
  <c r="LF99" i="1"/>
  <c r="LG99" i="1" s="1"/>
  <c r="LF101" i="1"/>
  <c r="LG101" i="1" s="1"/>
  <c r="LD86" i="1"/>
  <c r="LD27" i="1"/>
  <c r="LD44" i="1"/>
  <c r="LF27" i="1"/>
  <c r="LF44" i="1"/>
  <c r="LF61" i="1"/>
  <c r="LF56" i="1"/>
  <c r="LF24" i="1"/>
  <c r="LF23" i="1"/>
  <c r="LF17" i="1"/>
  <c r="LF39" i="1"/>
  <c r="LF11" i="1"/>
  <c r="LF8" i="1"/>
  <c r="LF40" i="1"/>
  <c r="LF32" i="1"/>
  <c r="LF30" i="1"/>
  <c r="LF10" i="1"/>
  <c r="LF70" i="1"/>
  <c r="LF71" i="1"/>
  <c r="LF58" i="1"/>
  <c r="LF60" i="1"/>
  <c r="LF100" i="1"/>
  <c r="LG100" i="1" s="1"/>
  <c r="LF102" i="1"/>
  <c r="LG102" i="1" s="1"/>
  <c r="LD38" i="1"/>
  <c r="LF7" i="1"/>
  <c r="LF28" i="1"/>
  <c r="LF48" i="1"/>
  <c r="LF83" i="1"/>
  <c r="LF68" i="1"/>
  <c r="LF54" i="1"/>
  <c r="LF33" i="1"/>
  <c r="LF19" i="1"/>
  <c r="LF16" i="1"/>
  <c r="LF29" i="1"/>
  <c r="LF6" i="1"/>
  <c r="LF35" i="1"/>
  <c r="LF9" i="1"/>
  <c r="LF66" i="1"/>
  <c r="LF55" i="1"/>
  <c r="LF49" i="1"/>
  <c r="LF67" i="1"/>
  <c r="LD10" i="1"/>
  <c r="LD9" i="1"/>
  <c r="LF85" i="1"/>
  <c r="LF103" i="1"/>
  <c r="LG103" i="1" s="1"/>
  <c r="LF79" i="1"/>
  <c r="LG79" i="1" s="1"/>
  <c r="LF14" i="1"/>
  <c r="LF37" i="1"/>
  <c r="LF81" i="1"/>
  <c r="LF73" i="1"/>
  <c r="LD33" i="1"/>
  <c r="LF69" i="1"/>
  <c r="LF25" i="1"/>
  <c r="LF50" i="1"/>
  <c r="LF15" i="1"/>
  <c r="LF5" i="1"/>
  <c r="LF78" i="1"/>
  <c r="LF62" i="1"/>
  <c r="LF57" i="1"/>
  <c r="LF51" i="1"/>
  <c r="LF45" i="1"/>
  <c r="LF80" i="1"/>
  <c r="LF63" i="1"/>
  <c r="LF76" i="1"/>
  <c r="LG76" i="1" s="1"/>
  <c r="LF86" i="1"/>
  <c r="LF82" i="1"/>
  <c r="LG82" i="1" s="1"/>
  <c r="LF77" i="1"/>
  <c r="LD53" i="1"/>
  <c r="LF26" i="1"/>
  <c r="LF43" i="1"/>
  <c r="LF65" i="1"/>
  <c r="LF46" i="1"/>
  <c r="LF36" i="1"/>
  <c r="LF34" i="1"/>
  <c r="LF22" i="1"/>
  <c r="LF13" i="1"/>
  <c r="LF18" i="1"/>
  <c r="LF31" i="1"/>
  <c r="LB107" i="1"/>
  <c r="LH14" i="1" s="1"/>
  <c r="LE58" i="1" l="1"/>
  <c r="LG58" i="1"/>
  <c r="LG5" i="1"/>
  <c r="LE5" i="1"/>
  <c r="LE9" i="1"/>
  <c r="LG9" i="1"/>
  <c r="LH94" i="1"/>
  <c r="LH89" i="1"/>
  <c r="LG88" i="1"/>
  <c r="LG94" i="1"/>
  <c r="LG90" i="1"/>
  <c r="LH87" i="1"/>
  <c r="LH93" i="1"/>
  <c r="LH95" i="1"/>
  <c r="LG87" i="1"/>
  <c r="LH91" i="1"/>
  <c r="LH90" i="1"/>
  <c r="LG92" i="1"/>
  <c r="LH92" i="1"/>
  <c r="LH88" i="1"/>
  <c r="LG93" i="1"/>
  <c r="LG91" i="1"/>
  <c r="LG89" i="1"/>
  <c r="LH97" i="1"/>
  <c r="LG96" i="1"/>
  <c r="LH98" i="1"/>
  <c r="LG95" i="1"/>
  <c r="LG97" i="1"/>
  <c r="LG98" i="1"/>
  <c r="LH96" i="1"/>
  <c r="LG86" i="1"/>
  <c r="LE25" i="1"/>
  <c r="LG25" i="1"/>
  <c r="LE48" i="1"/>
  <c r="LG48" i="1"/>
  <c r="LE55" i="1"/>
  <c r="LG55" i="1"/>
  <c r="LG20" i="1"/>
  <c r="LE20" i="1"/>
  <c r="LG24" i="1"/>
  <c r="LE24" i="1"/>
  <c r="LG22" i="1"/>
  <c r="LE22" i="1"/>
  <c r="LE60" i="1"/>
  <c r="LG60" i="1"/>
  <c r="LG16" i="1"/>
  <c r="LE8" i="1"/>
  <c r="LG8" i="1"/>
  <c r="LG21" i="1"/>
  <c r="LE21" i="1"/>
  <c r="LE16" i="1"/>
  <c r="LE19" i="1"/>
  <c r="LG18" i="1"/>
  <c r="LG19" i="1"/>
  <c r="LE18" i="1"/>
  <c r="LE36" i="1"/>
  <c r="LG36" i="1"/>
  <c r="LE61" i="1"/>
  <c r="LG61" i="1"/>
  <c r="LE50" i="1"/>
  <c r="LG50" i="1"/>
  <c r="LG41" i="1"/>
  <c r="LE41" i="1"/>
  <c r="LE59" i="1"/>
  <c r="LG59" i="1"/>
  <c r="LE65" i="1"/>
  <c r="LG65" i="1"/>
  <c r="LE66" i="1"/>
  <c r="LG66" i="1"/>
  <c r="LE49" i="1"/>
  <c r="LG49" i="1"/>
  <c r="LE44" i="1"/>
  <c r="LG44" i="1"/>
  <c r="LE81" i="1"/>
  <c r="LG81" i="1"/>
  <c r="LE67" i="1"/>
  <c r="LG67" i="1"/>
  <c r="LE52" i="1"/>
  <c r="LE30" i="1"/>
  <c r="LG30" i="1"/>
  <c r="LG52" i="1"/>
  <c r="LE68" i="1"/>
  <c r="LG68" i="1"/>
  <c r="LE51" i="1"/>
  <c r="LG51" i="1"/>
  <c r="LE40" i="1"/>
  <c r="LG40" i="1"/>
  <c r="LE6" i="1"/>
  <c r="LG6" i="1"/>
  <c r="LG27" i="1"/>
  <c r="LE27" i="1"/>
  <c r="LE80" i="1"/>
  <c r="LE45" i="1"/>
  <c r="LG45" i="1"/>
  <c r="LE56" i="1"/>
  <c r="LG56" i="1"/>
  <c r="LE71" i="1"/>
  <c r="LG71" i="1"/>
  <c r="LE15" i="1"/>
  <c r="LE83" i="1"/>
  <c r="LG83" i="1"/>
  <c r="LG85" i="1"/>
  <c r="LE86" i="1"/>
  <c r="LE84" i="1"/>
  <c r="LG84" i="1"/>
  <c r="LE85" i="1"/>
  <c r="LG12" i="1"/>
  <c r="LE12" i="1"/>
  <c r="LE33" i="1"/>
  <c r="LG33" i="1"/>
  <c r="LE23" i="1"/>
  <c r="LG23" i="1"/>
  <c r="LE63" i="1"/>
  <c r="LG63" i="1"/>
  <c r="LE64" i="1"/>
  <c r="LE62" i="1"/>
  <c r="LG62" i="1"/>
  <c r="LE17" i="1"/>
  <c r="LG17" i="1"/>
  <c r="LG64" i="1"/>
  <c r="LG15" i="1"/>
  <c r="LG37" i="1"/>
  <c r="LE37" i="1"/>
  <c r="LG32" i="1"/>
  <c r="LE32" i="1"/>
  <c r="LG31" i="1"/>
  <c r="LE31" i="1"/>
  <c r="LG13" i="1"/>
  <c r="LE13" i="1"/>
  <c r="LG11" i="1"/>
  <c r="LE10" i="1"/>
  <c r="LG10" i="1"/>
  <c r="LE11" i="1"/>
  <c r="LG35" i="1"/>
  <c r="LE35" i="1"/>
  <c r="LE34" i="1"/>
  <c r="LG34" i="1"/>
  <c r="LE57" i="1"/>
  <c r="LG57" i="1"/>
  <c r="LG47" i="1"/>
  <c r="LE47" i="1"/>
  <c r="LG42" i="1"/>
  <c r="LE29" i="1"/>
  <c r="LE42" i="1"/>
  <c r="LG39" i="1"/>
  <c r="LE39" i="1"/>
  <c r="LG29" i="1"/>
  <c r="LE73" i="1"/>
  <c r="LE77" i="1"/>
  <c r="LG73" i="1"/>
  <c r="LG77" i="1"/>
  <c r="LG80" i="1"/>
  <c r="LE38" i="1"/>
  <c r="LG38" i="1"/>
  <c r="LE70" i="1"/>
  <c r="LG70" i="1"/>
  <c r="LE78" i="1"/>
  <c r="LG78" i="1"/>
  <c r="LE46" i="1"/>
  <c r="LG46" i="1"/>
  <c r="LE53" i="1"/>
  <c r="LG53" i="1"/>
  <c r="LE69" i="1"/>
  <c r="LG75" i="1"/>
  <c r="LG69" i="1"/>
  <c r="LE75" i="1"/>
  <c r="LE26" i="1"/>
  <c r="LG26" i="1"/>
  <c r="LG43" i="1"/>
  <c r="LE43" i="1"/>
  <c r="LG14" i="1"/>
  <c r="LG7" i="1"/>
  <c r="LE14" i="1"/>
  <c r="LE7" i="1"/>
  <c r="LG72" i="1"/>
  <c r="LE72" i="1"/>
  <c r="LG74" i="1"/>
  <c r="LE74" i="1"/>
  <c r="LG54" i="1"/>
  <c r="LG28" i="1"/>
  <c r="LE54" i="1"/>
  <c r="LE28" i="1"/>
  <c r="LH84" i="1"/>
  <c r="LH81" i="1"/>
  <c r="LH70" i="1"/>
  <c r="LH86" i="1"/>
  <c r="LH85" i="1"/>
  <c r="LH78" i="1"/>
  <c r="LH76" i="1"/>
  <c r="LH79" i="1"/>
  <c r="LH75" i="1"/>
  <c r="LH71" i="1"/>
  <c r="LH74" i="1"/>
  <c r="LH72" i="1"/>
  <c r="LH77" i="1"/>
  <c r="LH73" i="1"/>
  <c r="LH69" i="1"/>
  <c r="LH80" i="1"/>
  <c r="LH63" i="1"/>
  <c r="LH64" i="1"/>
  <c r="LH65" i="1"/>
  <c r="LH62" i="1"/>
  <c r="LH22" i="1"/>
  <c r="LH103" i="1"/>
  <c r="LH99" i="1"/>
  <c r="LH25" i="1"/>
  <c r="LH21" i="1"/>
  <c r="LH17" i="1"/>
  <c r="LH20" i="1"/>
  <c r="LH100" i="1"/>
  <c r="LH24" i="1"/>
  <c r="LH101" i="1"/>
  <c r="LH102" i="1"/>
  <c r="LH23" i="1"/>
  <c r="LH19" i="1"/>
  <c r="LH18" i="1"/>
  <c r="LH83" i="1"/>
  <c r="LH82" i="1"/>
  <c r="LH68" i="1"/>
  <c r="LH67" i="1"/>
  <c r="LH66" i="1"/>
  <c r="LH59" i="1"/>
  <c r="LH55" i="1"/>
  <c r="LH51" i="1"/>
  <c r="LH47" i="1"/>
  <c r="LH43" i="1"/>
  <c r="LH39" i="1"/>
  <c r="LH35" i="1"/>
  <c r="LH31" i="1"/>
  <c r="LH27" i="1"/>
  <c r="LH46" i="1"/>
  <c r="LH30" i="1"/>
  <c r="LH48" i="1"/>
  <c r="LH32" i="1"/>
  <c r="LH50" i="1"/>
  <c r="LH34" i="1"/>
  <c r="LH60" i="1"/>
  <c r="LH44" i="1"/>
  <c r="LH28" i="1"/>
  <c r="LH61" i="1"/>
  <c r="LH57" i="1"/>
  <c r="LH53" i="1"/>
  <c r="LH49" i="1"/>
  <c r="LH45" i="1"/>
  <c r="LH41" i="1"/>
  <c r="LH37" i="1"/>
  <c r="LH33" i="1"/>
  <c r="LH29" i="1"/>
  <c r="LH54" i="1"/>
  <c r="LH38" i="1"/>
  <c r="LH56" i="1"/>
  <c r="LH40" i="1"/>
  <c r="LH58" i="1"/>
  <c r="LH42" i="1"/>
  <c r="LH26" i="1"/>
  <c r="LH52" i="1"/>
  <c r="LH36" i="1"/>
  <c r="LH15" i="1"/>
  <c r="LH11" i="1"/>
  <c r="LH8" i="1"/>
  <c r="LH9" i="1"/>
  <c r="LH12" i="1"/>
  <c r="LH7" i="1"/>
  <c r="LH13" i="1"/>
  <c r="LH10" i="1"/>
  <c r="LH6" i="1"/>
  <c r="LD105" i="1"/>
  <c r="LD106" i="1"/>
  <c r="LF106" i="1"/>
  <c r="LF105" i="1"/>
  <c r="LH5" i="1"/>
  <c r="LH16" i="1"/>
  <c r="LD107" i="1" l="1"/>
  <c r="LI5" i="1" s="1"/>
  <c r="LF107" i="1"/>
  <c r="LI90" i="1" l="1"/>
  <c r="LJ22" i="1"/>
  <c r="LJ88" i="1"/>
  <c r="LJ87" i="1"/>
  <c r="LJ92" i="1"/>
  <c r="LJ90" i="1"/>
  <c r="LI87" i="1"/>
  <c r="LI89" i="1"/>
  <c r="LJ94" i="1"/>
  <c r="LJ91" i="1"/>
  <c r="LI93" i="1"/>
  <c r="LI88" i="1"/>
  <c r="LI91" i="1"/>
  <c r="LJ89" i="1"/>
  <c r="LI92" i="1"/>
  <c r="LI94" i="1"/>
  <c r="LJ93" i="1"/>
  <c r="LI97" i="1"/>
  <c r="LI98" i="1"/>
  <c r="LJ95" i="1"/>
  <c r="LJ98" i="1"/>
  <c r="LI95" i="1"/>
  <c r="LJ97" i="1"/>
  <c r="LI96" i="1"/>
  <c r="LJ96" i="1"/>
  <c r="LI103" i="1"/>
  <c r="LJ84" i="1"/>
  <c r="LJ85" i="1"/>
  <c r="LI66" i="1"/>
  <c r="LI63" i="1"/>
  <c r="LJ86" i="1"/>
  <c r="LI84" i="1"/>
  <c r="LI85" i="1"/>
  <c r="LI86" i="1"/>
  <c r="LI101" i="1"/>
  <c r="LI62" i="1"/>
  <c r="LJ79" i="1"/>
  <c r="LJ75" i="1"/>
  <c r="LJ71" i="1"/>
  <c r="LJ74" i="1"/>
  <c r="LJ72" i="1"/>
  <c r="LJ70" i="1"/>
  <c r="LI81" i="1"/>
  <c r="LI79" i="1"/>
  <c r="LI77" i="1"/>
  <c r="LI75" i="1"/>
  <c r="LI72" i="1"/>
  <c r="LI76" i="1"/>
  <c r="LI80" i="1"/>
  <c r="LJ81" i="1"/>
  <c r="LJ77" i="1"/>
  <c r="LJ73" i="1"/>
  <c r="LJ69" i="1"/>
  <c r="LJ80" i="1"/>
  <c r="LJ78" i="1"/>
  <c r="LJ76" i="1"/>
  <c r="LI73" i="1"/>
  <c r="LI71" i="1"/>
  <c r="LI69" i="1"/>
  <c r="LI70" i="1"/>
  <c r="LI74" i="1"/>
  <c r="LI78" i="1"/>
  <c r="LI17" i="1"/>
  <c r="LI21" i="1"/>
  <c r="LI65" i="1"/>
  <c r="LI64" i="1"/>
  <c r="LJ64" i="1"/>
  <c r="LJ63" i="1"/>
  <c r="LJ62" i="1"/>
  <c r="LJ65" i="1"/>
  <c r="LJ83" i="1"/>
  <c r="LI25" i="1"/>
  <c r="LI19" i="1"/>
  <c r="LI99" i="1"/>
  <c r="LI23" i="1"/>
  <c r="LI20" i="1"/>
  <c r="LI24" i="1"/>
  <c r="LI102" i="1"/>
  <c r="LJ101" i="1"/>
  <c r="LJ102" i="1"/>
  <c r="LJ23" i="1"/>
  <c r="LJ19" i="1"/>
  <c r="LJ18" i="1"/>
  <c r="LJ100" i="1"/>
  <c r="LJ24" i="1"/>
  <c r="LI18" i="1"/>
  <c r="LI22" i="1"/>
  <c r="LI100" i="1"/>
  <c r="LJ103" i="1"/>
  <c r="LJ99" i="1"/>
  <c r="LJ25" i="1"/>
  <c r="LJ21" i="1"/>
  <c r="LJ17" i="1"/>
  <c r="LJ20" i="1"/>
  <c r="LI83" i="1"/>
  <c r="LI67" i="1"/>
  <c r="LI82" i="1"/>
  <c r="LJ82" i="1"/>
  <c r="LI11" i="1"/>
  <c r="LI68" i="1"/>
  <c r="LJ67" i="1"/>
  <c r="LJ66" i="1"/>
  <c r="LJ68" i="1"/>
  <c r="LI6" i="1"/>
  <c r="LI49" i="1"/>
  <c r="LI33" i="1"/>
  <c r="LI51" i="1"/>
  <c r="LI35" i="1"/>
  <c r="LI61" i="1"/>
  <c r="LI45" i="1"/>
  <c r="LI29" i="1"/>
  <c r="LI47" i="1"/>
  <c r="LI31" i="1"/>
  <c r="LI28" i="1"/>
  <c r="LI32" i="1"/>
  <c r="LI36" i="1"/>
  <c r="LI40" i="1"/>
  <c r="LI44" i="1"/>
  <c r="LI48" i="1"/>
  <c r="LI52" i="1"/>
  <c r="LI56" i="1"/>
  <c r="LI60" i="1"/>
  <c r="LJ50" i="1"/>
  <c r="LJ34" i="1"/>
  <c r="LJ60" i="1"/>
  <c r="LJ44" i="1"/>
  <c r="LJ28" i="1"/>
  <c r="LJ59" i="1"/>
  <c r="LJ55" i="1"/>
  <c r="LJ51" i="1"/>
  <c r="LJ47" i="1"/>
  <c r="LJ43" i="1"/>
  <c r="LJ39" i="1"/>
  <c r="LJ35" i="1"/>
  <c r="LJ31" i="1"/>
  <c r="LJ27" i="1"/>
  <c r="LJ46" i="1"/>
  <c r="LJ30" i="1"/>
  <c r="LJ48" i="1"/>
  <c r="LJ32" i="1"/>
  <c r="LI57" i="1"/>
  <c r="LI41" i="1"/>
  <c r="LI59" i="1"/>
  <c r="LI43" i="1"/>
  <c r="LI27" i="1"/>
  <c r="LI53" i="1"/>
  <c r="LI37" i="1"/>
  <c r="LI55" i="1"/>
  <c r="LI39" i="1"/>
  <c r="LI26" i="1"/>
  <c r="LI30" i="1"/>
  <c r="LI34" i="1"/>
  <c r="LI38" i="1"/>
  <c r="LI42" i="1"/>
  <c r="LI46" i="1"/>
  <c r="LI50" i="1"/>
  <c r="LI54" i="1"/>
  <c r="LI58" i="1"/>
  <c r="LJ58" i="1"/>
  <c r="LJ42" i="1"/>
  <c r="LJ26" i="1"/>
  <c r="LJ52" i="1"/>
  <c r="LJ36" i="1"/>
  <c r="LJ61" i="1"/>
  <c r="LJ57" i="1"/>
  <c r="LJ53" i="1"/>
  <c r="LJ49" i="1"/>
  <c r="LJ45" i="1"/>
  <c r="LJ41" i="1"/>
  <c r="LJ37" i="1"/>
  <c r="LJ33" i="1"/>
  <c r="LJ29" i="1"/>
  <c r="LJ54" i="1"/>
  <c r="LJ38" i="1"/>
  <c r="LJ56" i="1"/>
  <c r="LJ40" i="1"/>
  <c r="LI13" i="1"/>
  <c r="LI15" i="1"/>
  <c r="LI10" i="1"/>
  <c r="LI9" i="1"/>
  <c r="LI12" i="1"/>
  <c r="LJ12" i="1"/>
  <c r="LJ7" i="1"/>
  <c r="LJ13" i="1"/>
  <c r="LJ10" i="1"/>
  <c r="LJ6" i="1"/>
  <c r="LI8" i="1"/>
  <c r="LI7" i="1"/>
  <c r="LI14" i="1"/>
  <c r="LJ14" i="1"/>
  <c r="LJ15" i="1"/>
  <c r="LJ11" i="1"/>
  <c r="LJ8" i="1"/>
  <c r="LJ9" i="1"/>
  <c r="LI16" i="1"/>
  <c r="LJ5" i="1"/>
  <c r="LJ16" i="1"/>
  <c r="LK101" i="1" l="1"/>
  <c r="LN101" i="1" s="1"/>
  <c r="LK21" i="1"/>
  <c r="LK90" i="1"/>
  <c r="LN90" i="1" s="1"/>
  <c r="LK94" i="1"/>
  <c r="LN94" i="1" s="1"/>
  <c r="LK88" i="1"/>
  <c r="LN88" i="1" s="1"/>
  <c r="LK92" i="1"/>
  <c r="LN92" i="1" s="1"/>
  <c r="LK93" i="1"/>
  <c r="LN93" i="1" s="1"/>
  <c r="LK89" i="1"/>
  <c r="LN89" i="1" s="1"/>
  <c r="LK87" i="1"/>
  <c r="LN87" i="1" s="1"/>
  <c r="LK91" i="1"/>
  <c r="LN91" i="1" s="1"/>
  <c r="LK96" i="1"/>
  <c r="LN96" i="1" s="1"/>
  <c r="LK98" i="1"/>
  <c r="LN98" i="1" s="1"/>
  <c r="LK95" i="1"/>
  <c r="LN95" i="1" s="1"/>
  <c r="LK97" i="1"/>
  <c r="LN97" i="1" s="1"/>
  <c r="LK17" i="1"/>
  <c r="LK6" i="1"/>
  <c r="LK63" i="1"/>
  <c r="LK66" i="1"/>
  <c r="LK67" i="1"/>
  <c r="LK103" i="1"/>
  <c r="LN103" i="1" s="1"/>
  <c r="LK62" i="1"/>
  <c r="LN62" i="1" s="1"/>
  <c r="LK11" i="1"/>
  <c r="LN11" i="1" s="1"/>
  <c r="LK85" i="1"/>
  <c r="LK86" i="1"/>
  <c r="LK84" i="1"/>
  <c r="LK74" i="1"/>
  <c r="LK69" i="1"/>
  <c r="LK73" i="1"/>
  <c r="LK80" i="1"/>
  <c r="LK72" i="1"/>
  <c r="LK77" i="1"/>
  <c r="LK81" i="1"/>
  <c r="LK78" i="1"/>
  <c r="LK70" i="1"/>
  <c r="LN70" i="1" s="1"/>
  <c r="LK71" i="1"/>
  <c r="LK76" i="1"/>
  <c r="LN76" i="1" s="1"/>
  <c r="LK75" i="1"/>
  <c r="LK79" i="1"/>
  <c r="LN79" i="1" s="1"/>
  <c r="LK64" i="1"/>
  <c r="LK65" i="1"/>
  <c r="LL101" i="1"/>
  <c r="LO101" i="1" s="1"/>
  <c r="LK100" i="1"/>
  <c r="LN100" i="1" s="1"/>
  <c r="LK18" i="1"/>
  <c r="LK24" i="1"/>
  <c r="LK23" i="1"/>
  <c r="LK19" i="1"/>
  <c r="LK22" i="1"/>
  <c r="LK102" i="1"/>
  <c r="LN102" i="1" s="1"/>
  <c r="LK20" i="1"/>
  <c r="LK99" i="1"/>
  <c r="LN99" i="1" s="1"/>
  <c r="LK25" i="1"/>
  <c r="LK82" i="1"/>
  <c r="LN82" i="1" s="1"/>
  <c r="LK83" i="1"/>
  <c r="LK68" i="1"/>
  <c r="LK58" i="1"/>
  <c r="LK50" i="1"/>
  <c r="LK42" i="1"/>
  <c r="LK34" i="1"/>
  <c r="LK26" i="1"/>
  <c r="LK55" i="1"/>
  <c r="LK53" i="1"/>
  <c r="LK43" i="1"/>
  <c r="LK41" i="1"/>
  <c r="LK60" i="1"/>
  <c r="LK52" i="1"/>
  <c r="LK44" i="1"/>
  <c r="LK36" i="1"/>
  <c r="LK28" i="1"/>
  <c r="LK47" i="1"/>
  <c r="LK45" i="1"/>
  <c r="LK35" i="1"/>
  <c r="LK33" i="1"/>
  <c r="LK54" i="1"/>
  <c r="LK46" i="1"/>
  <c r="LK38" i="1"/>
  <c r="LK30" i="1"/>
  <c r="LK39" i="1"/>
  <c r="LK37" i="1"/>
  <c r="LK27" i="1"/>
  <c r="LK59" i="1"/>
  <c r="LK57" i="1"/>
  <c r="LK56" i="1"/>
  <c r="LK48" i="1"/>
  <c r="LK40" i="1"/>
  <c r="LK32" i="1"/>
  <c r="LK31" i="1"/>
  <c r="LK29" i="1"/>
  <c r="LK61" i="1"/>
  <c r="LN61" i="1" s="1"/>
  <c r="LK51" i="1"/>
  <c r="LN51" i="1" s="1"/>
  <c r="LK49" i="1"/>
  <c r="LK14" i="1"/>
  <c r="LK7" i="1"/>
  <c r="LK12" i="1"/>
  <c r="LK10" i="1"/>
  <c r="LK13" i="1"/>
  <c r="LK8" i="1"/>
  <c r="LK9" i="1"/>
  <c r="LK15" i="1"/>
  <c r="LK5" i="1"/>
  <c r="LK16" i="1"/>
  <c r="LN68" i="1" l="1"/>
  <c r="LN49" i="1"/>
  <c r="LN52" i="1"/>
  <c r="LN37" i="1"/>
  <c r="LN39" i="1"/>
  <c r="LN17" i="1"/>
  <c r="LN69" i="1"/>
  <c r="LN66" i="1"/>
  <c r="LN23" i="1"/>
  <c r="LN64" i="1"/>
  <c r="LN65" i="1"/>
  <c r="LN63" i="1"/>
  <c r="LN38" i="1"/>
  <c r="LN26" i="1"/>
  <c r="LN19" i="1"/>
  <c r="LN41" i="1"/>
  <c r="LN60" i="1"/>
  <c r="LN42" i="1"/>
  <c r="LN15" i="1"/>
  <c r="LN20" i="1"/>
  <c r="LN45" i="1"/>
  <c r="LN28" i="1"/>
  <c r="LN32" i="1"/>
  <c r="LN33" i="1"/>
  <c r="LN67" i="1"/>
  <c r="LN59" i="1"/>
  <c r="LN56" i="1"/>
  <c r="LN58" i="1"/>
  <c r="LN29" i="1"/>
  <c r="LN40" i="1"/>
  <c r="LN30" i="1"/>
  <c r="LN16" i="1"/>
  <c r="LN25" i="1"/>
  <c r="LN57" i="1"/>
  <c r="LN54" i="1"/>
  <c r="LN53" i="1"/>
  <c r="LN13" i="1"/>
  <c r="LN35" i="1"/>
  <c r="LN27" i="1"/>
  <c r="LN36" i="1"/>
  <c r="LN34" i="1"/>
  <c r="LN31" i="1"/>
  <c r="LN44" i="1"/>
  <c r="LN48" i="1"/>
  <c r="LN47" i="1"/>
  <c r="LN22" i="1"/>
  <c r="LN43" i="1"/>
  <c r="LN46" i="1"/>
  <c r="LN24" i="1"/>
  <c r="LN50" i="1"/>
  <c r="LN9" i="1"/>
  <c r="LN5" i="1"/>
  <c r="LN55" i="1"/>
  <c r="LN14" i="1"/>
  <c r="LN6" i="1"/>
  <c r="LN8" i="1"/>
  <c r="LN10" i="1"/>
  <c r="LN21" i="1"/>
  <c r="LN18" i="1"/>
  <c r="LN12" i="1"/>
  <c r="LN7" i="1"/>
  <c r="LL90" i="1"/>
  <c r="LO90" i="1" s="1"/>
  <c r="LL92" i="1"/>
  <c r="LO92" i="1" s="1"/>
  <c r="LL88" i="1"/>
  <c r="LO88" i="1" s="1"/>
  <c r="LL87" i="1"/>
  <c r="LO87" i="1" s="1"/>
  <c r="LL93" i="1"/>
  <c r="LO93" i="1" s="1"/>
  <c r="LL91" i="1"/>
  <c r="LO91" i="1" s="1"/>
  <c r="LL89" i="1"/>
  <c r="LO89" i="1" s="1"/>
  <c r="LL94" i="1"/>
  <c r="LO94" i="1" s="1"/>
  <c r="LL96" i="1"/>
  <c r="LO96" i="1" s="1"/>
  <c r="LL97" i="1"/>
  <c r="LO97" i="1" s="1"/>
  <c r="LL98" i="1"/>
  <c r="LO98" i="1" s="1"/>
  <c r="LL95" i="1"/>
  <c r="LO95" i="1" s="1"/>
  <c r="LN86" i="1"/>
  <c r="LL5" i="1"/>
  <c r="LO5" i="1" s="1"/>
  <c r="LN81" i="1"/>
  <c r="LN73" i="1"/>
  <c r="LN83" i="1"/>
  <c r="LN77" i="1"/>
  <c r="LN84" i="1"/>
  <c r="LN85" i="1"/>
  <c r="LN72" i="1"/>
  <c r="LN74" i="1"/>
  <c r="LN75" i="1"/>
  <c r="LN71" i="1"/>
  <c r="LN78" i="1"/>
  <c r="LN80" i="1"/>
  <c r="LL103" i="1"/>
  <c r="LO103" i="1" s="1"/>
  <c r="LL21" i="1"/>
  <c r="LO21" i="1" s="1"/>
  <c r="LL16" i="1"/>
  <c r="LO16" i="1" s="1"/>
  <c r="LL66" i="1"/>
  <c r="LO66" i="1" s="1"/>
  <c r="LL6" i="1"/>
  <c r="LO6" i="1" s="1"/>
  <c r="LL63" i="1"/>
  <c r="LO63" i="1" s="1"/>
  <c r="LL17" i="1"/>
  <c r="LO17" i="1" s="1"/>
  <c r="LL62" i="1"/>
  <c r="LO62" i="1" s="1"/>
  <c r="LL11" i="1"/>
  <c r="LO11" i="1" s="1"/>
  <c r="LL67" i="1"/>
  <c r="LO67" i="1" s="1"/>
  <c r="LL86" i="1"/>
  <c r="LO86" i="1" s="1"/>
  <c r="LL84" i="1"/>
  <c r="LO84" i="1" s="1"/>
  <c r="LL85" i="1"/>
  <c r="LO85" i="1" s="1"/>
  <c r="LL76" i="1"/>
  <c r="LO76" i="1" s="1"/>
  <c r="LL70" i="1"/>
  <c r="LO70" i="1" s="1"/>
  <c r="LL81" i="1"/>
  <c r="LO81" i="1" s="1"/>
  <c r="LL72" i="1"/>
  <c r="LO72" i="1" s="1"/>
  <c r="LL80" i="1"/>
  <c r="LO80" i="1" s="1"/>
  <c r="LL73" i="1"/>
  <c r="LO73" i="1" s="1"/>
  <c r="LL69" i="1"/>
  <c r="LO69" i="1" s="1"/>
  <c r="LL74" i="1"/>
  <c r="LO74" i="1" s="1"/>
  <c r="LL79" i="1"/>
  <c r="LO79" i="1" s="1"/>
  <c r="LL75" i="1"/>
  <c r="LO75" i="1" s="1"/>
  <c r="LL71" i="1"/>
  <c r="LO71" i="1" s="1"/>
  <c r="LL78" i="1"/>
  <c r="LO78" i="1" s="1"/>
  <c r="LL77" i="1"/>
  <c r="LO77" i="1" s="1"/>
  <c r="LL64" i="1"/>
  <c r="LO64" i="1" s="1"/>
  <c r="LL65" i="1"/>
  <c r="LO65" i="1" s="1"/>
  <c r="LL99" i="1"/>
  <c r="LO99" i="1" s="1"/>
  <c r="LL23" i="1"/>
  <c r="LO23" i="1" s="1"/>
  <c r="LL18" i="1"/>
  <c r="LO18" i="1" s="1"/>
  <c r="LL100" i="1"/>
  <c r="LO100" i="1" s="1"/>
  <c r="LL25" i="1"/>
  <c r="LO25" i="1" s="1"/>
  <c r="LL20" i="1"/>
  <c r="LO20" i="1" s="1"/>
  <c r="LL102" i="1"/>
  <c r="LO102" i="1" s="1"/>
  <c r="LL22" i="1"/>
  <c r="LO22" i="1" s="1"/>
  <c r="LL19" i="1"/>
  <c r="LO19" i="1" s="1"/>
  <c r="LL24" i="1"/>
  <c r="LO24" i="1" s="1"/>
  <c r="LL83" i="1"/>
  <c r="LO83" i="1" s="1"/>
  <c r="LL82" i="1"/>
  <c r="LO82" i="1" s="1"/>
  <c r="LL68" i="1"/>
  <c r="LO68" i="1" s="1"/>
  <c r="LL49" i="1"/>
  <c r="LO49" i="1" s="1"/>
  <c r="LL51" i="1"/>
  <c r="LO51" i="1" s="1"/>
  <c r="LL61" i="1"/>
  <c r="LO61" i="1" s="1"/>
  <c r="LL29" i="1"/>
  <c r="LO29" i="1" s="1"/>
  <c r="LL31" i="1"/>
  <c r="LO31" i="1" s="1"/>
  <c r="LL32" i="1"/>
  <c r="LO32" i="1" s="1"/>
  <c r="LL40" i="1"/>
  <c r="LO40" i="1" s="1"/>
  <c r="LL48" i="1"/>
  <c r="LO48" i="1" s="1"/>
  <c r="LL56" i="1"/>
  <c r="LO56" i="1" s="1"/>
  <c r="LL57" i="1"/>
  <c r="LO57" i="1" s="1"/>
  <c r="LL59" i="1"/>
  <c r="LO59" i="1" s="1"/>
  <c r="LL27" i="1"/>
  <c r="LO27" i="1" s="1"/>
  <c r="LL37" i="1"/>
  <c r="LO37" i="1" s="1"/>
  <c r="LL39" i="1"/>
  <c r="LO39" i="1" s="1"/>
  <c r="LL30" i="1"/>
  <c r="LO30" i="1" s="1"/>
  <c r="LL38" i="1"/>
  <c r="LO38" i="1" s="1"/>
  <c r="LL46" i="1"/>
  <c r="LO46" i="1" s="1"/>
  <c r="LL54" i="1"/>
  <c r="LO54" i="1" s="1"/>
  <c r="LL33" i="1"/>
  <c r="LO33" i="1" s="1"/>
  <c r="LL35" i="1"/>
  <c r="LO35" i="1" s="1"/>
  <c r="LL45" i="1"/>
  <c r="LO45" i="1" s="1"/>
  <c r="LL47" i="1"/>
  <c r="LO47" i="1" s="1"/>
  <c r="LL28" i="1"/>
  <c r="LO28" i="1" s="1"/>
  <c r="LL36" i="1"/>
  <c r="LO36" i="1" s="1"/>
  <c r="LL44" i="1"/>
  <c r="LO44" i="1" s="1"/>
  <c r="LL52" i="1"/>
  <c r="LO52" i="1" s="1"/>
  <c r="LL60" i="1"/>
  <c r="LO60" i="1" s="1"/>
  <c r="LL41" i="1"/>
  <c r="LO41" i="1" s="1"/>
  <c r="LL43" i="1"/>
  <c r="LO43" i="1" s="1"/>
  <c r="LL53" i="1"/>
  <c r="LO53" i="1" s="1"/>
  <c r="LL55" i="1"/>
  <c r="LO55" i="1" s="1"/>
  <c r="LL26" i="1"/>
  <c r="LO26" i="1" s="1"/>
  <c r="LL34" i="1"/>
  <c r="LO34" i="1" s="1"/>
  <c r="LL42" i="1"/>
  <c r="LO42" i="1" s="1"/>
  <c r="LL50" i="1"/>
  <c r="LO50" i="1" s="1"/>
  <c r="LL58" i="1"/>
  <c r="LO58" i="1" s="1"/>
  <c r="LL15" i="1"/>
  <c r="LO15" i="1" s="1"/>
  <c r="LL9" i="1"/>
  <c r="LO9" i="1" s="1"/>
  <c r="LL8" i="1"/>
  <c r="LO8" i="1" s="1"/>
  <c r="LL13" i="1"/>
  <c r="LO13" i="1" s="1"/>
  <c r="LL10" i="1"/>
  <c r="LO10" i="1" s="1"/>
  <c r="LL12" i="1"/>
  <c r="LO12" i="1" s="1"/>
  <c r="LL7" i="1"/>
  <c r="LO7" i="1" s="1"/>
  <c r="LL14" i="1"/>
  <c r="LO1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Dick\Downloads\Student Open Competition Registration.iqy" name="Student Open Competition Registration"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 id="2" xr16:uid="{00000000-0015-0000-FFFF-FFFF01000000}" odcFile="C:\Users\Dick\Downloads\Student Open Competition Registration.iqy" name="Student Open Competition Registration1"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s>
</file>

<file path=xl/sharedStrings.xml><?xml version="1.0" encoding="utf-8"?>
<sst xmlns="http://schemas.openxmlformats.org/spreadsheetml/2006/main" count="3508" uniqueCount="688">
  <si>
    <t>school-name</t>
  </si>
  <si>
    <t>project-category</t>
  </si>
  <si>
    <t>Biology</t>
  </si>
  <si>
    <t>Engineering</t>
  </si>
  <si>
    <t>Biochemistry</t>
  </si>
  <si>
    <t>Goffstown High School</t>
  </si>
  <si>
    <t>Chemistry</t>
  </si>
  <si>
    <t>Nashua High School South</t>
  </si>
  <si>
    <t>Environmental Science</t>
  </si>
  <si>
    <t>Behavioral Science</t>
  </si>
  <si>
    <t>Physics &amp; Electronics</t>
  </si>
  <si>
    <t>Phillips Exeter Academy</t>
  </si>
  <si>
    <t>Mathematics</t>
  </si>
  <si>
    <t>Nashua High School North</t>
  </si>
  <si>
    <t>Salem High School</t>
  </si>
  <si>
    <t>project-title</t>
  </si>
  <si>
    <t>Assigned</t>
  </si>
  <si>
    <t>Completed</t>
  </si>
  <si>
    <t>Judge Mean</t>
  </si>
  <si>
    <t>Judge Std.Dev.</t>
  </si>
  <si>
    <t>#Projects Judged</t>
  </si>
  <si>
    <t>RANK</t>
  </si>
  <si>
    <t>Z-Score</t>
  </si>
  <si>
    <t>AVG</t>
  </si>
  <si>
    <t>Z-Score AVG</t>
  </si>
  <si>
    <t>AVG 0-1 Rank</t>
  </si>
  <si>
    <t>Scaled Scores</t>
  </si>
  <si>
    <t>Scaled Z</t>
  </si>
  <si>
    <t>Underbakke Score</t>
  </si>
  <si>
    <t>Underbakke Rank</t>
  </si>
  <si>
    <t>Scaled Rank</t>
  </si>
  <si>
    <t>ISEF-ish Score</t>
  </si>
  <si>
    <t>ISEF-ish Rank</t>
  </si>
  <si>
    <t>Registration_Number</t>
  </si>
  <si>
    <t>Table #</t>
  </si>
  <si>
    <t xml:space="preserve"> </t>
  </si>
  <si>
    <t>J-WLA</t>
  </si>
  <si>
    <t>J-9UG</t>
  </si>
  <si>
    <t>J-KJ5</t>
  </si>
  <si>
    <t>Category Rank</t>
  </si>
  <si>
    <t>Fair Rank</t>
  </si>
  <si>
    <t>project-description</t>
  </si>
  <si>
    <t>Team Leader student-name</t>
  </si>
  <si>
    <t>Second Team Member student-name</t>
  </si>
  <si>
    <t>Third Team Member student-name</t>
  </si>
  <si>
    <t>reg_number_short</t>
  </si>
  <si>
    <t>other-contact-name</t>
  </si>
  <si>
    <t>AF032</t>
  </si>
  <si>
    <t>AG033</t>
  </si>
  <si>
    <t>AH034</t>
  </si>
  <si>
    <t>AJ036</t>
  </si>
  <si>
    <t>AK037</t>
  </si>
  <si>
    <t>AM039</t>
  </si>
  <si>
    <t>AP042</t>
  </si>
  <si>
    <t>AR044</t>
  </si>
  <si>
    <t>AS045</t>
  </si>
  <si>
    <t>AT046</t>
  </si>
  <si>
    <t>AU047</t>
  </si>
  <si>
    <t>AV048</t>
  </si>
  <si>
    <t>AW049</t>
  </si>
  <si>
    <t>AY051</t>
  </si>
  <si>
    <t>BA053</t>
  </si>
  <si>
    <t>BB054</t>
  </si>
  <si>
    <t>BC055</t>
  </si>
  <si>
    <t>BD056</t>
  </si>
  <si>
    <t>BE057</t>
  </si>
  <si>
    <t>BF058</t>
  </si>
  <si>
    <t>BG059</t>
  </si>
  <si>
    <t>BH060</t>
  </si>
  <si>
    <t>BJ062</t>
  </si>
  <si>
    <t>BK063</t>
  </si>
  <si>
    <t>BL064</t>
  </si>
  <si>
    <t>BM065</t>
  </si>
  <si>
    <t>BN066</t>
  </si>
  <si>
    <t>BP068</t>
  </si>
  <si>
    <t>BR070</t>
  </si>
  <si>
    <t>BS071</t>
  </si>
  <si>
    <t>BT072</t>
  </si>
  <si>
    <t>BU073</t>
  </si>
  <si>
    <t>BV074</t>
  </si>
  <si>
    <t>BW075</t>
  </si>
  <si>
    <t>BY077</t>
  </si>
  <si>
    <t>CA079</t>
  </si>
  <si>
    <t>CC081</t>
  </si>
  <si>
    <t>CD082</t>
  </si>
  <si>
    <t>CE083</t>
  </si>
  <si>
    <t>CF084</t>
  </si>
  <si>
    <t>CH086</t>
  </si>
  <si>
    <t>CJ088</t>
  </si>
  <si>
    <t>CK089</t>
  </si>
  <si>
    <t>CL090</t>
  </si>
  <si>
    <t>CM091</t>
  </si>
  <si>
    <t>CN092</t>
  </si>
  <si>
    <t/>
  </si>
  <si>
    <t>Franklin High School</t>
  </si>
  <si>
    <t xml:space="preserve">Goffstown High School </t>
  </si>
  <si>
    <t>OP-FZ7</t>
  </si>
  <si>
    <t>AA027</t>
  </si>
  <si>
    <t>AB028</t>
  </si>
  <si>
    <t>AC029</t>
  </si>
  <si>
    <t>AD030</t>
  </si>
  <si>
    <t>AE031</t>
  </si>
  <si>
    <t>AN040</t>
  </si>
  <si>
    <t>CG085</t>
  </si>
  <si>
    <t>CR096</t>
  </si>
  <si>
    <t>CS097</t>
  </si>
  <si>
    <t>CT098</t>
  </si>
  <si>
    <t>CU099</t>
  </si>
  <si>
    <t>CV100</t>
  </si>
  <si>
    <t>CW101</t>
  </si>
  <si>
    <t>OP-I5N</t>
  </si>
  <si>
    <t>Alvirne High School</t>
  </si>
  <si>
    <t xml:space="preserve">The Physical Effects of Political Debating with or without Preparation </t>
  </si>
  <si>
    <t>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t>
  </si>
  <si>
    <t>OP-3CA</t>
  </si>
  <si>
    <t>The Affects of Music on Mood</t>
  </si>
  <si>
    <t>This project explores the behavioral response humans have to music. A participant will listen to different genres of music, and then write down their emotional responses.</t>
  </si>
  <si>
    <t>OP-ASC</t>
  </si>
  <si>
    <t>Are Zodiac Signs Accurate?</t>
  </si>
  <si>
    <t xml:space="preserve">This project goes in depth on the personality traits of teenagers and how accurate their zodiac signs are based on these traits. </t>
  </si>
  <si>
    <t>OP-9SJ</t>
  </si>
  <si>
    <t>How Do You ThINK?</t>
  </si>
  <si>
    <t xml:space="preserve">Through the analysis of the handwriting of a sample of people, we will analyze patterns and legibility to see if there is a correlation between the data we extrapolate and the personalities, intelligence levels, and moods of the individuals participating. </t>
  </si>
  <si>
    <t>OP-DJS</t>
  </si>
  <si>
    <t>Observing the Hawthorne Effect on Computational Ability across Various Age Groups</t>
  </si>
  <si>
    <t xml:space="preserve">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t>
  </si>
  <si>
    <t>OP-J39</t>
  </si>
  <si>
    <t>False Features: A Study in Cognitive Perception with Relation to Age and Familiarity</t>
  </si>
  <si>
    <t xml:space="preserve">This project studies the variance of the brain's perception of familiar and unfamiliar subjects based on age. Human participants are surveyed after viewing familiar and unfamiliar subjects for accuracy in remembrance of details. </t>
  </si>
  <si>
    <t>Prospect Mountain High School</t>
  </si>
  <si>
    <t>OP-GVC</t>
  </si>
  <si>
    <t>How Video Games Affect Reaction Time</t>
  </si>
  <si>
    <t xml:space="preserve">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t>
  </si>
  <si>
    <t>OP-PIA</t>
  </si>
  <si>
    <t>A-Maze-Ing Mice</t>
  </si>
  <si>
    <t xml:space="preserve">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t>
  </si>
  <si>
    <t>OP-ROB</t>
  </si>
  <si>
    <t>Laughter...Is it the Best Medicine?</t>
  </si>
  <si>
    <t xml:space="preserve">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t>
  </si>
  <si>
    <t>OP-WNH</t>
  </si>
  <si>
    <t>The Effect of Age on Food Decisions with PACE Labels</t>
  </si>
  <si>
    <t>The study of food decisions that humans ( of different ages) make when using different pace labels.</t>
  </si>
  <si>
    <t>OP-BJG</t>
  </si>
  <si>
    <t>The Effects of Cleaning Agents on the Presence of Peanut Proteins on Surfaces</t>
  </si>
  <si>
    <t>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t>
  </si>
  <si>
    <t>OP-8VW</t>
  </si>
  <si>
    <t>Can eggshells be used as an effective fertilizer?</t>
  </si>
  <si>
    <t xml:space="preserve">Analyze plant growth using fertilizers composed of an acid that would break down eggshells, then dilute the mixture in water, to create a spray that contains elements useful to the plants growth. </t>
  </si>
  <si>
    <t>OP-CL7</t>
  </si>
  <si>
    <t>Biodegradability of Varying Bioplastics</t>
  </si>
  <si>
    <t>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t>
  </si>
  <si>
    <t>OP-QIH</t>
  </si>
  <si>
    <t xml:space="preserve">Measure in the effectivnes of alkaline foods as a substitution for antacids supplements </t>
  </si>
  <si>
    <t xml:space="preserve">Replicating stomach acid to determine to the most effective organic option to lower the amount of acid in the stomach. </t>
  </si>
  <si>
    <t>OP-MZE</t>
  </si>
  <si>
    <t>Triclosan: It Can't Be That Bad!</t>
  </si>
  <si>
    <t xml:space="preserve">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t>
  </si>
  <si>
    <t>OP-QNO</t>
  </si>
  <si>
    <t>Metal Madness: Bioremediation of Metal Contamination</t>
  </si>
  <si>
    <t xml:space="preserve">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t>
  </si>
  <si>
    <t>OP-0VV</t>
  </si>
  <si>
    <t>Is Your Phone Crappy? That May be More Literal than You Think.</t>
  </si>
  <si>
    <t>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t>
  </si>
  <si>
    <t>OP-0F0</t>
  </si>
  <si>
    <t>Smoothing Out the Rough Spots: Reducing the Appearance of Keratosis Pilaris</t>
  </si>
  <si>
    <t>Using keratin and various skin care products to treat keratin and reduce it to alleviate plugs of keratin in skin via a skin auger</t>
  </si>
  <si>
    <t>OP-BVY</t>
  </si>
  <si>
    <t>What's Pestering You?</t>
  </si>
  <si>
    <t>I am planning to use Reneka pesticide test strips, to test organic foods for the contamination of pesticides.</t>
  </si>
  <si>
    <t>OP-EMW</t>
  </si>
  <si>
    <t>What's your gut feeling?</t>
  </si>
  <si>
    <t>I'll be testing probiotics to see if they can withstand the acidic environment of the stomach in order to reach the gut where they are most beneficial.</t>
  </si>
  <si>
    <t>OP-VES</t>
  </si>
  <si>
    <t>Goffstown High school</t>
  </si>
  <si>
    <t>Acne or Not?</t>
  </si>
  <si>
    <t xml:space="preserve">I will be using cultured bacteria to test different acne medication to see which has the best result of killing the bacteria. </t>
  </si>
  <si>
    <t>OP-EUK</t>
  </si>
  <si>
    <t>Kennett High School</t>
  </si>
  <si>
    <t>The Effect of Black Carbon on Antibiotic Resistance</t>
  </si>
  <si>
    <t xml:space="preserve">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t>
  </si>
  <si>
    <t>OP-1JH</t>
  </si>
  <si>
    <t>Plants vs UV</t>
  </si>
  <si>
    <t>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t>
  </si>
  <si>
    <t>OP-5MN</t>
  </si>
  <si>
    <t>Bacterial Blues: The Effect of Visible Light on Bacterial Growth</t>
  </si>
  <si>
    <t xml:space="preserve">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t>
  </si>
  <si>
    <t>OP-FV2</t>
  </si>
  <si>
    <t>A Stinky Situation</t>
  </si>
  <si>
    <t xml:space="preserve">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
</t>
  </si>
  <si>
    <t>OP-K8Z</t>
  </si>
  <si>
    <t>Endospore Extermination</t>
  </si>
  <si>
    <t>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t>
  </si>
  <si>
    <t>OP-LN4</t>
  </si>
  <si>
    <t>What Music Does Eukaryotic Cells Enjoy the Most?</t>
  </si>
  <si>
    <t>This project studied the effect of different genres of music on the growth of yeast cells. Both rock and classical music were used to study growth and results were quantified using the spectrophotometer.</t>
  </si>
  <si>
    <t>OP-NUK</t>
  </si>
  <si>
    <t>Trouble for Turtles</t>
  </si>
  <si>
    <t>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t>
  </si>
  <si>
    <t>OP-TA1</t>
  </si>
  <si>
    <t>Kudos to Glucose</t>
  </si>
  <si>
    <t xml:space="preserve">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t>
  </si>
  <si>
    <t>OP-VCX</t>
  </si>
  <si>
    <t>Fungi Frenzy: Testing Antifungal Treatments on Tomato Plants Infected with Fusarium Oxysporum</t>
  </si>
  <si>
    <t>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t>
  </si>
  <si>
    <t>OP-YVB</t>
  </si>
  <si>
    <t>Electrifying Bacteria: Modifying Gram-Positive Bacteria for Easier Electroporation</t>
  </si>
  <si>
    <t>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t>
  </si>
  <si>
    <t>OP-1YJ</t>
  </si>
  <si>
    <t>Health Risks in Teen Cosmetics</t>
  </si>
  <si>
    <t>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t>
  </si>
  <si>
    <t>OP-BZN</t>
  </si>
  <si>
    <t>The relationship between balance and vestibular function</t>
  </si>
  <si>
    <t xml:space="preserve">Observing how age and vestibular function can affect a person's balance by rotation of human subjects to test their ability to walk in a straight line. </t>
  </si>
  <si>
    <t>OP-FM2</t>
  </si>
  <si>
    <t>Heart Rate Recovery Among Different Age Groups</t>
  </si>
  <si>
    <t>This project will compare the resting heart rates and recovery heart rates after exercising of participants of 3 different age groups: children, teenagers, and seniors. We will compare these results to the answers of an anonymous survey about health and make connections.</t>
  </si>
  <si>
    <t>OP-LMU</t>
  </si>
  <si>
    <t>The effect of temperature on muscle contraction</t>
  </si>
  <si>
    <t xml:space="preserve">By using heating pads and ice water to heat and cool the forearm of a subject and then using a grip strength tool, muscle contraction ability will be tested. We will then analyze the ability of the muscle to contract in warm and cool climates.  </t>
  </si>
  <si>
    <t>OP-VMT</t>
  </si>
  <si>
    <t>Not So Social Media</t>
  </si>
  <si>
    <t>We are studying the effects of cell phones and social media on stress and anxiety.</t>
  </si>
  <si>
    <t>OP-Z2I</t>
  </si>
  <si>
    <t>Water vs. Gatorade and which has a more Positive Effect on an Athlete's Performance</t>
  </si>
  <si>
    <t>To examine whether Gatorade, water or a combination of the two would have a greater result on an athletes performance.</t>
  </si>
  <si>
    <t>OP-030</t>
  </si>
  <si>
    <t>Prospect Mountian High School</t>
  </si>
  <si>
    <t>Environmental Pollution Effects on Plant Growth and Development</t>
  </si>
  <si>
    <t>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t>
  </si>
  <si>
    <t>OP-AEZ</t>
  </si>
  <si>
    <t>Salt Runoff and Effect on Plant Growth</t>
  </si>
  <si>
    <t>This project is to record and observe the effects the chemicals used to de-ice have on the plants that come in contact this them.</t>
  </si>
  <si>
    <t>OP-6WW</t>
  </si>
  <si>
    <t>The Antibacterial Properties of Vitamins C, D, and E using Staphylococcus epidermidis and Escherichia coli.</t>
  </si>
  <si>
    <t xml:space="preserve">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t>
  </si>
  <si>
    <t>OP-OS1</t>
  </si>
  <si>
    <t>Testing The Effectiveness of Ethanol And Citric Acid as Disinfectants on Gram Positive And Negative Bacteria</t>
  </si>
  <si>
    <t xml:space="preserve">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t>
  </si>
  <si>
    <t>OP-V67</t>
  </si>
  <si>
    <t>Analyzing Bacterial Growth and Cleaning Techniques in Gymnastics Facilities</t>
  </si>
  <si>
    <t>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t>
  </si>
  <si>
    <t>OP-FDP</t>
  </si>
  <si>
    <t>The Affect of Materials on Clay</t>
  </si>
  <si>
    <t>We will combine clay with certain materials, such as plastic and glass, place the clay into a kiln and see the affect the materials have on the overall structure of the clay.</t>
  </si>
  <si>
    <t>OP-56Z</t>
  </si>
  <si>
    <t>Extracting Aluminum From Granite</t>
  </si>
  <si>
    <t>Use chemical processes to extract the aluminum from the aluminum oxide in Granite to see if it possible and if it is then how useful is it?</t>
  </si>
  <si>
    <t>OP-9DO</t>
  </si>
  <si>
    <t>Fruity Fermentation</t>
  </si>
  <si>
    <t xml:space="preserve">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t>
  </si>
  <si>
    <t>OP-0XQ</t>
  </si>
  <si>
    <t>Ion-Dipole Interactive Water Desalination System</t>
  </si>
  <si>
    <t>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t>
  </si>
  <si>
    <t>OP-04Z</t>
  </si>
  <si>
    <t>A new paradigm for computer vision based on compositional representation</t>
  </si>
  <si>
    <t>Computers</t>
  </si>
  <si>
    <t>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t>
  </si>
  <si>
    <t>OP-B0G</t>
  </si>
  <si>
    <t>The Effects of Rocket Designs on Aerodynamic Forces</t>
  </si>
  <si>
    <t>For my project I will be testing how our Atmosphere’s forces can affect a rocket as it try's to escape out of the gravitational pull of earth and into space. I will be using Solidworks CAD software to build the rockets and test them on the Solidworks Flow Simulation software.</t>
  </si>
  <si>
    <t>OP-Y6Y</t>
  </si>
  <si>
    <t>DEVELOPMENT OF DURABLE FLAME RETARDANT FABRICS VIA SURFACE CHEMICAL FUNCTIONALIZATION</t>
  </si>
  <si>
    <t>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t>
  </si>
  <si>
    <t>OP-CL4</t>
  </si>
  <si>
    <t>The Effect of Excess Carbon Dioxide on Poa Pratensis</t>
  </si>
  <si>
    <t>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t>
  </si>
  <si>
    <t>OP-YRK</t>
  </si>
  <si>
    <t>Pesticide Homicide: Premature Eggshell Dissolution</t>
  </si>
  <si>
    <t>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t>
  </si>
  <si>
    <t>OP-IG2</t>
  </si>
  <si>
    <t>Leaf the Plants Alone</t>
  </si>
  <si>
    <t>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t>
  </si>
  <si>
    <t>OP-K45</t>
  </si>
  <si>
    <t>Leave No Trash</t>
  </si>
  <si>
    <t xml:space="preserve">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t>
  </si>
  <si>
    <t>OP-U62</t>
  </si>
  <si>
    <t>Going Green: Is Green Really Clean?</t>
  </si>
  <si>
    <t xml:space="preserve">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t>
  </si>
  <si>
    <t>OP-0BA</t>
  </si>
  <si>
    <t>An Economical Appraoch for Detecting Water Contamination at Homes, Preventing a Public Drinking Water Crisis</t>
  </si>
  <si>
    <t xml:space="preserve">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t>
  </si>
  <si>
    <t>OP-7VT</t>
  </si>
  <si>
    <t xml:space="preserve">A Faster Approach to Detecting Fecal Indicators in the Water Using Nanomaterials and Machine Learning </t>
  </si>
  <si>
    <t xml:space="preserve">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t>
  </si>
  <si>
    <t>The Most Effective Water Filtering Methods for Clean Drinking Water</t>
  </si>
  <si>
    <t>Testing 3 sources of water- Lake Winnipeasukee, a local retention pond, and well water- to see what contaminants it. Then use different filter methods to purify the water, which allows it to be drinkable, and retest after to compare the different filtering methods.</t>
  </si>
  <si>
    <t>OP-XE4</t>
  </si>
  <si>
    <t>Climate Change Opinions of Members in our Community</t>
  </si>
  <si>
    <t>We will be surveying people in our community to find out opinions on climate change.</t>
  </si>
  <si>
    <t>OP-WMC</t>
  </si>
  <si>
    <t>Serving Size vs. Package Design</t>
  </si>
  <si>
    <t>Were going to be looking to see if there is an association between adding various types of serving size diagrams on drink bottles and serving size</t>
  </si>
  <si>
    <t>OP-CAG</t>
  </si>
  <si>
    <t xml:space="preserve">Analysis of Graph Search Algorithms – Optimized Heuristics for a Real Time Strategy Game </t>
  </si>
  <si>
    <t xml:space="preserve">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t>
  </si>
  <si>
    <t>OP-0FP</t>
  </si>
  <si>
    <t xml:space="preserve">An Improved Upper Bound for the Fermat-Torricelli Ratio </t>
  </si>
  <si>
    <t>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
Our research studies the single facility location ratio problem, which can be formulated as follows:
How much worse than the optimal solution can a solution be if the facility must be opened at one of the clients' locations?
Fekete and Meijer proved that the ratio between the two associated costs is always no greater than root 2 = 1.4142 . . .. This result was successively improved by Dumitrescu, Toth and Xu (1.3630...), and Ismailescu and Park (1.3545...). In this paper, we prove an even better bound of 1.3384...</t>
  </si>
  <si>
    <t>OP-GXR</t>
  </si>
  <si>
    <t xml:space="preserve">Application of computational game theory to the investigation of the impact of topology on fixation time of antibiotic resistance genes in bacteria </t>
  </si>
  <si>
    <t xml:space="preserve">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
</t>
  </si>
  <si>
    <t>OP-4T8</t>
  </si>
  <si>
    <t>Banana Power</t>
  </si>
  <si>
    <t>This project involves using a thermoelectric generator and a volt meter to measure the amount of voltage created from a banana compost station over the span of 4 weeks where 20 fresh bananas have been mixed with soil to decompose.</t>
  </si>
  <si>
    <t>OP-PVO</t>
  </si>
  <si>
    <t>Integrated Smart Eye (i-SEE)</t>
  </si>
  <si>
    <t xml:space="preserve">Visual impairment is a condition that affects a person’s vision. According to the CDC, 285 million people worldwide suffer from visual impairment, 39 million are blind and the rest have low vision. 
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t>
  </si>
  <si>
    <t>OP-VQ5</t>
  </si>
  <si>
    <t>Investigating the Effects of Propellant Mass Flow Rate and a Swirl Ring on the Efficiency of a Magnetoplasmadynamic Thruster</t>
  </si>
  <si>
    <t>In this project, a magnetoplasmadynamic thruster will be built and tested.</t>
  </si>
  <si>
    <t>AL038</t>
  </si>
  <si>
    <t>CB080</t>
  </si>
  <si>
    <t>CP094</t>
  </si>
  <si>
    <t>CY103</t>
  </si>
  <si>
    <t>DA105</t>
  </si>
  <si>
    <t>DB106</t>
  </si>
  <si>
    <t>DC107</t>
  </si>
  <si>
    <t>DD108</t>
  </si>
  <si>
    <t>CH-GVG</t>
  </si>
  <si>
    <t>C-1</t>
  </si>
  <si>
    <t>Farmington High School</t>
  </si>
  <si>
    <t>Optimizing the Growth of Yeast Cells Using a Liquid Culture</t>
  </si>
  <si>
    <t>Yeast Growth Challenge</t>
  </si>
  <si>
    <t xml:space="preserve">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
</t>
  </si>
  <si>
    <t>(blank)</t>
  </si>
  <si>
    <t>Judge01</t>
  </si>
  <si>
    <t>Z-Judge01</t>
  </si>
  <si>
    <t>R-Judge01</t>
  </si>
  <si>
    <t>Judge02</t>
  </si>
  <si>
    <t>Z-Judge02</t>
  </si>
  <si>
    <t>R-Judge02</t>
  </si>
  <si>
    <t>Judge03</t>
  </si>
  <si>
    <t>Z-Judge03</t>
  </si>
  <si>
    <t>R-Judge03</t>
  </si>
  <si>
    <t>Judge04</t>
  </si>
  <si>
    <t>Z-Judge04</t>
  </si>
  <si>
    <t>R-Judge04</t>
  </si>
  <si>
    <t>Judge05</t>
  </si>
  <si>
    <t>Z-Judge05</t>
  </si>
  <si>
    <t>R-Judge05</t>
  </si>
  <si>
    <t>Judge06</t>
  </si>
  <si>
    <t>Z-Judge06</t>
  </si>
  <si>
    <t>R-Judge06</t>
  </si>
  <si>
    <t>Judge07</t>
  </si>
  <si>
    <t>Z-Judge07</t>
  </si>
  <si>
    <t>R-Judge07</t>
  </si>
  <si>
    <t>Judge08</t>
  </si>
  <si>
    <t>Z-Judge08</t>
  </si>
  <si>
    <t>R-Judge08</t>
  </si>
  <si>
    <t>Judge09</t>
  </si>
  <si>
    <t>Z-Judge09</t>
  </si>
  <si>
    <t>R-Judge09</t>
  </si>
  <si>
    <t>Judge10</t>
  </si>
  <si>
    <t>Z-Judge10</t>
  </si>
  <si>
    <t>R-Judge10</t>
  </si>
  <si>
    <t>Judge11</t>
  </si>
  <si>
    <t>Z-Judge11</t>
  </si>
  <si>
    <t>R-Judge11</t>
  </si>
  <si>
    <t>Judge12</t>
  </si>
  <si>
    <t>Z-Judge12</t>
  </si>
  <si>
    <t>R-Judge12</t>
  </si>
  <si>
    <t>Judge13</t>
  </si>
  <si>
    <t>Z-Judge13</t>
  </si>
  <si>
    <t>R-Judge13</t>
  </si>
  <si>
    <t>Judge14</t>
  </si>
  <si>
    <t>Z-Judge14</t>
  </si>
  <si>
    <t>R-Judge14</t>
  </si>
  <si>
    <t>Judge15</t>
  </si>
  <si>
    <t>Z-Judge15</t>
  </si>
  <si>
    <t>R-Judge15</t>
  </si>
  <si>
    <t>Judge16</t>
  </si>
  <si>
    <t>Z-Judge16</t>
  </si>
  <si>
    <t>R-Judge16</t>
  </si>
  <si>
    <t>Judge17</t>
  </si>
  <si>
    <t>Z-Judge17</t>
  </si>
  <si>
    <t>R-Judge17</t>
  </si>
  <si>
    <t>Judge18</t>
  </si>
  <si>
    <t>Z-Judge18</t>
  </si>
  <si>
    <t>R-Judge18</t>
  </si>
  <si>
    <t>Judge19</t>
  </si>
  <si>
    <t>Z-Judge19</t>
  </si>
  <si>
    <t>R-Judge19</t>
  </si>
  <si>
    <t>Judge20</t>
  </si>
  <si>
    <t>Z-Judge20</t>
  </si>
  <si>
    <t>R-Judge20</t>
  </si>
  <si>
    <t>Judge21</t>
  </si>
  <si>
    <t>Z-Judge21</t>
  </si>
  <si>
    <t>R-Judge21</t>
  </si>
  <si>
    <t>Judge22</t>
  </si>
  <si>
    <t>Z-Judge22</t>
  </si>
  <si>
    <t>R-Judge22</t>
  </si>
  <si>
    <t>Judge23</t>
  </si>
  <si>
    <t>Z-Judge23</t>
  </si>
  <si>
    <t>R-Judge23</t>
  </si>
  <si>
    <t>Judge24</t>
  </si>
  <si>
    <t>Z-Judge24</t>
  </si>
  <si>
    <t>R-Judge24</t>
  </si>
  <si>
    <t>Judge25</t>
  </si>
  <si>
    <t>Z-Judge25</t>
  </si>
  <si>
    <t>R-Judge25</t>
  </si>
  <si>
    <t>Judge26</t>
  </si>
  <si>
    <t>Z-Judge26</t>
  </si>
  <si>
    <t>R-Judge26</t>
  </si>
  <si>
    <t>Judge27</t>
  </si>
  <si>
    <t>Z-Judge27</t>
  </si>
  <si>
    <t>R-Judge27</t>
  </si>
  <si>
    <t>Judge28</t>
  </si>
  <si>
    <t>Z-Judge28</t>
  </si>
  <si>
    <t>R-Judge28</t>
  </si>
  <si>
    <t>Judge29</t>
  </si>
  <si>
    <t>Z-Judge29</t>
  </si>
  <si>
    <t>R-Judge29</t>
  </si>
  <si>
    <t>Judge30</t>
  </si>
  <si>
    <t>Z-Judge30</t>
  </si>
  <si>
    <t>R-Judge30</t>
  </si>
  <si>
    <t>Judge31</t>
  </si>
  <si>
    <t>Z-Judge31</t>
  </si>
  <si>
    <t>R-Judge31</t>
  </si>
  <si>
    <t>Judge32</t>
  </si>
  <si>
    <t>Z-Judge32</t>
  </si>
  <si>
    <t>R-Judge32</t>
  </si>
  <si>
    <t>Judge33</t>
  </si>
  <si>
    <t>Z-Judge33</t>
  </si>
  <si>
    <t>R-Judge33</t>
  </si>
  <si>
    <t>Judge34</t>
  </si>
  <si>
    <t>Z-Judge34</t>
  </si>
  <si>
    <t>R-Judge34</t>
  </si>
  <si>
    <t>Judge35</t>
  </si>
  <si>
    <t>Z-Judge35</t>
  </si>
  <si>
    <t>R-Judge35</t>
  </si>
  <si>
    <t>Judge36</t>
  </si>
  <si>
    <t>Z-Judge36</t>
  </si>
  <si>
    <t>R-Judge36</t>
  </si>
  <si>
    <t>Judge37</t>
  </si>
  <si>
    <t>Z-Judge37</t>
  </si>
  <si>
    <t>R-Judge37</t>
  </si>
  <si>
    <t>Judge38</t>
  </si>
  <si>
    <t>Z-Judge38</t>
  </si>
  <si>
    <t>R-Judge38</t>
  </si>
  <si>
    <t>Judge39</t>
  </si>
  <si>
    <t>Z-Judge39</t>
  </si>
  <si>
    <t>R-Judge39</t>
  </si>
  <si>
    <t>Judge40</t>
  </si>
  <si>
    <t>Z-Judge40</t>
  </si>
  <si>
    <t>R-Judge40</t>
  </si>
  <si>
    <t>Judge41</t>
  </si>
  <si>
    <t>Z-Judge41</t>
  </si>
  <si>
    <t>R-Judge41</t>
  </si>
  <si>
    <t>Judge42</t>
  </si>
  <si>
    <t>Z-Judge42</t>
  </si>
  <si>
    <t>R-Judge42</t>
  </si>
  <si>
    <t>Judge43</t>
  </si>
  <si>
    <t>Z-Judge43</t>
  </si>
  <si>
    <t>R-Judge43</t>
  </si>
  <si>
    <t>Judge44</t>
  </si>
  <si>
    <t>Z-Judge44</t>
  </si>
  <si>
    <t>R-Judge44</t>
  </si>
  <si>
    <t>Judge45</t>
  </si>
  <si>
    <t>Z-Judge45</t>
  </si>
  <si>
    <t>R-Judge45</t>
  </si>
  <si>
    <t>Judge46</t>
  </si>
  <si>
    <t>Z-Judge46</t>
  </si>
  <si>
    <t>R-Judge46</t>
  </si>
  <si>
    <t>Judge47</t>
  </si>
  <si>
    <t>Z-Judge47</t>
  </si>
  <si>
    <t>R-Judge47</t>
  </si>
  <si>
    <t>Judge48</t>
  </si>
  <si>
    <t>Z-Judge48</t>
  </si>
  <si>
    <t>R-Judge48</t>
  </si>
  <si>
    <t>Judge49</t>
  </si>
  <si>
    <t>Z-Judge49</t>
  </si>
  <si>
    <t>R-Judge49</t>
  </si>
  <si>
    <t>Judge50</t>
  </si>
  <si>
    <t>Z-Judge50</t>
  </si>
  <si>
    <t>R-Judge50</t>
  </si>
  <si>
    <t>Judge51</t>
  </si>
  <si>
    <t>Z-Judge51</t>
  </si>
  <si>
    <t>R-Judge51</t>
  </si>
  <si>
    <t>Judge52</t>
  </si>
  <si>
    <t>Z-Judge52</t>
  </si>
  <si>
    <t>R-Judge52</t>
  </si>
  <si>
    <t>Judge53</t>
  </si>
  <si>
    <t>Z-Judge53</t>
  </si>
  <si>
    <t>R-Judge53</t>
  </si>
  <si>
    <t>Judge54</t>
  </si>
  <si>
    <t>Z-Judge54</t>
  </si>
  <si>
    <t>R-Judge54</t>
  </si>
  <si>
    <t>Judge55</t>
  </si>
  <si>
    <t>Z-Judge55</t>
  </si>
  <si>
    <t>R-Judge55</t>
  </si>
  <si>
    <t>Judge56</t>
  </si>
  <si>
    <t>Z-Judge56</t>
  </si>
  <si>
    <t>R-Judge56</t>
  </si>
  <si>
    <t>Judge57</t>
  </si>
  <si>
    <t>Z-Judge57</t>
  </si>
  <si>
    <t>R-Judge57</t>
  </si>
  <si>
    <t>Judge58</t>
  </si>
  <si>
    <t>Z-Judge58</t>
  </si>
  <si>
    <t>R-Judge58</t>
  </si>
  <si>
    <t>Judge59</t>
  </si>
  <si>
    <t>Z-Judge59</t>
  </si>
  <si>
    <t>R-Judge59</t>
  </si>
  <si>
    <t>Judge60</t>
  </si>
  <si>
    <t>Z-Judge60</t>
  </si>
  <si>
    <t>R-Judge60</t>
  </si>
  <si>
    <t>Judge61</t>
  </si>
  <si>
    <t>Z-Judge61</t>
  </si>
  <si>
    <t>R-Judge61</t>
  </si>
  <si>
    <t>Judge62</t>
  </si>
  <si>
    <t>Z-Judge62</t>
  </si>
  <si>
    <t>R-Judge62</t>
  </si>
  <si>
    <t>Judge63</t>
  </si>
  <si>
    <t>Z-Judge63</t>
  </si>
  <si>
    <t>R-Judge63</t>
  </si>
  <si>
    <t>Judge64</t>
  </si>
  <si>
    <t>Z-Judge64</t>
  </si>
  <si>
    <t>R-Judge64</t>
  </si>
  <si>
    <t>Judge65</t>
  </si>
  <si>
    <t>Z-Judge65</t>
  </si>
  <si>
    <t>R-Judge65</t>
  </si>
  <si>
    <t>Judge66</t>
  </si>
  <si>
    <t>Z-Judge66</t>
  </si>
  <si>
    <t>R-Judge66</t>
  </si>
  <si>
    <t>Judge67</t>
  </si>
  <si>
    <t>Z-Judge67</t>
  </si>
  <si>
    <t>R-Judge67</t>
  </si>
  <si>
    <t>Teacher Proj-OP-I5N</t>
  </si>
  <si>
    <t>Teacher Proj-OP-3CA</t>
  </si>
  <si>
    <t>Teacher Proj-OP-ASC</t>
  </si>
  <si>
    <t>Teacher Proj-OP-9SJ</t>
  </si>
  <si>
    <t>Teacher Proj-OP-DJS</t>
  </si>
  <si>
    <t>Teacher Proj-OP-J39</t>
  </si>
  <si>
    <t>Teacher Proj-OP-GVC</t>
  </si>
  <si>
    <t>Teacher Proj-OP-PIA</t>
  </si>
  <si>
    <t>Teacher Proj-OP-ROB</t>
  </si>
  <si>
    <t>Teacher Proj-OP-WNH</t>
  </si>
  <si>
    <t>Teacher Proj-OP-BJG</t>
  </si>
  <si>
    <t>Teacher Proj-OP-8VW</t>
  </si>
  <si>
    <t>Teacher Proj-OP-CL7</t>
  </si>
  <si>
    <t>Teacher Proj-OP-QIH</t>
  </si>
  <si>
    <t>Teacher Proj-OP-MZE</t>
  </si>
  <si>
    <t>Teacher Proj-OP-QNO</t>
  </si>
  <si>
    <t>Teacher Proj-OP-0VV</t>
  </si>
  <si>
    <t>Teacher Proj-OP-0F0</t>
  </si>
  <si>
    <t>Teacher Proj-OP-BVY</t>
  </si>
  <si>
    <t>Teacher Proj-OP-EMW</t>
  </si>
  <si>
    <t>Teacher Proj-OP-VES</t>
  </si>
  <si>
    <t>Teacher Proj-OP-EUK</t>
  </si>
  <si>
    <t>Teacher Proj-OP-1JH</t>
  </si>
  <si>
    <t>Teacher Proj-OP-5MN</t>
  </si>
  <si>
    <t>Teacher Proj-OP-FV2</t>
  </si>
  <si>
    <t>Teacher Proj-OP-K8Z</t>
  </si>
  <si>
    <t>Teacher Proj-OP-LN4</t>
  </si>
  <si>
    <t>Teacher Proj-OP-NUK</t>
  </si>
  <si>
    <t>Teacher Proj-OP-TA1</t>
  </si>
  <si>
    <t>Teacher Proj-OP-VCX</t>
  </si>
  <si>
    <t>Teacher Proj-OP-YVB</t>
  </si>
  <si>
    <t>Teacher Proj-OP-1YJ</t>
  </si>
  <si>
    <t>Teacher Proj-OP-BZN</t>
  </si>
  <si>
    <t>Teacher Proj-OP-FM2</t>
  </si>
  <si>
    <t>Teacher Proj-OP-LMU</t>
  </si>
  <si>
    <t>Teacher Proj-OP-VMT</t>
  </si>
  <si>
    <t>Teacher Proj-OP-Z2I</t>
  </si>
  <si>
    <t>Teacher Proj-OP-030</t>
  </si>
  <si>
    <t>Teacher Proj-OP-AEZ</t>
  </si>
  <si>
    <t>Teacher Proj-OP-6WW</t>
  </si>
  <si>
    <t>Teacher Proj-OP-OS1</t>
  </si>
  <si>
    <t>Teacher Proj-OP-V67</t>
  </si>
  <si>
    <t>Teacher Proj-OP-FDP</t>
  </si>
  <si>
    <t>Teacher Proj-OP-56Z</t>
  </si>
  <si>
    <t>Teacher Proj-OP-9DO</t>
  </si>
  <si>
    <t>Teacher Proj-OP-0XQ</t>
  </si>
  <si>
    <t>Teacher Proj-OP-04Z</t>
  </si>
  <si>
    <t>Teacher Proj-OP-B0G</t>
  </si>
  <si>
    <t>Teacher Proj-OP-Y6Y</t>
  </si>
  <si>
    <t>Teacher Proj-OP-CL4</t>
  </si>
  <si>
    <t>Teacher Proj-OP-YRK</t>
  </si>
  <si>
    <t>Teacher Proj-OP-IG2</t>
  </si>
  <si>
    <t>Teacher Proj-OP-K45</t>
  </si>
  <si>
    <t>Teacher Proj-OP-U62</t>
  </si>
  <si>
    <t>Teacher Proj-OP-0BA</t>
  </si>
  <si>
    <t>Teacher Proj-OP-7VT</t>
  </si>
  <si>
    <t>Teacher Proj-OP-FZ7</t>
  </si>
  <si>
    <t>Teacher Proj-OP-XE4</t>
  </si>
  <si>
    <t>Teacher Proj-OP-WMC</t>
  </si>
  <si>
    <t>Teacher Proj-OP-CAG</t>
  </si>
  <si>
    <t>Teacher Proj-OP-0FP</t>
  </si>
  <si>
    <t>Teacher Proj-OP-GXR</t>
  </si>
  <si>
    <t>Teacher Proj-OP-4T8</t>
  </si>
  <si>
    <t>Teacher Proj-OP-PVO</t>
  </si>
  <si>
    <t>Teacher Proj-OP-VQ5</t>
  </si>
  <si>
    <t>Teacher Proj-CH-GVG</t>
  </si>
  <si>
    <t>Student1 Proj-OP-I5N</t>
  </si>
  <si>
    <t>Student1 Proj-OP-3CA</t>
  </si>
  <si>
    <t>Student2 Proj-OP-3CA</t>
  </si>
  <si>
    <t>Student1 Proj-OP-ASC</t>
  </si>
  <si>
    <t>Student2 Proj-OP-ASC</t>
  </si>
  <si>
    <t>Student3 Proj-OP-ASC</t>
  </si>
  <si>
    <t>Student1 Proj-OP-9SJ</t>
  </si>
  <si>
    <t>Student2 Proj-OP-9SJ</t>
  </si>
  <si>
    <t>Student1 Proj-OP-DJS</t>
  </si>
  <si>
    <t>Student2 Proj-OP-DJS</t>
  </si>
  <si>
    <t>Student3 Proj-OP-DJS</t>
  </si>
  <si>
    <t>Student1 Proj-OP-J39</t>
  </si>
  <si>
    <t>Student1 Proj-OP-GVC</t>
  </si>
  <si>
    <t>Student2 Proj-OP-GVC</t>
  </si>
  <si>
    <t>Student1 Proj-OP-PIA</t>
  </si>
  <si>
    <t>Student2 Proj-OP-PIA</t>
  </si>
  <si>
    <t>Student3 Proj-OP-PIA</t>
  </si>
  <si>
    <t>Student1 Proj-OP-ROB</t>
  </si>
  <si>
    <t>Student2 Proj-OP-ROB</t>
  </si>
  <si>
    <t>Student1 Proj-OP-WNH</t>
  </si>
  <si>
    <t>Student2 Proj-OP-WNH</t>
  </si>
  <si>
    <t>Student1 Proj-OP-BJG</t>
  </si>
  <si>
    <t>Student1 Proj-OP-8VW</t>
  </si>
  <si>
    <t>Student1 Proj-OP-CL7</t>
  </si>
  <si>
    <t>Student1 Proj-OP-QIH</t>
  </si>
  <si>
    <t>Student1 Proj-OP-MZE</t>
  </si>
  <si>
    <t>Student1 Proj-OP-QNO</t>
  </si>
  <si>
    <t>Student1 Proj-OP-0VV</t>
  </si>
  <si>
    <t>Student1 Proj-OP-0F0</t>
  </si>
  <si>
    <t>Student2 Proj-OP-0F0</t>
  </si>
  <si>
    <t>Student1 Proj-OP-BVY</t>
  </si>
  <si>
    <t>Student1 Proj-OP-EMW</t>
  </si>
  <si>
    <t>Student1 Proj-OP-VES</t>
  </si>
  <si>
    <t>Student1 Proj-OP-EUK</t>
  </si>
  <si>
    <t>Student1 Proj-OP-1JH</t>
  </si>
  <si>
    <t>Student1 Proj-OP-5MN</t>
  </si>
  <si>
    <t>Student1 Proj-OP-FV2</t>
  </si>
  <si>
    <t>Student1 Proj-OP-K8Z</t>
  </si>
  <si>
    <t>Student1 Proj-OP-LN4</t>
  </si>
  <si>
    <t>Student1 Proj-OP-NUK</t>
  </si>
  <si>
    <t>Student1 Proj-OP-TA1</t>
  </si>
  <si>
    <t>Student1 Proj-OP-VCX</t>
  </si>
  <si>
    <t>Student1 Proj-OP-YVB</t>
  </si>
  <si>
    <t>Student1 Proj-OP-1YJ</t>
  </si>
  <si>
    <t>Student2 Proj-OP-1YJ</t>
  </si>
  <si>
    <t>Student1 Proj-OP-BZN</t>
  </si>
  <si>
    <t>Student2 Proj-OP-BZN</t>
  </si>
  <si>
    <t>Student1 Proj-OP-FM2</t>
  </si>
  <si>
    <t>Student2 Proj-OP-FM2</t>
  </si>
  <si>
    <t>Student1 Proj-OP-LMU</t>
  </si>
  <si>
    <t>Student2 Proj-OP-LMU</t>
  </si>
  <si>
    <t>Student1 Proj-OP-VMT</t>
  </si>
  <si>
    <t>Student2 Proj-OP-VMT</t>
  </si>
  <si>
    <t>Student1 Proj-OP-Z2I</t>
  </si>
  <si>
    <t>Student2 Proj-OP-Z2I</t>
  </si>
  <si>
    <t>Student1 Proj-OP-030</t>
  </si>
  <si>
    <t>Student1 Proj-OP-AEZ</t>
  </si>
  <si>
    <t>Student1 Proj-OP-6WW</t>
  </si>
  <si>
    <t>Student1 Proj-OP-OS1</t>
  </si>
  <si>
    <t>Student1 Proj-OP-V67</t>
  </si>
  <si>
    <t>Student1 Proj-OP-FDP</t>
  </si>
  <si>
    <t>Student1 Proj-OP-56Z</t>
  </si>
  <si>
    <t>Student1 Proj-OP-9DO</t>
  </si>
  <si>
    <t>Student1 Proj-OP-0XQ</t>
  </si>
  <si>
    <t>Student1 Proj-OP-04Z</t>
  </si>
  <si>
    <t>Student1 Proj-OP-B0G</t>
  </si>
  <si>
    <t>Student1 Proj-OP-Y6Y</t>
  </si>
  <si>
    <t>Student1 Proj-OP-CL4</t>
  </si>
  <si>
    <t>Student1 Proj-OP-YRK</t>
  </si>
  <si>
    <t>Student2 Proj-OP-YRK</t>
  </si>
  <si>
    <t>Student1 Proj-OP-IG2</t>
  </si>
  <si>
    <t>Student1 Proj-OP-K45</t>
  </si>
  <si>
    <t>Student1 Proj-OP-U62</t>
  </si>
  <si>
    <t>Student1 Proj-OP-0BA</t>
  </si>
  <si>
    <t>Student1 Proj-OP-7VT</t>
  </si>
  <si>
    <t>Student1 Proj-OP-FZ7</t>
  </si>
  <si>
    <t>Student2 Proj-OP-FZ7</t>
  </si>
  <si>
    <t>Student1 Proj-OP-XE4</t>
  </si>
  <si>
    <t>Student2 Proj-OP-XE4</t>
  </si>
  <si>
    <t>Student1 Proj-OP-WMC</t>
  </si>
  <si>
    <t>Student1 Proj-OP-CAG</t>
  </si>
  <si>
    <t>Student1 Proj-OP-0FP</t>
  </si>
  <si>
    <t>Student1 Proj-OP-GXR</t>
  </si>
  <si>
    <t>Student1 Proj-OP-4T8</t>
  </si>
  <si>
    <t>Student2 Proj-OP-4T8</t>
  </si>
  <si>
    <t>Student1 Proj-OP-PVO</t>
  </si>
  <si>
    <t>Student1 Proj-OP-VQ5</t>
  </si>
  <si>
    <t>Student2 Proj-OP-VQ5</t>
  </si>
  <si>
    <t>Challenge01</t>
  </si>
  <si>
    <t>Student2 Proj-OP-8VW</t>
  </si>
  <si>
    <t>Student2 Proj-OP-CL7</t>
  </si>
  <si>
    <t>Student2 Proj-OP-QIH</t>
  </si>
  <si>
    <t>Student2 Proj-OP-0VV</t>
  </si>
  <si>
    <t>Student2 Proj-OP-FDP</t>
  </si>
  <si>
    <t>Student2 Proj-OP-56Z</t>
  </si>
  <si>
    <t>Student2 Proj-OP-WMC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</si>
</sst>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i/>
      <sz val="12"/>
      <color theme="1"/>
      <name val="Calibri"/>
      <family val="2"/>
      <scheme val="minor"/>
    </font>
    <font>
      <i/>
      <sz val="12"/>
      <color theme="1"/>
      <name val="Calibri"/>
      <family val="2"/>
      <scheme val="minor"/>
    </font>
    <font>
      <b/>
      <i/>
      <sz val="9"/>
      <name val="Arial Black"/>
      <family val="2"/>
    </font>
    <font>
      <b/>
      <i/>
      <sz val="11"/>
      <name val="Arial Black"/>
      <family val="2"/>
    </font>
    <font>
      <i/>
      <sz val="8"/>
      <name val="Arial Black"/>
      <family val="2"/>
    </font>
    <font>
      <b/>
      <sz val="11"/>
      <name val="Arial Black"/>
      <family val="2"/>
      <charset val="1"/>
    </font>
    <font>
      <sz val="11"/>
      <name val="Calibri"/>
      <family val="2"/>
      <scheme val="minor"/>
    </font>
    <font>
      <sz val="14"/>
      <color theme="1"/>
      <name val="Calibri"/>
      <family val="2"/>
      <scheme val="minor"/>
    </font>
    <font>
      <b/>
      <i/>
      <sz val="14"/>
      <name val="Arial Black"/>
      <family val="2"/>
    </font>
    <font>
      <b/>
      <sz val="14"/>
      <color theme="1"/>
      <name val="Calibri"/>
      <family val="2"/>
      <scheme val="minor"/>
    </font>
    <font>
      <b/>
      <sz val="12"/>
      <color theme="1"/>
      <name val="Calibri"/>
      <family val="2"/>
      <scheme val="minor"/>
    </font>
    <font>
      <sz val="16"/>
      <color theme="1"/>
      <name val="Times New Roman"/>
      <family val="1"/>
    </font>
    <font>
      <sz val="11"/>
      <color theme="1"/>
      <name val="Times New Roman"/>
      <family val="1"/>
    </font>
    <font>
      <i/>
      <sz val="10"/>
      <color theme="1"/>
      <name val="Arial"/>
      <family val="2"/>
    </font>
    <font>
      <sz val="11"/>
      <color indexed="8"/>
      <name val="Helvetica Neue"/>
    </font>
    <font>
      <sz val="11"/>
      <color rgb="FFFF0000"/>
      <name val="Times New Roman"/>
      <family val="1"/>
    </font>
    <font>
      <sz val="16"/>
      <color theme="1"/>
      <name val="Times New Roman"/>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1" tint="0.34998626667073579"/>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Protection="0">
      <alignment vertical="top"/>
    </xf>
  </cellStyleXfs>
  <cellXfs count="298">
    <xf numFmtId="0" fontId="0" fillId="0" borderId="0" xfId="0"/>
    <xf numFmtId="0" fontId="19" fillId="0" borderId="0" xfId="0" applyFont="1" applyAlignment="1">
      <alignment horizontal="center" vertical="center" wrapText="1"/>
    </xf>
    <xf numFmtId="0" fontId="20" fillId="0" borderId="0" xfId="0" applyFont="1"/>
    <xf numFmtId="0" fontId="18" fillId="0" borderId="0" xfId="0" applyFont="1" applyAlignment="1">
      <alignment horizontal="center" vertical="center" wrapText="1"/>
    </xf>
    <xf numFmtId="0" fontId="0" fillId="0" borderId="0" xfId="0" applyAlignment="1">
      <alignment horizontal="center"/>
    </xf>
    <xf numFmtId="0" fontId="21" fillId="0" borderId="0" xfId="0" applyFont="1" applyAlignment="1">
      <alignment horizontal="left" vertical="center"/>
    </xf>
    <xf numFmtId="0" fontId="21" fillId="0" borderId="0" xfId="0" applyFont="1" applyAlignment="1">
      <alignment horizontal="center" vertical="center"/>
    </xf>
    <xf numFmtId="0" fontId="22" fillId="0" borderId="0" xfId="0" applyFont="1" applyAlignment="1">
      <alignment horizontal="center" vertical="center"/>
    </xf>
    <xf numFmtId="0" fontId="22" fillId="0" borderId="0" xfId="0" applyFont="1" applyAlignment="1">
      <alignment vertical="center"/>
    </xf>
    <xf numFmtId="164" fontId="22" fillId="0" borderId="0" xfId="0" applyNumberFormat="1" applyFont="1" applyAlignment="1">
      <alignment horizontal="center" vertical="center"/>
    </xf>
    <xf numFmtId="0" fontId="23" fillId="0" borderId="0" xfId="0" applyFont="1" applyAlignment="1">
      <alignment horizontal="left" vertical="center"/>
    </xf>
    <xf numFmtId="0" fontId="0" fillId="33" borderId="0" xfId="0" applyFill="1" applyAlignment="1">
      <alignment horizontal="center"/>
    </xf>
    <xf numFmtId="0" fontId="0" fillId="33" borderId="0" xfId="0" applyFill="1"/>
    <xf numFmtId="0" fontId="24" fillId="0" borderId="10" xfId="0" applyFont="1" applyFill="1" applyBorder="1" applyAlignment="1">
      <alignment horizontal="center"/>
    </xf>
    <xf numFmtId="1" fontId="24" fillId="34" borderId="10" xfId="0" applyNumberFormat="1" applyFont="1" applyFill="1" applyBorder="1" applyAlignment="1">
      <alignment horizontal="center"/>
    </xf>
    <xf numFmtId="0" fontId="24" fillId="0" borderId="10" xfId="0" applyFont="1" applyFill="1" applyBorder="1" applyAlignment="1">
      <alignment horizontal="center" wrapText="1"/>
    </xf>
    <xf numFmtId="1" fontId="24" fillId="34" borderId="10" xfId="0" applyNumberFormat="1" applyFont="1" applyFill="1" applyBorder="1" applyAlignment="1">
      <alignment horizontal="center" wrapText="1"/>
    </xf>
    <xf numFmtId="0" fontId="24" fillId="35" borderId="10" xfId="0" applyFont="1" applyFill="1" applyBorder="1" applyAlignment="1">
      <alignment horizontal="center" wrapText="1"/>
    </xf>
    <xf numFmtId="1" fontId="0" fillId="34" borderId="0" xfId="0" applyNumberFormat="1" applyFill="1"/>
    <xf numFmtId="2" fontId="16" fillId="0" borderId="0" xfId="0" applyNumberFormat="1" applyFont="1" applyAlignment="1">
      <alignment horizontal="right" wrapText="1"/>
    </xf>
    <xf numFmtId="0" fontId="16" fillId="0" borderId="0" xfId="0" applyFont="1" applyAlignment="1">
      <alignment horizontal="right" wrapText="1"/>
    </xf>
    <xf numFmtId="2" fontId="0" fillId="0" borderId="0" xfId="0" applyNumberFormat="1"/>
    <xf numFmtId="0" fontId="0" fillId="0" borderId="0" xfId="0" applyAlignment="1">
      <alignment horizontal="center" vertical="center"/>
    </xf>
    <xf numFmtId="0" fontId="0" fillId="33" borderId="0" xfId="0" applyFill="1" applyAlignment="1">
      <alignment horizontal="center" vertical="center"/>
    </xf>
    <xf numFmtId="0" fontId="0" fillId="33" borderId="0" xfId="0" applyFill="1" applyAlignment="1">
      <alignment horizontal="right"/>
    </xf>
    <xf numFmtId="0" fontId="0" fillId="0" borderId="0" xfId="0" applyAlignment="1">
      <alignment horizontal="right"/>
    </xf>
    <xf numFmtId="0" fontId="22" fillId="0" borderId="0" xfId="0" applyFont="1" applyAlignment="1">
      <alignment horizontal="right" vertical="center"/>
    </xf>
    <xf numFmtId="0" fontId="19" fillId="0" borderId="0" xfId="0" applyFont="1" applyAlignment="1">
      <alignment horizontal="right" vertical="center" wrapText="1"/>
    </xf>
    <xf numFmtId="2" fontId="25" fillId="0" borderId="0" xfId="0" applyNumberFormat="1" applyFont="1" applyBorder="1" applyAlignment="1">
      <alignment horizontal="right" wrapText="1"/>
    </xf>
    <xf numFmtId="1" fontId="25" fillId="0" borderId="0" xfId="0" applyNumberFormat="1" applyFont="1" applyBorder="1" applyAlignment="1">
      <alignment horizontal="right" wrapText="1"/>
    </xf>
    <xf numFmtId="0" fontId="0" fillId="0" borderId="0" xfId="0" applyAlignment="1"/>
    <xf numFmtId="0" fontId="22" fillId="0" borderId="0" xfId="0" applyFont="1" applyAlignment="1" applyProtection="1">
      <alignment horizontal="right" vertical="center"/>
    </xf>
    <xf numFmtId="0" fontId="19" fillId="0" borderId="0" xfId="0" applyFont="1" applyAlignment="1" applyProtection="1">
      <alignment horizontal="center" vertical="center" wrapText="1"/>
    </xf>
    <xf numFmtId="0" fontId="0" fillId="0" borderId="0" xfId="0" applyAlignment="1" applyProtection="1">
      <alignment horizontal="right"/>
    </xf>
    <xf numFmtId="0" fontId="0" fillId="33" borderId="0" xfId="0" applyFill="1" applyAlignment="1" applyProtection="1">
      <alignment horizontal="right"/>
    </xf>
    <xf numFmtId="2" fontId="25" fillId="0" borderId="0" xfId="0" applyNumberFormat="1" applyFont="1" applyBorder="1" applyAlignment="1" applyProtection="1">
      <alignment horizontal="right" wrapText="1"/>
    </xf>
    <xf numFmtId="1" fontId="25" fillId="0" borderId="0" xfId="0" applyNumberFormat="1" applyFont="1" applyBorder="1" applyAlignment="1" applyProtection="1">
      <alignment horizontal="right" wrapText="1"/>
    </xf>
    <xf numFmtId="0" fontId="26" fillId="0" borderId="0" xfId="0" applyFont="1"/>
    <xf numFmtId="0" fontId="27" fillId="0" borderId="0" xfId="0" applyFont="1" applyAlignment="1">
      <alignment vertical="center"/>
    </xf>
    <xf numFmtId="0" fontId="28" fillId="0" borderId="0" xfId="0" applyFont="1" applyAlignment="1">
      <alignment horizontal="right" wrapText="1"/>
    </xf>
    <xf numFmtId="0" fontId="26" fillId="33" borderId="0" xfId="0" applyFont="1" applyFill="1"/>
    <xf numFmtId="0" fontId="0" fillId="0" borderId="0" xfId="0" applyFill="1"/>
    <xf numFmtId="2" fontId="29" fillId="0" borderId="0" xfId="0" applyNumberFormat="1" applyFont="1" applyAlignment="1">
      <alignment horizontal="center" wrapText="1"/>
    </xf>
    <xf numFmtId="0" fontId="0" fillId="0" borderId="0" xfId="0" applyAlignment="1">
      <alignment wrapText="1"/>
    </xf>
    <xf numFmtId="0" fontId="30" fillId="0" borderId="0" xfId="0" applyFont="1"/>
    <xf numFmtId="0" fontId="30" fillId="0" borderId="11" xfId="0" applyFont="1" applyBorder="1"/>
    <xf numFmtId="0" fontId="31" fillId="0" borderId="0" xfId="0" applyFont="1" applyAlignment="1">
      <alignment horizontal="center" vertical="center" wrapText="1"/>
    </xf>
    <xf numFmtId="0" fontId="31" fillId="0" borderId="0" xfId="0" applyFont="1" applyFill="1" applyAlignment="1">
      <alignment horizontal="center" vertical="center" wrapText="1"/>
    </xf>
    <xf numFmtId="0" fontId="31" fillId="0" borderId="0" xfId="0" applyFont="1" applyAlignment="1">
      <alignment horizontal="center" vertical="center"/>
    </xf>
    <xf numFmtId="0" fontId="31" fillId="0" borderId="0" xfId="0" applyFont="1" applyAlignment="1" applyProtection="1">
      <alignment horizontal="center" vertical="center" wrapText="1"/>
    </xf>
    <xf numFmtId="0" fontId="0" fillId="0" borderId="12" xfId="0" applyBorder="1" applyAlignment="1">
      <alignment horizontal="center" vertical="center"/>
    </xf>
    <xf numFmtId="0" fontId="0" fillId="0" borderId="12" xfId="0" applyFont="1" applyFill="1" applyBorder="1" applyAlignment="1" applyProtection="1">
      <alignment horizontal="center"/>
    </xf>
    <xf numFmtId="0" fontId="0" fillId="0" borderId="12" xfId="0" applyFill="1" applyBorder="1" applyAlignment="1">
      <alignment horizontal="center"/>
    </xf>
    <xf numFmtId="0" fontId="0" fillId="0" borderId="12" xfId="0" applyFill="1" applyBorder="1" applyAlignment="1">
      <alignment vertical="top"/>
    </xf>
    <xf numFmtId="0" fontId="18" fillId="0" borderId="12" xfId="0" applyFont="1" applyBorder="1" applyProtection="1"/>
    <xf numFmtId="0" fontId="0" fillId="0" borderId="12" xfId="0" applyBorder="1" applyAlignment="1" applyProtection="1">
      <alignment horizontal="center" vertical="center"/>
      <protection locked="0"/>
    </xf>
    <xf numFmtId="0" fontId="31" fillId="0" borderId="12" xfId="0" applyFont="1" applyBorder="1" applyAlignment="1">
      <alignment horizontal="center" vertical="center"/>
    </xf>
    <xf numFmtId="1" fontId="0" fillId="34" borderId="11" xfId="0" applyNumberFormat="1" applyFill="1" applyBorder="1"/>
    <xf numFmtId="2" fontId="0" fillId="0" borderId="12" xfId="0" applyNumberFormat="1" applyBorder="1" applyAlignment="1">
      <alignment horizontal="right" wrapText="1"/>
    </xf>
    <xf numFmtId="2" fontId="0" fillId="0" borderId="12" xfId="0" applyNumberFormat="1" applyBorder="1"/>
    <xf numFmtId="1" fontId="26" fillId="0" borderId="12" xfId="0" applyNumberFormat="1" applyFont="1" applyBorder="1"/>
    <xf numFmtId="1" fontId="26" fillId="0" borderId="12" xfId="0" applyNumberFormat="1" applyFont="1" applyBorder="1" applyAlignment="1" applyProtection="1">
      <alignment horizontal="center"/>
    </xf>
    <xf numFmtId="0" fontId="0" fillId="0" borderId="12" xfId="0" applyFill="1" applyBorder="1"/>
    <xf numFmtId="0" fontId="0" fillId="0" borderId="12" xfId="0" applyBorder="1"/>
    <xf numFmtId="0" fontId="0" fillId="0" borderId="12" xfId="0" applyFill="1" applyBorder="1" applyAlignment="1" applyProtection="1">
      <alignment horizontal="center" vertical="center"/>
      <protection locked="0"/>
    </xf>
    <xf numFmtId="0" fontId="0" fillId="35" borderId="12" xfId="0" applyFill="1" applyBorder="1" applyAlignment="1">
      <alignment horizontal="center" vertical="center"/>
    </xf>
    <xf numFmtId="0" fontId="0" fillId="35" borderId="12" xfId="0" applyFont="1" applyFill="1" applyBorder="1" applyAlignment="1" applyProtection="1">
      <alignment horizontal="center"/>
    </xf>
    <xf numFmtId="0" fontId="0" fillId="35" borderId="12" xfId="0" applyFill="1" applyBorder="1" applyAlignment="1">
      <alignment vertical="top"/>
    </xf>
    <xf numFmtId="0" fontId="0" fillId="35" borderId="12" xfId="0" applyFill="1" applyBorder="1" applyAlignment="1" applyProtection="1">
      <alignment horizontal="center" vertical="center"/>
      <protection locked="0"/>
    </xf>
    <xf numFmtId="2" fontId="0" fillId="35" borderId="12" xfId="0" applyNumberFormat="1" applyFill="1" applyBorder="1" applyAlignment="1">
      <alignment horizontal="right" wrapText="1"/>
    </xf>
    <xf numFmtId="2" fontId="0" fillId="35" borderId="12" xfId="0" applyNumberFormat="1" applyFill="1" applyBorder="1"/>
    <xf numFmtId="1" fontId="26" fillId="35" borderId="12" xfId="0" applyNumberFormat="1" applyFont="1" applyFill="1" applyBorder="1"/>
    <xf numFmtId="1" fontId="26" fillId="35" borderId="12" xfId="0" applyNumberFormat="1" applyFont="1" applyFill="1" applyBorder="1" applyAlignment="1" applyProtection="1">
      <alignment horizontal="center"/>
    </xf>
    <xf numFmtId="0" fontId="26" fillId="35" borderId="12" xfId="0" applyFont="1" applyFill="1" applyBorder="1" applyAlignment="1" applyProtection="1">
      <alignment horizontal="center" vertical="center"/>
    </xf>
    <xf numFmtId="0" fontId="0" fillId="35" borderId="12" xfId="0" applyFill="1" applyBorder="1"/>
    <xf numFmtId="0" fontId="0" fillId="0" borderId="12" xfId="0" applyBorder="1" applyAlignment="1">
      <alignment horizontal="center"/>
    </xf>
    <xf numFmtId="0" fontId="0" fillId="0" borderId="12" xfId="0" applyBorder="1" applyAlignment="1">
      <alignment vertical="top"/>
    </xf>
    <xf numFmtId="0" fontId="0" fillId="0" borderId="12" xfId="0" applyBorder="1" applyAlignment="1" applyProtection="1">
      <alignment horizontal="right"/>
    </xf>
    <xf numFmtId="0" fontId="32" fillId="0" borderId="0" xfId="0" applyFont="1" applyAlignment="1">
      <alignment horizontal="center"/>
    </xf>
    <xf numFmtId="0" fontId="0" fillId="0" borderId="0" xfId="0" applyFont="1"/>
    <xf numFmtId="0" fontId="0" fillId="0" borderId="0" xfId="0" applyFont="1" applyProtection="1"/>
    <xf numFmtId="0" fontId="32" fillId="0" borderId="0" xfId="0" applyFont="1" applyAlignment="1">
      <alignment horizontal="center" vertical="center"/>
    </xf>
    <xf numFmtId="0" fontId="0" fillId="0" borderId="0" xfId="0" applyFont="1" applyAlignment="1">
      <alignment vertical="center"/>
    </xf>
    <xf numFmtId="0" fontId="0" fillId="0" borderId="0" xfId="0" applyFont="1" applyAlignment="1" applyProtection="1">
      <alignment vertical="center"/>
    </xf>
    <xf numFmtId="0" fontId="0" fillId="0" borderId="12" xfId="0" applyFont="1" applyBorder="1" applyAlignment="1" applyProtection="1">
      <alignment horizontal="center"/>
      <protection locked="0"/>
    </xf>
    <xf numFmtId="0" fontId="0" fillId="0" borderId="12" xfId="0" applyFont="1" applyBorder="1" applyAlignment="1" applyProtection="1">
      <alignment horizontal="center" vertical="center"/>
    </xf>
    <xf numFmtId="0" fontId="0" fillId="0" borderId="12" xfId="0" applyFont="1" applyFill="1" applyBorder="1" applyAlignment="1" applyProtection="1">
      <alignment horizontal="center"/>
      <protection locked="0"/>
    </xf>
    <xf numFmtId="0" fontId="0" fillId="0" borderId="12" xfId="0" applyFont="1" applyBorder="1" applyAlignment="1" applyProtection="1">
      <alignment horizontal="center"/>
    </xf>
    <xf numFmtId="0" fontId="0" fillId="0" borderId="12" xfId="0" applyFont="1" applyBorder="1" applyAlignment="1">
      <alignment horizontal="center" vertical="center"/>
    </xf>
    <xf numFmtId="0" fontId="0" fillId="0" borderId="12" xfId="0" applyFont="1" applyFill="1" applyBorder="1" applyAlignment="1">
      <alignment horizontal="center" vertical="center"/>
    </xf>
    <xf numFmtId="0" fontId="0" fillId="0" borderId="12" xfId="0" applyFont="1" applyBorder="1" applyAlignment="1" applyProtection="1">
      <alignment horizontal="center" vertical="center"/>
      <protection locked="0"/>
    </xf>
    <xf numFmtId="0" fontId="0" fillId="0" borderId="12" xfId="0" applyFont="1" applyFill="1" applyBorder="1" applyAlignment="1" applyProtection="1">
      <alignment horizontal="center" vertical="center"/>
    </xf>
    <xf numFmtId="0" fontId="0" fillId="0" borderId="12"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protection locked="0"/>
    </xf>
    <xf numFmtId="0" fontId="0" fillId="35" borderId="12" xfId="0" applyFont="1" applyFill="1" applyBorder="1" applyAlignment="1" applyProtection="1">
      <alignment horizontal="center" vertical="center"/>
    </xf>
    <xf numFmtId="0" fontId="0" fillId="35" borderId="12" xfId="0" applyFont="1" applyFill="1" applyBorder="1" applyAlignment="1">
      <alignment horizontal="center" vertical="center"/>
    </xf>
    <xf numFmtId="0" fontId="0" fillId="35" borderId="12" xfId="0" applyFont="1" applyFill="1" applyBorder="1" applyAlignment="1" applyProtection="1">
      <alignment horizontal="center" vertical="center"/>
      <protection locked="0"/>
    </xf>
    <xf numFmtId="0" fontId="31" fillId="0" borderId="12" xfId="0" applyFont="1" applyFill="1" applyBorder="1" applyAlignment="1">
      <alignment horizontal="center" vertical="center"/>
    </xf>
    <xf numFmtId="0" fontId="0" fillId="33" borderId="0" xfId="0" applyFont="1" applyFill="1" applyAlignment="1"/>
    <xf numFmtId="0" fontId="0" fillId="33" borderId="0" xfId="0" applyFont="1" applyFill="1"/>
    <xf numFmtId="0" fontId="0" fillId="33" borderId="0" xfId="0" applyFont="1" applyFill="1" applyAlignment="1">
      <alignment horizontal="center"/>
    </xf>
    <xf numFmtId="0" fontId="0" fillId="33" borderId="0" xfId="0" applyFont="1" applyFill="1" applyProtection="1"/>
    <xf numFmtId="0" fontId="0" fillId="0" borderId="0" xfId="0" applyFont="1" applyAlignment="1">
      <alignment horizontal="center"/>
    </xf>
    <xf numFmtId="0" fontId="0" fillId="0" borderId="0" xfId="0" applyFont="1" applyAlignment="1"/>
    <xf numFmtId="0" fontId="0" fillId="0" borderId="12" xfId="0" applyFill="1" applyBorder="1" applyAlignment="1">
      <alignment vertical="top" wrapText="1"/>
    </xf>
    <xf numFmtId="0" fontId="0" fillId="35" borderId="12" xfId="0" applyFill="1" applyBorder="1" applyAlignment="1">
      <alignment vertical="top" wrapText="1"/>
    </xf>
    <xf numFmtId="0" fontId="0" fillId="0" borderId="12" xfId="0" applyFill="1" applyBorder="1" applyAlignment="1">
      <alignment horizontal="center" vertical="center"/>
    </xf>
    <xf numFmtId="0" fontId="18" fillId="0" borderId="12" xfId="0" applyFont="1" applyFill="1" applyBorder="1" applyProtection="1"/>
    <xf numFmtId="1" fontId="0" fillId="0" borderId="11" xfId="0" applyNumberFormat="1" applyFill="1" applyBorder="1"/>
    <xf numFmtId="2" fontId="0" fillId="0" borderId="12" xfId="0" applyNumberFormat="1" applyFill="1" applyBorder="1" applyAlignment="1">
      <alignment horizontal="right" wrapText="1"/>
    </xf>
    <xf numFmtId="2" fontId="0" fillId="0" borderId="12" xfId="0" applyNumberFormat="1" applyFill="1" applyBorder="1"/>
    <xf numFmtId="1" fontId="26" fillId="0" borderId="12" xfId="0" applyNumberFormat="1" applyFont="1" applyFill="1" applyBorder="1"/>
    <xf numFmtId="1" fontId="26" fillId="0" borderId="12" xfId="0" applyNumberFormat="1" applyFont="1" applyFill="1" applyBorder="1" applyAlignment="1" applyProtection="1">
      <alignment horizontal="center"/>
    </xf>
    <xf numFmtId="0" fontId="26" fillId="0" borderId="12" xfId="0" applyFont="1" applyFill="1" applyBorder="1" applyAlignment="1" applyProtection="1">
      <alignment horizontal="center" vertical="center"/>
    </xf>
    <xf numFmtId="0" fontId="31" fillId="35" borderId="12" xfId="0" applyFont="1" applyFill="1" applyBorder="1" applyAlignment="1">
      <alignment horizontal="center" vertical="center"/>
    </xf>
    <xf numFmtId="1" fontId="0" fillId="35" borderId="11" xfId="0" applyNumberFormat="1" applyFill="1" applyBorder="1"/>
    <xf numFmtId="0" fontId="31" fillId="35" borderId="12" xfId="0" applyFont="1" applyFill="1" applyBorder="1" applyAlignment="1" applyProtection="1">
      <alignment horizontal="center" vertical="center"/>
      <protection locked="0"/>
    </xf>
    <xf numFmtId="0" fontId="0" fillId="0" borderId="0" xfId="0" applyAlignment="1">
      <alignment horizontal="center"/>
    </xf>
    <xf numFmtId="0" fontId="0" fillId="0" borderId="12" xfId="0" applyFill="1" applyBorder="1" applyAlignment="1">
      <alignment horizontal="center"/>
    </xf>
    <xf numFmtId="0" fontId="0" fillId="0" borderId="12" xfId="0" applyFill="1" applyBorder="1" applyAlignment="1">
      <alignment vertical="top"/>
    </xf>
    <xf numFmtId="0" fontId="0" fillId="35" borderId="12" xfId="0" applyFill="1" applyBorder="1" applyAlignment="1">
      <alignment vertical="top"/>
    </xf>
    <xf numFmtId="0" fontId="0" fillId="35" borderId="12" xfId="0" applyFill="1" applyBorder="1" applyAlignment="1">
      <alignment horizontal="center"/>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34" borderId="12" xfId="0" applyFill="1" applyBorder="1" applyAlignment="1">
      <alignment horizontal="center" vertical="center"/>
    </xf>
    <xf numFmtId="0" fontId="0" fillId="34" borderId="12" xfId="0" applyFont="1" applyFill="1" applyBorder="1" applyAlignment="1" applyProtection="1">
      <alignment horizontal="center"/>
    </xf>
    <xf numFmtId="0" fontId="0" fillId="34" borderId="12" xfId="0" applyFill="1" applyBorder="1" applyAlignment="1">
      <alignment horizontal="center"/>
    </xf>
    <xf numFmtId="0" fontId="0" fillId="34" borderId="12" xfId="0" applyFill="1" applyBorder="1" applyAlignment="1">
      <alignment vertical="top"/>
    </xf>
    <xf numFmtId="0" fontId="0" fillId="34" borderId="12" xfId="0" applyFont="1" applyFill="1" applyBorder="1" applyAlignment="1" applyProtection="1">
      <alignment horizontal="center"/>
      <protection locked="0"/>
    </xf>
    <xf numFmtId="0" fontId="0" fillId="34" borderId="12" xfId="0" applyFont="1" applyFill="1" applyBorder="1" applyAlignment="1" applyProtection="1">
      <alignment horizontal="center" vertical="center"/>
    </xf>
    <xf numFmtId="0" fontId="0" fillId="34" borderId="12" xfId="0" applyFont="1" applyFill="1" applyBorder="1" applyAlignment="1" applyProtection="1">
      <alignment horizontal="center" vertical="center"/>
      <protection locked="0"/>
    </xf>
    <xf numFmtId="2" fontId="0" fillId="34" borderId="12" xfId="0" applyNumberFormat="1" applyFill="1" applyBorder="1" applyAlignment="1">
      <alignment horizontal="right" wrapText="1"/>
    </xf>
    <xf numFmtId="2" fontId="0" fillId="34" borderId="12" xfId="0" applyNumberFormat="1" applyFill="1" applyBorder="1"/>
    <xf numFmtId="1" fontId="26" fillId="34" borderId="12" xfId="0" applyNumberFormat="1" applyFont="1" applyFill="1" applyBorder="1"/>
    <xf numFmtId="0" fontId="0" fillId="34" borderId="12" xfId="0" applyFill="1" applyBorder="1" applyAlignment="1" applyProtection="1">
      <alignment horizontal="center" vertical="center"/>
      <protection locked="0"/>
    </xf>
    <xf numFmtId="1" fontId="26" fillId="34" borderId="12" xfId="0" applyNumberFormat="1" applyFont="1" applyFill="1" applyBorder="1" applyAlignment="1" applyProtection="1">
      <alignment horizontal="center"/>
    </xf>
    <xf numFmtId="0" fontId="26" fillId="34" borderId="12" xfId="0" applyFont="1" applyFill="1" applyBorder="1" applyAlignment="1" applyProtection="1">
      <alignment horizontal="center" vertical="center"/>
    </xf>
    <xf numFmtId="0" fontId="0" fillId="34" borderId="12" xfId="0" applyFill="1" applyBorder="1"/>
    <xf numFmtId="0" fontId="0" fillId="34" borderId="12" xfId="0" applyFill="1" applyBorder="1" applyAlignment="1" applyProtection="1">
      <alignment horizontal="center"/>
    </xf>
    <xf numFmtId="0" fontId="0" fillId="34" borderId="12" xfId="0" applyFill="1" applyBorder="1" applyAlignment="1">
      <alignment vertical="top" wrapText="1"/>
    </xf>
    <xf numFmtId="0" fontId="0" fillId="0" borderId="12" xfId="0" applyBorder="1" applyAlignment="1" applyProtection="1">
      <alignment horizontal="center"/>
      <protection locked="0"/>
    </xf>
    <xf numFmtId="0" fontId="14" fillId="0" borderId="12" xfId="0" applyFont="1" applyFill="1" applyBorder="1" applyAlignment="1" applyProtection="1">
      <alignment horizontal="center"/>
      <protection locked="0"/>
    </xf>
    <xf numFmtId="0" fontId="14" fillId="35" borderId="12" xfId="0" applyFont="1" applyFill="1" applyBorder="1" applyAlignment="1" applyProtection="1">
      <alignment horizontal="center"/>
      <protection locked="0"/>
    </xf>
    <xf numFmtId="0" fontId="14" fillId="0" borderId="12" xfId="0" applyFont="1" applyFill="1" applyBorder="1" applyAlignment="1" applyProtection="1">
      <alignment horizontal="center" vertical="center"/>
      <protection locked="0"/>
    </xf>
    <xf numFmtId="0" fontId="34" fillId="35" borderId="12" xfId="0" applyFont="1" applyFill="1" applyBorder="1" applyAlignment="1">
      <alignment horizontal="center" vertical="center"/>
    </xf>
    <xf numFmtId="0" fontId="0" fillId="37" borderId="0" xfId="0" applyFill="1" applyAlignment="1">
      <alignment horizontal="center"/>
    </xf>
    <xf numFmtId="0" fontId="0" fillId="37" borderId="12" xfId="0" applyFill="1" applyBorder="1" applyAlignment="1">
      <alignment horizontal="center"/>
    </xf>
    <xf numFmtId="0" fontId="0" fillId="37" borderId="12" xfId="0" applyFill="1" applyBorder="1" applyAlignment="1">
      <alignment vertical="top"/>
    </xf>
    <xf numFmtId="0" fontId="0" fillId="36" borderId="12" xfId="0" applyFont="1" applyFill="1" applyBorder="1" applyAlignment="1" applyProtection="1">
      <alignment horizontal="center"/>
      <protection locked="0"/>
    </xf>
    <xf numFmtId="0" fontId="0" fillId="36" borderId="12" xfId="0" applyFont="1" applyFill="1" applyBorder="1" applyAlignment="1" applyProtection="1">
      <alignment horizontal="center" vertical="center"/>
    </xf>
    <xf numFmtId="0" fontId="14" fillId="36" borderId="12" xfId="0" applyFont="1" applyFill="1" applyBorder="1" applyAlignment="1" applyProtection="1">
      <alignment horizontal="center"/>
      <protection locked="0"/>
    </xf>
    <xf numFmtId="0" fontId="31" fillId="36" borderId="12" xfId="0" applyFont="1" applyFill="1" applyBorder="1" applyAlignment="1">
      <alignment horizontal="center" vertical="center"/>
    </xf>
    <xf numFmtId="0" fontId="0" fillId="36" borderId="12" xfId="0" applyFont="1" applyFill="1" applyBorder="1" applyAlignment="1" applyProtection="1">
      <alignment horizontal="center"/>
    </xf>
    <xf numFmtId="0" fontId="0" fillId="36" borderId="12" xfId="0" applyFont="1" applyFill="1" applyBorder="1" applyAlignment="1" applyProtection="1">
      <alignment horizontal="center" vertical="center"/>
      <protection locked="0"/>
    </xf>
    <xf numFmtId="0" fontId="0" fillId="36" borderId="12" xfId="0" applyFont="1" applyFill="1" applyBorder="1" applyAlignment="1">
      <alignment horizontal="center" vertical="center"/>
    </xf>
    <xf numFmtId="0" fontId="0" fillId="0" borderId="0" xfId="0" applyFill="1" applyAlignment="1">
      <alignment horizontal="center" vertical="center" wrapText="1"/>
    </xf>
    <xf numFmtId="0" fontId="31" fillId="0" borderId="0" xfId="0" applyFont="1" applyAlignment="1">
      <alignment horizontal="left" vertical="center" wrapText="1"/>
    </xf>
    <xf numFmtId="0" fontId="0" fillId="35" borderId="12" xfId="0" applyFill="1" applyBorder="1" applyAlignment="1">
      <alignment horizontal="left" vertical="top"/>
    </xf>
    <xf numFmtId="0" fontId="0" fillId="34" borderId="12" xfId="0" applyFill="1" applyBorder="1" applyAlignment="1">
      <alignment horizontal="left" vertical="top"/>
    </xf>
    <xf numFmtId="0" fontId="0" fillId="0" borderId="12" xfId="0" applyBorder="1" applyAlignment="1">
      <alignment horizontal="left" vertical="top"/>
    </xf>
    <xf numFmtId="0" fontId="31" fillId="37" borderId="0" xfId="0" applyFont="1" applyFill="1" applyAlignment="1">
      <alignment horizontal="left" vertical="center" wrapText="1"/>
    </xf>
    <xf numFmtId="0" fontId="0" fillId="37" borderId="12" xfId="0" applyFill="1" applyBorder="1" applyAlignment="1">
      <alignment horizontal="left" vertical="top"/>
    </xf>
    <xf numFmtId="0" fontId="18" fillId="0" borderId="12" xfId="0" applyFont="1" applyBorder="1"/>
    <xf numFmtId="0" fontId="31" fillId="0" borderId="12" xfId="0" applyFont="1" applyBorder="1" applyAlignment="1">
      <alignment horizontal="left" vertical="center" wrapText="1"/>
    </xf>
    <xf numFmtId="0" fontId="0" fillId="0" borderId="0" xfId="0" applyBorder="1" applyAlignment="1">
      <alignment horizontal="left" vertical="top"/>
    </xf>
    <xf numFmtId="0" fontId="0" fillId="0" borderId="0" xfId="0" applyBorder="1" applyAlignment="1">
      <alignment vertical="top"/>
    </xf>
    <xf numFmtId="0" fontId="35" fillId="0" borderId="0" xfId="0" applyFont="1"/>
    <xf numFmtId="0" fontId="35" fillId="0" borderId="0" xfId="0" applyFont="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76">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s>
  <tableStyles count="0" defaultTableStyle="TableStyleMedium2" defaultPivotStyle="PivotStyleLight16"/>
  <colors>
    <mruColors>
      <color rgb="FFFFCCCC"/>
      <color rgb="FFFFCC99"/>
      <color rgb="FFCC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danaschuh/Documents/My%20Documents/Data/NHSEE/UNH/Open%202018%20Scoring%20UNH%20Ver07.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schuh" refreshedDate="43625.391244675928" createdVersion="3" refreshedVersion="6" minRefreshableVersion="3" recordCount="67" xr:uid="{610CB7C0-C4FF-4FBF-9F0A-E3A920EFF4F4}">
  <cacheSource type="worksheet">
    <worksheetSource ref="C3:HF70" sheet="Student Open Competition Regist" r:id="rId2"/>
  </cacheSource>
  <cacheFields count="212">
    <cacheField name="Table #" numFmtId="0">
      <sharedItems containsMixedTypes="1" containsNumber="1" containsInteger="1" minValue="1" maxValue="78" count="67">
        <s v="Table #"/>
        <n v="68"/>
        <n v="19"/>
        <n v="4"/>
        <n v="39"/>
        <n v="36"/>
        <n v="45"/>
        <n v="48"/>
        <n v="66"/>
        <n v="24"/>
        <n v="12"/>
        <n v="32"/>
        <n v="37"/>
        <n v="56"/>
        <n v="78"/>
        <n v="57"/>
        <n v="13"/>
        <n v="62"/>
        <n v="22"/>
        <n v="70"/>
        <n v="15"/>
        <n v="7"/>
        <n v="42"/>
        <n v="72"/>
        <n v="69"/>
        <n v="54"/>
        <n v="10"/>
        <n v="38"/>
        <n v="28"/>
        <n v="30"/>
        <n v="55"/>
        <n v="33"/>
        <n v="40"/>
        <n v="26"/>
        <n v="21"/>
        <n v="44"/>
        <n v="9"/>
        <n v="1"/>
        <n v="77"/>
        <n v="67"/>
        <n v="59"/>
        <n v="74"/>
        <n v="5"/>
        <n v="34"/>
        <n v="2"/>
        <n v="31"/>
        <n v="25"/>
        <n v="61"/>
        <n v="58"/>
        <n v="71"/>
        <n v="6"/>
        <n v="14"/>
        <n v="3"/>
        <n v="46"/>
        <n v="17"/>
        <n v="20"/>
        <n v="11"/>
        <n v="49"/>
        <n v="35"/>
        <n v="29"/>
        <n v="50"/>
        <n v="51"/>
        <n v="43"/>
        <n v="47"/>
        <n v="8"/>
        <n v="16"/>
        <s v="C-1"/>
      </sharedItems>
    </cacheField>
    <cacheField name="Registration_Number" numFmtId="0">
      <sharedItems count="67">
        <s v="reg_number_short"/>
        <s v="OP-I5N"/>
        <s v="OP-3CA"/>
        <s v="OP-ASC"/>
        <s v="OP-9SJ"/>
        <s v="OP-DJS"/>
        <s v="OP-J39"/>
        <s v="OP-GVC"/>
        <s v="OP-PIA"/>
        <s v="OP-ROB"/>
        <s v="OP-WNH"/>
        <s v="OP-BJG"/>
        <s v="OP-8VW"/>
        <s v="OP-CL7"/>
        <s v="OP-QIH"/>
        <s v="OP-MZE"/>
        <s v="OP-QNO"/>
        <s v="OP-0VV"/>
        <s v="OP-0F0"/>
        <s v="OP-BVY"/>
        <s v="OP-EMW"/>
        <s v="OP-VES"/>
        <s v="OP-EUK"/>
        <s v="OP-1JH"/>
        <s v="OP-5MN"/>
        <s v="OP-FV2"/>
        <s v="OP-K8Z"/>
        <s v="OP-LN4"/>
        <s v="OP-NUK"/>
        <s v="OP-TA1"/>
        <s v="OP-VCX"/>
        <s v="OP-YVB"/>
        <s v="OP-1YJ"/>
        <s v="OP-BZN"/>
        <s v="OP-FM2"/>
        <s v="OP-LMU"/>
        <s v="OP-VMT"/>
        <s v="OP-Z2I"/>
        <s v="OP-030"/>
        <s v="OP-AEZ"/>
        <s v="OP-6WW"/>
        <s v="OP-OS1"/>
        <s v="OP-V67"/>
        <s v="OP-FDP"/>
        <s v="OP-56Z"/>
        <s v="OP-9DO"/>
        <s v="OP-0XQ"/>
        <s v="OP-04Z"/>
        <s v="OP-B0G"/>
        <s v="OP-Y6Y"/>
        <s v="OP-CL4"/>
        <s v="OP-YRK"/>
        <s v="OP-IG2"/>
        <s v="OP-K45"/>
        <s v="OP-U62"/>
        <s v="OP-0BA"/>
        <s v="OP-7VT"/>
        <s v="OP-FZ7"/>
        <s v="OP-XE4"/>
        <s v="OP-WMC"/>
        <s v="OP-CAG"/>
        <s v="OP-0FP"/>
        <s v="OP-GXR"/>
        <s v="OP-4T8"/>
        <s v="OP-PVO"/>
        <s v="OP-VQ5"/>
        <s v="CH-GVG"/>
      </sharedItems>
    </cacheField>
    <cacheField name="Team Leader student-name" numFmtId="0">
      <sharedItems containsBlank="1"/>
    </cacheField>
    <cacheField name="Second Team Member student-name" numFmtId="0">
      <sharedItems containsBlank="1"/>
    </cacheField>
    <cacheField name="Third Team Member student-name" numFmtId="0">
      <sharedItems containsBlank="1"/>
    </cacheField>
    <cacheField name="school-name" numFmtId="0">
      <sharedItems containsBlank="1"/>
    </cacheField>
    <cacheField name="other-contact-name" numFmtId="0">
      <sharedItems containsBlank="1"/>
    </cacheField>
    <cacheField name="project-title" numFmtId="0">
      <sharedItems containsBlank="1" count="67">
        <m/>
        <s v="The Physical Effects of Political Debating with or without Preparation "/>
        <s v="The Affects of Music on Mood"/>
        <s v="Are Zodiac Signs Accurate?"/>
        <s v="How Do You ThINK?"/>
        <s v="Observing the Hawthorne Effect on Computational Ability across Various Age Groups"/>
        <s v="False Features: A Study in Cognitive Perception with Relation to Age and Familiarity"/>
        <s v="How Video Games Affect Reaction Time"/>
        <s v="A-Maze-Ing Mice"/>
        <s v="Laughter...Is it the Best Medicine?"/>
        <s v="The Effect of Age on Food Decisions with PACE Labels"/>
        <s v="The Effects of Cleaning Agents on the Presence of Peanut Proteins on Surfaces"/>
        <s v="Can eggshells be used as an effective fertilizer?"/>
        <s v="Biodegradability of Varying Bioplastics"/>
        <s v="Measure in the effectivnes of alkaline foods as a substitution for antacids supplements "/>
        <s v="Triclosan: It Can't Be That Bad!"/>
        <s v="Metal Madness: Bioremediation of Metal Contamination"/>
        <s v="Is Your Phone Crappy? That May be More Literal than You Think."/>
        <s v="Smoothing Out the Rough Spots: Reducing the Appearance of Keratosis Pilaris"/>
        <s v="What's Pestering You?"/>
        <s v="What's your gut feeling?"/>
        <s v="Acne or Not?"/>
        <s v="The Effect of Black Carbon on Antibiotic Resistance"/>
        <s v="Plants vs UV"/>
        <s v="Bacterial Blues: The Effect of Visible Light on Bacterial Growth"/>
        <s v="A Stinky Situation"/>
        <s v="Endospore Extermination"/>
        <s v="What Music Does Eukaryotic Cells Enjoy the Most?"/>
        <s v="Trouble for Turtles"/>
        <s v="Kudos to Glucose"/>
        <s v="Fungi Frenzy: Testing Antifungal Treatments on Tomato Plants Infected with Fusarium Oxysporum"/>
        <s v="Electrifying Bacteria: Modifying Gram-Positive Bacteria for Easier Electroporation"/>
        <s v="Health Risks in Teen Cosmetics"/>
        <s v="The relationship between balance and vestibular function"/>
        <s v="Heart Rate Recovery Among Different Age Groups"/>
        <s v="The effect of temperature on muscle contraction"/>
        <s v="Not So Social Media"/>
        <s v="Water vs. Gatorade and which has a more Positive Effect on an Athlete's Performance"/>
        <s v="Environmental Pollution Effects on Plant Growth and Development"/>
        <s v="Salt Runoff and Effect on Plant Growth"/>
        <s v="The Antibacterial Properties of Vitamins C, D, and E using Staphylococcus epidermidis and Escherichia coli."/>
        <s v="Testing The Effectiveness of Ethanol And Citric Acid as Disinfectants on Gram Positive And Negative Bacteria"/>
        <s v="Analyzing Bacterial Growth and Cleaning Techniques in Gymnastics Facilities"/>
        <s v="The Affect of Materials on Clay"/>
        <s v="Extracting Aluminum From Granite"/>
        <s v="Fruity Fermentation"/>
        <s v="Ion-Dipole Interactive Water Desalination System"/>
        <s v="A new paradigm for computer vision based on compositional representation"/>
        <s v="The Effects of Rocket Designs on Aerodynamic Forces"/>
        <s v="DEVELOPMENT OF DURABLE FLAME RETARDANT FABRICS VIA SURFACE CHEMICAL FUNCTIONALIZATION"/>
        <s v="The Effect of Excess Carbon Dioxide on Poa Pratensis"/>
        <s v="Pesticide Homicide: Premature Eggshell Dissolution"/>
        <s v="Leaf the Plants Alone"/>
        <s v="Leave No Trash"/>
        <s v="Going Green: Is Green Really Clean?"/>
        <s v="An Economical Appraoch for Detecting Water Contamination at Homes, Preventing a Public Drinking Water Crisis"/>
        <s v="A Faster Approach to Detecting Fecal Indicators in the Water Using Nanomaterials and Machine Learning "/>
        <s v="The Most Effective Water Filtering Methods for Clean Drinking Water"/>
        <s v="Climate Change Opinions of Members in our Community"/>
        <s v="Serving Size vs. Package Design"/>
        <s v="Analysis of Graph Search Algorithms – Optimized Heuristics for a Real Time Strategy Game "/>
        <s v="An Improved Upper Bound for the Fermat-Torricelli Ratio "/>
        <s v="Application of computational game theory to the investigation of the impact of topology on fixation time of antibiotic resistance genes in bacteria "/>
        <s v="Banana Power"/>
        <s v="Integrated Smart Eye (i-SEE)"/>
        <s v="Investigating the Effects of Propellant Mass Flow Rate and a Swirl Ring on the Efficiency of a Magnetoplasmadynamic Thruster"/>
        <s v="Optimizing the Growth of Yeast Cells Using a Liquid Culture"/>
      </sharedItems>
    </cacheField>
    <cacheField name="project-category" numFmtId="0">
      <sharedItems containsMixedTypes="1" containsNumber="1" containsInteger="1" minValue="67" maxValue="67" count="11">
        <n v="67"/>
        <s v="Behavioral Science"/>
        <s v="Biochemistry"/>
        <s v="Biology"/>
        <s v="Chemistry"/>
        <s v="Computers"/>
        <s v="Engineering"/>
        <s v="Environmental Science"/>
        <s v="Mathematics"/>
        <s v="Physics &amp; Electronics"/>
        <s v="Yeast Growth Challenge"/>
      </sharedItems>
    </cacheField>
    <cacheField name="project-description" numFmtId="0">
      <sharedItems containsBlank="1" longText="1"/>
    </cacheField>
    <cacheField name=" " numFmtId="0">
      <sharedItems/>
    </cacheField>
    <cacheField name="Judge01" numFmtId="0">
      <sharedItems containsBlank="1" count="2">
        <s v="AA027"/>
        <m/>
      </sharedItems>
    </cacheField>
    <cacheField name="Z-Judge01" numFmtId="0">
      <sharedItems/>
    </cacheField>
    <cacheField name="R-Judge01" numFmtId="0">
      <sharedItems/>
    </cacheField>
    <cacheField name="Judge02" numFmtId="0">
      <sharedItems containsBlank="1" count="2">
        <s v="AB028"/>
        <m/>
      </sharedItems>
    </cacheField>
    <cacheField name="Z-Judge02" numFmtId="0">
      <sharedItems/>
    </cacheField>
    <cacheField name="R-Judge02" numFmtId="0">
      <sharedItems/>
    </cacheField>
    <cacheField name="Judge03" numFmtId="0">
      <sharedItems containsBlank="1" count="2">
        <s v="AC029"/>
        <m/>
      </sharedItems>
    </cacheField>
    <cacheField name="Z-Judge03" numFmtId="0">
      <sharedItems/>
    </cacheField>
    <cacheField name="R-Judge03" numFmtId="0">
      <sharedItems/>
    </cacheField>
    <cacheField name="Judge04" numFmtId="0">
      <sharedItems containsBlank="1" count="2">
        <s v="AD030"/>
        <m/>
      </sharedItems>
    </cacheField>
    <cacheField name="Z-Judge04" numFmtId="0">
      <sharedItems/>
    </cacheField>
    <cacheField name="R-Judge04" numFmtId="0">
      <sharedItems/>
    </cacheField>
    <cacheField name="Judge05" numFmtId="0">
      <sharedItems containsBlank="1"/>
    </cacheField>
    <cacheField name="Z-Judge05" numFmtId="0">
      <sharedItems/>
    </cacheField>
    <cacheField name="R-Judge05" numFmtId="0">
      <sharedItems/>
    </cacheField>
    <cacheField name="Judge06" numFmtId="0">
      <sharedItems containsBlank="1"/>
    </cacheField>
    <cacheField name="Z-Judge06" numFmtId="0">
      <sharedItems/>
    </cacheField>
    <cacheField name="R-Judge06" numFmtId="0">
      <sharedItems/>
    </cacheField>
    <cacheField name="Judge07" numFmtId="0">
      <sharedItems containsBlank="1"/>
    </cacheField>
    <cacheField name="Z-Judge07" numFmtId="0">
      <sharedItems/>
    </cacheField>
    <cacheField name="R-Judge07" numFmtId="0">
      <sharedItems/>
    </cacheField>
    <cacheField name="Judge08" numFmtId="0">
      <sharedItems containsBlank="1"/>
    </cacheField>
    <cacheField name="Z-Judge08" numFmtId="0">
      <sharedItems/>
    </cacheField>
    <cacheField name="R-Judge08" numFmtId="0">
      <sharedItems/>
    </cacheField>
    <cacheField name="Judge09" numFmtId="0">
      <sharedItems containsBlank="1"/>
    </cacheField>
    <cacheField name="Z-Judge09" numFmtId="0">
      <sharedItems/>
    </cacheField>
    <cacheField name="R-Judge09" numFmtId="0">
      <sharedItems/>
    </cacheField>
    <cacheField name="Judge10" numFmtId="0">
      <sharedItems containsBlank="1"/>
    </cacheField>
    <cacheField name="Z-Judge10" numFmtId="0">
      <sharedItems/>
    </cacheField>
    <cacheField name="R-Judge10" numFmtId="0">
      <sharedItems/>
    </cacheField>
    <cacheField name="Judge11" numFmtId="0">
      <sharedItems containsBlank="1"/>
    </cacheField>
    <cacheField name="Z-Judge11" numFmtId="0">
      <sharedItems/>
    </cacheField>
    <cacheField name="R-Judge11" numFmtId="0">
      <sharedItems/>
    </cacheField>
    <cacheField name="Judge12" numFmtId="0">
      <sharedItems containsBlank="1"/>
    </cacheField>
    <cacheField name="Z-Judge12" numFmtId="0">
      <sharedItems/>
    </cacheField>
    <cacheField name="R-Judge12" numFmtId="0">
      <sharedItems/>
    </cacheField>
    <cacheField name="Judge13" numFmtId="0">
      <sharedItems containsBlank="1"/>
    </cacheField>
    <cacheField name="Z-Judge13" numFmtId="0">
      <sharedItems/>
    </cacheField>
    <cacheField name="R-Judge13" numFmtId="0">
      <sharedItems/>
    </cacheField>
    <cacheField name="Judge14" numFmtId="0">
      <sharedItems containsBlank="1"/>
    </cacheField>
    <cacheField name="Z-Judge14" numFmtId="0">
      <sharedItems/>
    </cacheField>
    <cacheField name="R-Judge14" numFmtId="0">
      <sharedItems/>
    </cacheField>
    <cacheField name="Judge15" numFmtId="0">
      <sharedItems containsBlank="1"/>
    </cacheField>
    <cacheField name="Z-Judge15" numFmtId="0">
      <sharedItems/>
    </cacheField>
    <cacheField name="R-Judge15" numFmtId="0">
      <sharedItems/>
    </cacheField>
    <cacheField name="Judge16" numFmtId="0">
      <sharedItems containsBlank="1"/>
    </cacheField>
    <cacheField name="Z-Judge16" numFmtId="0">
      <sharedItems/>
    </cacheField>
    <cacheField name="R-Judge16" numFmtId="0">
      <sharedItems/>
    </cacheField>
    <cacheField name="Judge17" numFmtId="0">
      <sharedItems containsBlank="1"/>
    </cacheField>
    <cacheField name="Z-Judge17" numFmtId="0">
      <sharedItems/>
    </cacheField>
    <cacheField name="R-Judge17" numFmtId="0">
      <sharedItems/>
    </cacheField>
    <cacheField name="Judge18" numFmtId="0">
      <sharedItems containsBlank="1"/>
    </cacheField>
    <cacheField name="Z-Judge18" numFmtId="0">
      <sharedItems/>
    </cacheField>
    <cacheField name="R-Judge18" numFmtId="0">
      <sharedItems/>
    </cacheField>
    <cacheField name="Judge19" numFmtId="0">
      <sharedItems containsBlank="1"/>
    </cacheField>
    <cacheField name="Z-Judge19" numFmtId="0">
      <sharedItems/>
    </cacheField>
    <cacheField name="R-Judge19" numFmtId="0">
      <sharedItems/>
    </cacheField>
    <cacheField name="Judge20" numFmtId="0">
      <sharedItems containsBlank="1"/>
    </cacheField>
    <cacheField name="Z-Judge20" numFmtId="0">
      <sharedItems/>
    </cacheField>
    <cacheField name="R-Judge20" numFmtId="0">
      <sharedItems/>
    </cacheField>
    <cacheField name="Judge21" numFmtId="0">
      <sharedItems containsBlank="1"/>
    </cacheField>
    <cacheField name="Z-Judge21" numFmtId="0">
      <sharedItems/>
    </cacheField>
    <cacheField name="R-Judge21" numFmtId="0">
      <sharedItems/>
    </cacheField>
    <cacheField name="Judge22" numFmtId="0">
      <sharedItems containsBlank="1"/>
    </cacheField>
    <cacheField name="Z-Judge22" numFmtId="0">
      <sharedItems/>
    </cacheField>
    <cacheField name="R-Judge22" numFmtId="0">
      <sharedItems/>
    </cacheField>
    <cacheField name="Judge23" numFmtId="0">
      <sharedItems containsBlank="1"/>
    </cacheField>
    <cacheField name="Z-Judge23" numFmtId="0">
      <sharedItems/>
    </cacheField>
    <cacheField name="R-Judge23" numFmtId="0">
      <sharedItems/>
    </cacheField>
    <cacheField name="Judge24" numFmtId="0">
      <sharedItems containsBlank="1"/>
    </cacheField>
    <cacheField name="Z-Judge24" numFmtId="0">
      <sharedItems/>
    </cacheField>
    <cacheField name="R-Judge24" numFmtId="0">
      <sharedItems/>
    </cacheField>
    <cacheField name="Judge25" numFmtId="0">
      <sharedItems containsBlank="1"/>
    </cacheField>
    <cacheField name="Z-Judge25" numFmtId="0">
      <sharedItems/>
    </cacheField>
    <cacheField name="R-Judge25" numFmtId="0">
      <sharedItems/>
    </cacheField>
    <cacheField name="Judge26" numFmtId="0">
      <sharedItems containsBlank="1"/>
    </cacheField>
    <cacheField name="Z-Judge26" numFmtId="0">
      <sharedItems/>
    </cacheField>
    <cacheField name="R-Judge26" numFmtId="0">
      <sharedItems/>
    </cacheField>
    <cacheField name="Judge27" numFmtId="0">
      <sharedItems containsBlank="1"/>
    </cacheField>
    <cacheField name="Z-Judge27" numFmtId="0">
      <sharedItems/>
    </cacheField>
    <cacheField name="R-Judge27" numFmtId="0">
      <sharedItems/>
    </cacheField>
    <cacheField name="Judge28" numFmtId="0">
      <sharedItems containsBlank="1"/>
    </cacheField>
    <cacheField name="Z-Judge28" numFmtId="0">
      <sharedItems/>
    </cacheField>
    <cacheField name="R-Judge28" numFmtId="0">
      <sharedItems/>
    </cacheField>
    <cacheField name="Judge29" numFmtId="0">
      <sharedItems containsBlank="1"/>
    </cacheField>
    <cacheField name="Z-Judge29" numFmtId="0">
      <sharedItems/>
    </cacheField>
    <cacheField name="R-Judge29" numFmtId="0">
      <sharedItems/>
    </cacheField>
    <cacheField name="Judge30" numFmtId="0">
      <sharedItems containsBlank="1"/>
    </cacheField>
    <cacheField name="Z-Judge30" numFmtId="0">
      <sharedItems/>
    </cacheField>
    <cacheField name="R-Judge30" numFmtId="0">
      <sharedItems/>
    </cacheField>
    <cacheField name="Judge31" numFmtId="0">
      <sharedItems containsBlank="1"/>
    </cacheField>
    <cacheField name="Z-Judge31" numFmtId="0">
      <sharedItems/>
    </cacheField>
    <cacheField name="R-Judge31" numFmtId="0">
      <sharedItems/>
    </cacheField>
    <cacheField name="Judge32" numFmtId="0">
      <sharedItems containsBlank="1"/>
    </cacheField>
    <cacheField name="Z-Judge32" numFmtId="0">
      <sharedItems/>
    </cacheField>
    <cacheField name="R-Judge32" numFmtId="0">
      <sharedItems/>
    </cacheField>
    <cacheField name="Judge33" numFmtId="0">
      <sharedItems containsBlank="1"/>
    </cacheField>
    <cacheField name="Z-Judge33" numFmtId="0">
      <sharedItems containsBlank="1"/>
    </cacheField>
    <cacheField name="R-Judge33" numFmtId="0">
      <sharedItems/>
    </cacheField>
    <cacheField name="Judge34" numFmtId="0">
      <sharedItems containsBlank="1"/>
    </cacheField>
    <cacheField name="Z-Judge34" numFmtId="0">
      <sharedItems/>
    </cacheField>
    <cacheField name="R-Judge34" numFmtId="0">
      <sharedItems/>
    </cacheField>
    <cacheField name="Judge35" numFmtId="0">
      <sharedItems containsBlank="1"/>
    </cacheField>
    <cacheField name="Z-Judge35" numFmtId="0">
      <sharedItems/>
    </cacheField>
    <cacheField name="R-Judge35" numFmtId="0">
      <sharedItems/>
    </cacheField>
    <cacheField name="Judge36" numFmtId="0">
      <sharedItems containsBlank="1"/>
    </cacheField>
    <cacheField name="Z-Judge36" numFmtId="0">
      <sharedItems/>
    </cacheField>
    <cacheField name="R-Judge36" numFmtId="0">
      <sharedItems/>
    </cacheField>
    <cacheField name="Judge37" numFmtId="0">
      <sharedItems containsBlank="1"/>
    </cacheField>
    <cacheField name="Z-Judge37" numFmtId="0">
      <sharedItems/>
    </cacheField>
    <cacheField name="R-Judge37" numFmtId="0">
      <sharedItems/>
    </cacheField>
    <cacheField name="Judge38" numFmtId="0">
      <sharedItems containsBlank="1"/>
    </cacheField>
    <cacheField name="Z-Judge38" numFmtId="0">
      <sharedItems/>
    </cacheField>
    <cacheField name="R-Judge38" numFmtId="0">
      <sharedItems/>
    </cacheField>
    <cacheField name="Judge39" numFmtId="0">
      <sharedItems containsBlank="1"/>
    </cacheField>
    <cacheField name="Z-Judge39" numFmtId="0">
      <sharedItems/>
    </cacheField>
    <cacheField name="R-Judge39" numFmtId="0">
      <sharedItems/>
    </cacheField>
    <cacheField name="Judge40" numFmtId="0">
      <sharedItems containsBlank="1"/>
    </cacheField>
    <cacheField name="Z-Judge40" numFmtId="0">
      <sharedItems/>
    </cacheField>
    <cacheField name="R-Judge40" numFmtId="0">
      <sharedItems/>
    </cacheField>
    <cacheField name="Judge41" numFmtId="0">
      <sharedItems containsBlank="1"/>
    </cacheField>
    <cacheField name="Z-Judge41" numFmtId="0">
      <sharedItems/>
    </cacheField>
    <cacheField name="R-Judge41" numFmtId="0">
      <sharedItems/>
    </cacheField>
    <cacheField name="Judge42" numFmtId="0">
      <sharedItems containsBlank="1"/>
    </cacheField>
    <cacheField name="Z-Judge42" numFmtId="0">
      <sharedItems/>
    </cacheField>
    <cacheField name="R-Judge42" numFmtId="0">
      <sharedItems/>
    </cacheField>
    <cacheField name="Judge43" numFmtId="0">
      <sharedItems containsBlank="1"/>
    </cacheField>
    <cacheField name="Z-Judge43" numFmtId="0">
      <sharedItems/>
    </cacheField>
    <cacheField name="R-Judge43" numFmtId="0">
      <sharedItems/>
    </cacheField>
    <cacheField name="Judge44" numFmtId="0">
      <sharedItems containsBlank="1"/>
    </cacheField>
    <cacheField name="Z-Judge44" numFmtId="0">
      <sharedItems/>
    </cacheField>
    <cacheField name="R-Judge44" numFmtId="0">
      <sharedItems/>
    </cacheField>
    <cacheField name="Judge45" numFmtId="0">
      <sharedItems containsBlank="1"/>
    </cacheField>
    <cacheField name="Z-Judge45" numFmtId="0">
      <sharedItems/>
    </cacheField>
    <cacheField name="R-Judge45" numFmtId="0">
      <sharedItems/>
    </cacheField>
    <cacheField name="Judge46" numFmtId="0">
      <sharedItems containsBlank="1"/>
    </cacheField>
    <cacheField name="Z-Judge46" numFmtId="0">
      <sharedItems/>
    </cacheField>
    <cacheField name="R-Judge46" numFmtId="0">
      <sharedItems/>
    </cacheField>
    <cacheField name="Judge47" numFmtId="0">
      <sharedItems containsBlank="1"/>
    </cacheField>
    <cacheField name="Z-Judge47" numFmtId="0">
      <sharedItems/>
    </cacheField>
    <cacheField name="R-Judge47" numFmtId="0">
      <sharedItems/>
    </cacheField>
    <cacheField name="Judge48" numFmtId="0">
      <sharedItems containsBlank="1"/>
    </cacheField>
    <cacheField name="Z-Judge48" numFmtId="0">
      <sharedItems/>
    </cacheField>
    <cacheField name="R-Judge48" numFmtId="0">
      <sharedItems/>
    </cacheField>
    <cacheField name="Judge49" numFmtId="0">
      <sharedItems containsBlank="1"/>
    </cacheField>
    <cacheField name="Z-Judge49" numFmtId="0">
      <sharedItems/>
    </cacheField>
    <cacheField name="R-Judge49" numFmtId="0">
      <sharedItems/>
    </cacheField>
    <cacheField name="Judge50" numFmtId="0">
      <sharedItems containsBlank="1"/>
    </cacheField>
    <cacheField name="Z-Judge50" numFmtId="0">
      <sharedItems/>
    </cacheField>
    <cacheField name="R-Judge50" numFmtId="0">
      <sharedItems/>
    </cacheField>
    <cacheField name="Judge51" numFmtId="0">
      <sharedItems containsBlank="1"/>
    </cacheField>
    <cacheField name="Z-Judge51" numFmtId="0">
      <sharedItems/>
    </cacheField>
    <cacheField name="R-Judge51" numFmtId="0">
      <sharedItems/>
    </cacheField>
    <cacheField name="Judge52" numFmtId="0">
      <sharedItems containsBlank="1"/>
    </cacheField>
    <cacheField name="Z-Judge52" numFmtId="0">
      <sharedItems/>
    </cacheField>
    <cacheField name="R-Judge52" numFmtId="0">
      <sharedItems/>
    </cacheField>
    <cacheField name="Judge53" numFmtId="0">
      <sharedItems containsBlank="1"/>
    </cacheField>
    <cacheField name="Z-Judge53" numFmtId="0">
      <sharedItems/>
    </cacheField>
    <cacheField name="R-Judge53" numFmtId="0">
      <sharedItems/>
    </cacheField>
    <cacheField name="Judge54" numFmtId="0">
      <sharedItems containsBlank="1"/>
    </cacheField>
    <cacheField name="Z-Judge54" numFmtId="0">
      <sharedItems/>
    </cacheField>
    <cacheField name="R-Judge54" numFmtId="0">
      <sharedItems/>
    </cacheField>
    <cacheField name="Judge55" numFmtId="0">
      <sharedItems containsBlank="1"/>
    </cacheField>
    <cacheField name="Z-Judge55" numFmtId="0">
      <sharedItems/>
    </cacheField>
    <cacheField name="R-Judge55" numFmtId="0">
      <sharedItems/>
    </cacheField>
    <cacheField name="Judge56" numFmtId="0">
      <sharedItems containsBlank="1"/>
    </cacheField>
    <cacheField name="Z-Judge56" numFmtId="0">
      <sharedItems/>
    </cacheField>
    <cacheField name="R-Judge56" numFmtId="0">
      <sharedItems/>
    </cacheField>
    <cacheField name="Judge57" numFmtId="0">
      <sharedItems containsBlank="1"/>
    </cacheField>
    <cacheField name="Z-Judge57" numFmtId="0">
      <sharedItems/>
    </cacheField>
    <cacheField name="R-Judge57" numFmtId="0">
      <sharedItems/>
    </cacheField>
    <cacheField name="Judge58" numFmtId="0">
      <sharedItems containsBlank="1"/>
    </cacheField>
    <cacheField name="Z-Judge58" numFmtId="0">
      <sharedItems/>
    </cacheField>
    <cacheField name="R-Judge58" numFmtId="0">
      <sharedItems/>
    </cacheField>
    <cacheField name="Judge59" numFmtId="0">
      <sharedItems containsBlank="1"/>
    </cacheField>
    <cacheField name="Z-Judge59" numFmtId="0">
      <sharedItems/>
    </cacheField>
    <cacheField name="R-Judge59" numFmtId="0">
      <sharedItems/>
    </cacheField>
    <cacheField name="Judge60" numFmtId="0">
      <sharedItems containsBlank="1"/>
    </cacheField>
    <cacheField name="Z-Judge60" numFmtId="0">
      <sharedItems/>
    </cacheField>
    <cacheField name="R-Judge60" numFmtId="0">
      <sharedItems/>
    </cacheField>
    <cacheField name="Judge61" numFmtId="0">
      <sharedItems containsBlank="1"/>
    </cacheField>
    <cacheField name="Z-Judge61" numFmtId="0">
      <sharedItems/>
    </cacheField>
    <cacheField name="R-Judge61" numFmtId="0">
      <sharedItems/>
    </cacheField>
    <cacheField name="Judge62" numFmtId="0">
      <sharedItems containsBlank="1"/>
    </cacheField>
    <cacheField name="Z-Judge62" numFmtId="0">
      <sharedItems/>
    </cacheField>
    <cacheField name="R-Judge62" numFmtId="0">
      <sharedItems/>
    </cacheField>
    <cacheField name="Judge63" numFmtId="0">
      <sharedItems containsBlank="1"/>
    </cacheField>
    <cacheField name="Z-Judge63" numFmtId="0">
      <sharedItems/>
    </cacheField>
    <cacheField name="R-Judge63" numFmtId="0">
      <sharedItems/>
    </cacheField>
    <cacheField name="Judge64" numFmtId="0">
      <sharedItems containsBlank="1"/>
    </cacheField>
    <cacheField name="Z-Judge64" numFmtId="0">
      <sharedItems/>
    </cacheField>
    <cacheField name="R-Judge64" numFmtId="0">
      <sharedItems/>
    </cacheField>
    <cacheField name="Judge65" numFmtId="0">
      <sharedItems containsBlank="1"/>
    </cacheField>
    <cacheField name="Z-Judge65" numFmtId="0">
      <sharedItems/>
    </cacheField>
    <cacheField name="R-Judge65" numFmtId="0">
      <sharedItems/>
    </cacheField>
    <cacheField name="Judge66" numFmtId="0">
      <sharedItems containsBlank="1"/>
    </cacheField>
    <cacheField name="Z-Judge66" numFmtId="0">
      <sharedItems/>
    </cacheField>
    <cacheField name="R-Judge66" numFmtId="0">
      <sharedItems/>
    </cacheField>
    <cacheField name="Judge67" numFmtId="0">
      <sharedItems containsBlank="1" count="2">
        <s v="DD108"/>
        <m/>
      </sharedItems>
    </cacheField>
    <cacheField name="Z-Judge67" numFmtId="0">
      <sharedItems/>
    </cacheField>
    <cacheField name="R-Judge67"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m/>
    <m/>
    <m/>
    <m/>
    <m/>
    <x v="0"/>
    <x v="0"/>
    <m/>
    <s v=" "/>
    <x v="0"/>
    <s v="Z-AA027"/>
    <s v="R-AA027"/>
    <x v="0"/>
    <s v="Z-AB028"/>
    <s v="R-AB028"/>
    <x v="0"/>
    <s v="Z-AC029"/>
    <s v="R-AC029"/>
    <x v="0"/>
    <s v="Z-AD030"/>
    <s v="R-AD030"/>
    <s v="AE031"/>
    <s v="Z-AE031"/>
    <s v="R-AE031"/>
    <s v="AF032"/>
    <s v="Z-AF032"/>
    <s v="R-AF032"/>
    <s v="AG033"/>
    <s v="Z-AG033"/>
    <s v="R-AG033"/>
    <s v="AH034"/>
    <s v="Z-AH034"/>
    <s v="R-AH034"/>
    <s v="AJ036"/>
    <s v="Z-AJ036"/>
    <s v="R-AJ036"/>
    <s v="AK037"/>
    <s v="Z-AK037"/>
    <s v="R-AK037"/>
    <s v="AL038"/>
    <s v="Z-AL038"/>
    <s v="R-AL038"/>
    <s v="AM039"/>
    <s v="Z-AM039"/>
    <s v="R-AM039"/>
    <s v="AN040"/>
    <s v="Z-AN040"/>
    <s v="R-AN040"/>
    <s v="AP042"/>
    <s v="Z-AP042"/>
    <s v="R-AP042"/>
    <s v="AR044"/>
    <s v="Z-AR044"/>
    <s v="R-AR044"/>
    <s v="AS045"/>
    <s v="Z-AS045"/>
    <s v="R-AS045"/>
    <s v="AT046"/>
    <s v="Z-AT046"/>
    <s v="R-AT046"/>
    <s v="AU047"/>
    <s v="Z-AU047"/>
    <s v="R-AU047"/>
    <s v="AV048"/>
    <s v="Z-AV048"/>
    <s v="R-AV048"/>
    <s v="AW049"/>
    <s v="Z-AW049"/>
    <s v="R-AW049"/>
    <s v="AY051"/>
    <s v="Z-AY051"/>
    <s v="R-AY051"/>
    <s v="BA053"/>
    <s v="Z-BA053"/>
    <s v="R-BA053"/>
    <s v="BB054"/>
    <s v="Z-BB054"/>
    <s v="R-BB054"/>
    <s v="BC055"/>
    <s v="Z-BC055"/>
    <s v="R-BC055"/>
    <s v="BD056"/>
    <s v="Z-BD056"/>
    <s v="R-BD056"/>
    <s v="BE057"/>
    <s v="Z-BE057"/>
    <s v="R-BE057"/>
    <s v="BF058"/>
    <s v="Z-BF058"/>
    <s v="R-BF058"/>
    <s v="BG059"/>
    <s v="Z-BG059"/>
    <s v="R-BG059"/>
    <s v="BH060"/>
    <s v="Z-BH060"/>
    <s v="R-BH060"/>
    <s v="BJ062"/>
    <s v="Z-BJ062"/>
    <s v="R-BJ062"/>
    <s v="BK063"/>
    <s v="Z-BK063"/>
    <s v="R-BK063"/>
    <s v="BL064"/>
    <s v="Z-BL064"/>
    <s v="R-BL064"/>
    <s v="BM065"/>
    <s v="Z-BM065"/>
    <s v="R-BM065"/>
    <s v="BN066"/>
    <s v="Z-BN066"/>
    <s v="R-BN066"/>
    <s v="BP068"/>
    <s v="Z-BP068"/>
    <s v="R-BP068"/>
    <s v="BR070"/>
    <s v="Z-BR070"/>
    <s v="R-BR070"/>
    <s v="BS071"/>
    <s v="Z-BS071"/>
    <s v="R-BS071"/>
    <s v="BT072"/>
    <s v="Z-BT072"/>
    <s v="R-BT072"/>
    <s v="BU073"/>
    <s v="Z-BU073"/>
    <s v="R-BU073"/>
    <s v="BV074"/>
    <s v="Z-BV074"/>
    <s v="R-BV074"/>
    <s v="BW075"/>
    <s v="Z-BW075"/>
    <s v="R-BW075"/>
    <s v="BY077"/>
    <s v="Z-BY077"/>
    <s v="R-BY077"/>
    <s v="CA079"/>
    <s v="Z-CA079"/>
    <s v="R-CA079"/>
    <s v="CB080"/>
    <s v="Z-CB080"/>
    <s v="R-CB080"/>
    <s v="CC081"/>
    <s v="Z-CC081"/>
    <s v="R-CC081"/>
    <s v="CD082"/>
    <s v="Z-CD082"/>
    <s v="R-CD082"/>
    <s v="CE083"/>
    <s v="Z-CE083"/>
    <s v="R-CE083"/>
    <s v="CF084"/>
    <s v="Z-CF084"/>
    <s v="R-CF084"/>
    <s v="CG085"/>
    <s v="Z-CG085"/>
    <s v="R-CG085"/>
    <s v="CH086"/>
    <s v="Z-CH086"/>
    <s v="R-CH086"/>
    <s v="CJ088"/>
    <s v="Z-CJ088"/>
    <s v="R-CJ088"/>
    <s v="CK089"/>
    <s v="Z-CK089"/>
    <s v="R-CK089"/>
    <s v="CL090"/>
    <s v="Z-CL090"/>
    <s v="R-CL090"/>
    <s v="CM091"/>
    <s v="Z-CM091"/>
    <s v="R-CM091"/>
    <s v="CN092"/>
    <s v="Z-CN092"/>
    <s v="R-CN092"/>
    <s v="CP094"/>
    <s v="Z-CP094"/>
    <s v="R-CP094"/>
    <s v="CR096"/>
    <s v="Z-CR096"/>
    <s v="R-CR096"/>
    <s v="CS097"/>
    <s v="Z-CS097"/>
    <s v="R-CS097"/>
    <s v="CT098"/>
    <s v="Z-CT098"/>
    <s v="R-CT098"/>
    <s v="CU099"/>
    <s v="Z-CU099"/>
    <s v="R-CU099"/>
    <s v="CV100"/>
    <s v="Z-CV100"/>
    <s v="R-CV100"/>
    <s v="CW101"/>
    <s v="Z-CW101"/>
    <s v="R-CW101"/>
    <s v="CY103"/>
    <s v="Z-CY103"/>
    <s v="R-CY103"/>
    <s v="DA105"/>
    <s v="Z-DA105"/>
    <s v="R-DA105"/>
    <s v="DB106"/>
    <s v="Z-DB106"/>
    <s v="R-DB106"/>
    <s v="DC107"/>
    <s v="Z-DC107"/>
    <s v="R-DC107"/>
    <x v="0"/>
    <s v="Z-DD108"/>
    <s v="R-DD108"/>
  </r>
  <r>
    <x v="1"/>
    <x v="1"/>
    <s v="Student1 Proj-OP-I5N"/>
    <m/>
    <m/>
    <s v="Alvirne High School"/>
    <s v="Teacher Proj-OP-I5N"/>
    <x v="1"/>
    <x v="1"/>
    <s v="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
    <s v="Y"/>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s v="BS071"/>
    <s v=""/>
    <s v=""/>
    <m/>
    <s v=""/>
    <s v=""/>
    <m/>
    <s v=""/>
    <s v=""/>
    <m/>
    <s v=""/>
    <s v=""/>
    <m/>
    <s v=""/>
    <s v=""/>
    <m/>
    <s v=""/>
    <s v=""/>
    <m/>
    <s v=""/>
    <s v=""/>
    <m/>
    <s v=""/>
    <s v=""/>
    <m/>
    <s v=""/>
    <s v=""/>
    <m/>
    <s v=""/>
    <s v=""/>
    <m/>
    <s v=""/>
    <s v=""/>
    <m/>
    <s v=""/>
    <s v=""/>
    <m/>
    <s v=""/>
    <s v=""/>
    <m/>
    <s v=""/>
    <s v=""/>
    <m/>
    <s v=""/>
    <s v=""/>
    <s v="CK089"/>
    <s v=""/>
    <s v=""/>
    <m/>
    <s v=""/>
    <s v=""/>
    <m/>
    <s v=""/>
    <s v=""/>
    <m/>
    <s v=""/>
    <s v=""/>
    <m/>
    <s v=""/>
    <s v=""/>
    <m/>
    <s v=""/>
    <s v=""/>
    <m/>
    <s v=""/>
    <s v=""/>
    <m/>
    <s v=""/>
    <s v=""/>
    <m/>
    <s v=""/>
    <s v=""/>
    <m/>
    <s v=""/>
    <s v=""/>
    <m/>
    <s v=""/>
    <s v=""/>
    <m/>
    <s v=""/>
    <s v=""/>
    <m/>
    <s v=""/>
    <s v=""/>
    <m/>
    <s v=""/>
    <s v=""/>
    <m/>
    <s v=""/>
    <s v=""/>
    <x v="1"/>
    <s v=""/>
    <s v=""/>
  </r>
  <r>
    <x v="2"/>
    <x v="2"/>
    <s v="Student1 Proj-OP-3CA"/>
    <s v="Student2 Proj-OP-3CA"/>
    <m/>
    <s v="Franklin High School"/>
    <s v="Teacher Proj-OP-3CA"/>
    <x v="2"/>
    <x v="1"/>
    <s v="This project explores the behavioral response humans have to music. A participant will listen to different genres of music, and then write down their emotional responses."/>
    <s v="N"/>
    <x v="1"/>
    <s v=""/>
    <s v=""/>
    <x v="1"/>
    <s v=""/>
    <s v=""/>
    <x v="1"/>
    <s v=""/>
    <s v=""/>
    <x v="1"/>
    <s v=""/>
    <s v=""/>
    <m/>
    <s v=""/>
    <s v=""/>
    <s v="AF032"/>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s v="CG085"/>
    <s v=""/>
    <s v=""/>
    <m/>
    <s v=""/>
    <s v=""/>
    <m/>
    <s v=""/>
    <s v=""/>
    <m/>
    <s v=""/>
    <s v=""/>
    <m/>
    <s v=""/>
    <s v=""/>
    <m/>
    <s v=""/>
    <s v=""/>
    <m/>
    <s v=""/>
    <s v=""/>
    <m/>
    <s v=""/>
    <s v=""/>
    <m/>
    <s v=""/>
    <s v=""/>
    <m/>
    <s v=""/>
    <s v=""/>
    <m/>
    <s v=""/>
    <s v=""/>
    <m/>
    <s v=""/>
    <s v=""/>
    <m/>
    <s v=""/>
    <s v=""/>
    <m/>
    <s v=""/>
    <s v=""/>
    <m/>
    <s v=""/>
    <s v=""/>
    <m/>
    <s v=""/>
    <s v=""/>
    <m/>
    <s v=""/>
    <s v=""/>
    <m/>
    <s v=""/>
    <s v=""/>
    <x v="1"/>
    <s v=""/>
    <s v=""/>
  </r>
  <r>
    <x v="3"/>
    <x v="3"/>
    <s v="Student1 Proj-OP-ASC"/>
    <s v="Student2 Proj-OP-ASC"/>
    <s v="Student3 Proj-OP-ASC"/>
    <s v="Franklin High School"/>
    <s v="Teacher Proj-OP-ASC"/>
    <x v="3"/>
    <x v="1"/>
    <s v="This project goes in depth on the personality traits of teenagers and how accurate their zodiac signs are based on these traits. "/>
    <s v="N"/>
    <x v="1"/>
    <s v=""/>
    <s v=""/>
    <x v="1"/>
    <s v=""/>
    <s v=""/>
    <x v="1"/>
    <s v=""/>
    <s v=""/>
    <x v="1"/>
    <s v=""/>
    <s v=""/>
    <m/>
    <s v=""/>
    <s v=""/>
    <m/>
    <s v=""/>
    <s v=""/>
    <m/>
    <s v=""/>
    <s v=""/>
    <m/>
    <s v=""/>
    <s v=""/>
    <m/>
    <s v=""/>
    <s v=""/>
    <m/>
    <s v=""/>
    <s v=""/>
    <m/>
    <s v=""/>
    <s v=""/>
    <m/>
    <s v=""/>
    <s v=""/>
    <m/>
    <s v=""/>
    <s v=""/>
    <m/>
    <s v=""/>
    <s v=""/>
    <m/>
    <s v=""/>
    <s v=""/>
    <s v="AS045"/>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m/>
    <s v=""/>
    <s v=""/>
    <m/>
    <s v=""/>
    <s v=""/>
    <m/>
    <s v=""/>
    <s v=""/>
    <s v="CK089"/>
    <s v=""/>
    <s v=""/>
    <m/>
    <s v=""/>
    <s v=""/>
    <m/>
    <s v=""/>
    <s v=""/>
    <m/>
    <s v=""/>
    <s v=""/>
    <m/>
    <s v=""/>
    <s v=""/>
    <m/>
    <s v=""/>
    <s v=""/>
    <m/>
    <s v=""/>
    <s v=""/>
    <m/>
    <s v=""/>
    <s v=""/>
    <m/>
    <s v=""/>
    <s v=""/>
    <m/>
    <s v=""/>
    <s v=""/>
    <s v="CW101"/>
    <s v=""/>
    <s v=""/>
    <m/>
    <s v=""/>
    <s v=""/>
    <m/>
    <s v=""/>
    <s v=""/>
    <m/>
    <s v=""/>
    <s v=""/>
    <m/>
    <s v=""/>
    <s v=""/>
    <x v="1"/>
    <s v=""/>
    <s v=""/>
  </r>
  <r>
    <x v="4"/>
    <x v="4"/>
    <s v="Student1 Proj-OP-9SJ"/>
    <s v="Student2 Proj-OP-9SJ"/>
    <m/>
    <s v="Goffstown High School"/>
    <s v="Teacher Proj-OP-9SJ"/>
    <x v="4"/>
    <x v="1"/>
    <s v="Through the analysis of the handwriting of a sample of people, we will analyze patterns and legibility to see if there is a correlation between the data we extrapolate and the personalities, intelligence levels, and moods of the individuals participating. "/>
    <s v="Y"/>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s v="CW101"/>
    <s v=""/>
    <s v=""/>
    <m/>
    <s v=""/>
    <s v=""/>
    <m/>
    <s v=""/>
    <s v=""/>
    <m/>
    <s v=""/>
    <s v=""/>
    <m/>
    <s v=""/>
    <s v=""/>
    <x v="1"/>
    <s v=""/>
    <s v=""/>
  </r>
  <r>
    <x v="5"/>
    <x v="5"/>
    <s v="Student1 Proj-OP-DJS"/>
    <s v="Student2 Proj-OP-DJS"/>
    <s v="Student3 Proj-OP-DJS"/>
    <s v="Nashua High School South"/>
    <s v="Teacher Proj-OP-DJS"/>
    <x v="5"/>
    <x v="1"/>
    <s v="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
    <s v="Y"/>
    <x v="1"/>
    <s v=""/>
    <s v=""/>
    <x v="1"/>
    <s v=""/>
    <s v=""/>
    <x v="1"/>
    <s v=""/>
    <s v=""/>
    <x v="1"/>
    <s v=""/>
    <s v=""/>
    <m/>
    <s v=""/>
    <s v=""/>
    <s v="AF032"/>
    <s v=""/>
    <s v=""/>
    <m/>
    <s v=""/>
    <s v=""/>
    <m/>
    <s v=""/>
    <s v=""/>
    <m/>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m/>
    <s v=""/>
    <s v=""/>
    <m/>
    <s v=""/>
    <s v=""/>
    <m/>
    <s v=""/>
    <s v=""/>
    <m/>
    <s v=""/>
    <s v=""/>
    <m/>
    <s v=""/>
    <s v=""/>
    <m/>
    <s v=""/>
    <s v=""/>
    <m/>
    <s v=""/>
    <s v=""/>
    <m/>
    <s v=""/>
    <s v=""/>
    <m/>
    <s v=""/>
    <s v=""/>
    <m/>
    <s v=""/>
    <s v=""/>
    <m/>
    <s v=""/>
    <s v=""/>
    <x v="1"/>
    <s v=""/>
    <s v=""/>
  </r>
  <r>
    <x v="6"/>
    <x v="6"/>
    <s v="Student1 Proj-OP-J39"/>
    <m/>
    <m/>
    <s v="Nashua High School South"/>
    <s v="Teacher Proj-OP-J39"/>
    <x v="6"/>
    <x v="1"/>
    <s v="This project studies the variance of the brain's perception of familiar and unfamiliar subjects based on age. Human participants are surveyed after viewing familiar and unfamiliar subjects for accuracy in remembrance of details. "/>
    <s v="Y"/>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s v="CG085"/>
    <s v=""/>
    <s v=""/>
    <m/>
    <s v=""/>
    <s v=""/>
    <m/>
    <s v=""/>
    <s v=""/>
    <m/>
    <s v=""/>
    <s v=""/>
    <m/>
    <s v=""/>
    <s v=""/>
    <m/>
    <s v=""/>
    <s v=""/>
    <m/>
    <s v=""/>
    <s v=""/>
    <s v="CP094"/>
    <s v=""/>
    <s v=""/>
    <m/>
    <s v=""/>
    <s v=""/>
    <m/>
    <s v=""/>
    <s v=""/>
    <m/>
    <s v=""/>
    <s v=""/>
    <m/>
    <s v=""/>
    <s v=""/>
    <m/>
    <s v=""/>
    <s v=""/>
    <s v="CW101"/>
    <s v=""/>
    <s v=""/>
    <m/>
    <s v=""/>
    <s v=""/>
    <m/>
    <s v=""/>
    <s v=""/>
    <m/>
    <s v=""/>
    <s v=""/>
    <m/>
    <s v=""/>
    <s v=""/>
    <x v="1"/>
    <s v=""/>
    <s v=""/>
  </r>
  <r>
    <x v="7"/>
    <x v="7"/>
    <s v="Student1 Proj-OP-GVC"/>
    <s v="Student2 Proj-OP-GVC"/>
    <m/>
    <s v="Prospect Mountain High School"/>
    <s v="Teacher Proj-OP-GVC"/>
    <x v="7"/>
    <x v="1"/>
    <s v="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
    <s v="N"/>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m/>
    <s v=""/>
    <s v=""/>
    <m/>
    <s v=""/>
    <s v=""/>
    <m/>
    <s v=""/>
    <s v=""/>
    <m/>
    <s v=""/>
    <s v=""/>
    <m/>
    <s v=""/>
    <s v=""/>
    <m/>
    <s v=""/>
    <s v=""/>
    <s v="CW101"/>
    <s v=""/>
    <s v=""/>
    <m/>
    <s v=""/>
    <s v=""/>
    <m/>
    <s v=""/>
    <s v=""/>
    <m/>
    <s v=""/>
    <s v=""/>
    <m/>
    <s v=""/>
    <s v=""/>
    <x v="1"/>
    <s v=""/>
    <s v=""/>
  </r>
  <r>
    <x v="8"/>
    <x v="8"/>
    <s v="Student1 Proj-OP-PIA"/>
    <s v="Student2 Proj-OP-PIA"/>
    <s v="Student3 Proj-OP-PIA"/>
    <s v="Prospect Mountain High School"/>
    <s v="Teacher Proj-OP-PIA"/>
    <x v="8"/>
    <x v="1"/>
    <s v="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_x000a_"/>
    <s v="N"/>
    <x v="1"/>
    <s v=""/>
    <s v=""/>
    <x v="1"/>
    <s v=""/>
    <s v=""/>
    <x v="1"/>
    <s v=""/>
    <s v=""/>
    <x v="1"/>
    <s v=""/>
    <s v=""/>
    <m/>
    <s v=""/>
    <s v=""/>
    <s v="AF032"/>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m/>
    <s v=""/>
    <s v=""/>
    <m/>
    <s v=""/>
    <s v=""/>
    <m/>
    <s v=""/>
    <s v=""/>
    <m/>
    <s v=""/>
    <s v=""/>
    <m/>
    <s v=""/>
    <s v=""/>
    <x v="1"/>
    <s v=""/>
    <s v=""/>
  </r>
  <r>
    <x v="9"/>
    <x v="9"/>
    <s v="Student1 Proj-OP-ROB"/>
    <s v="Student2 Proj-OP-ROB"/>
    <m/>
    <s v="Prospect Mountain High School"/>
    <s v="Teacher Proj-OP-ROB"/>
    <x v="9"/>
    <x v="1"/>
    <s v="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
    <s v="N"/>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s v="CW101"/>
    <s v=""/>
    <s v=""/>
    <m/>
    <s v=""/>
    <s v=""/>
    <m/>
    <s v=""/>
    <s v=""/>
    <m/>
    <s v=""/>
    <s v=""/>
    <m/>
    <s v=""/>
    <s v=""/>
    <x v="1"/>
    <s v=""/>
    <s v=""/>
  </r>
  <r>
    <x v="10"/>
    <x v="10"/>
    <s v="Student1 Proj-OP-WNH"/>
    <s v="Student2 Proj-OP-WNH"/>
    <m/>
    <s v="Prospect Mountain High School"/>
    <s v="Teacher Proj-OP-WNH"/>
    <x v="10"/>
    <x v="1"/>
    <s v="The study of food decisions that humans ( of different ages) make when using different pace labels."/>
    <s v="N"/>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m/>
    <s v=""/>
    <s v=""/>
    <m/>
    <s v=""/>
    <s v=""/>
    <m/>
    <s v=""/>
    <s v=""/>
    <m/>
    <s v=""/>
    <s v=""/>
    <m/>
    <s v=""/>
    <s v=""/>
    <x v="1"/>
    <s v=""/>
    <s v=""/>
  </r>
  <r>
    <x v="11"/>
    <x v="11"/>
    <s v="Student1 Proj-OP-BJG"/>
    <m/>
    <m/>
    <s v="Alvirne High School"/>
    <s v="Teacher Proj-OP-BJG"/>
    <x v="11"/>
    <x v="2"/>
    <s v="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
    <s v="N"/>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s v="CV100"/>
    <s v=""/>
    <s v=""/>
    <m/>
    <s v=""/>
    <s v=""/>
    <m/>
    <s v=""/>
    <s v=""/>
    <m/>
    <s v=""/>
    <s v=""/>
    <m/>
    <s v=""/>
    <s v=""/>
    <m/>
    <s v=""/>
    <s v=""/>
    <x v="1"/>
    <s v=""/>
    <s v=""/>
  </r>
  <r>
    <x v="12"/>
    <x v="12"/>
    <s v="Student1 Proj-OP-8VW"/>
    <s v="Student1 Proj-OP-8VW"/>
    <m/>
    <s v="Goffstown High School"/>
    <s v="Teacher Proj-OP-8VW"/>
    <x v="12"/>
    <x v="2"/>
    <s v="Analyze plant growth using fertilizers composed of an acid that would break down eggshells, then dilute the mixture in water, to create a spray that contains elements useful to the plants growt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3"/>
    <x v="13"/>
    <s v="Student1 Proj-OP-CL7"/>
    <s v="Student1 Proj-OP-CL7"/>
    <m/>
    <s v="Goffstown High School"/>
    <s v="Teacher Proj-OP-CL7"/>
    <x v="13"/>
    <x v="2"/>
    <s v="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4"/>
    <x v="14"/>
    <s v="Student1 Proj-OP-QIH"/>
    <s v="Student1 Proj-OP-QIH"/>
    <m/>
    <s v="Goffstown High School "/>
    <s v="Teacher Proj-OP-QIH"/>
    <x v="14"/>
    <x v="2"/>
    <s v="Replicating stomach acid to determine to the most effective organic option to lower the amount of acid in the stomac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m/>
    <s v=""/>
    <s v=""/>
    <m/>
    <s v=""/>
    <s v=""/>
    <m/>
    <s v=""/>
    <s v=""/>
    <m/>
    <s v=""/>
    <s v=""/>
    <m/>
    <s v=""/>
    <s v=""/>
    <m/>
    <s v=""/>
    <s v=""/>
    <x v="0"/>
    <s v=""/>
    <s v=""/>
  </r>
  <r>
    <x v="15"/>
    <x v="15"/>
    <s v="Student1 Proj-OP-MZE"/>
    <m/>
    <m/>
    <s v="Nashua High School North"/>
    <s v="Teacher Proj-OP-MZE"/>
    <x v="15"/>
    <x v="2"/>
    <s v="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s v="BE057"/>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6"/>
    <x v="16"/>
    <s v="Student1 Proj-OP-QNO"/>
    <m/>
    <m/>
    <s v="Nashua High School North"/>
    <s v="Teacher Proj-OP-QNO"/>
    <x v="16"/>
    <x v="2"/>
    <s v="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
    <s v="Y"/>
    <x v="0"/>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s v="BK063"/>
    <s v=""/>
    <s v=""/>
    <m/>
    <s v=""/>
    <s v=""/>
    <m/>
    <m/>
    <s v=""/>
    <m/>
    <s v=""/>
    <s v=""/>
    <m/>
    <s v=""/>
    <s v=""/>
    <m/>
    <s v=""/>
    <s v=""/>
    <m/>
    <s v=""/>
    <s v=""/>
    <m/>
    <s v=""/>
    <s v=""/>
    <m/>
    <s v=""/>
    <s v=""/>
    <m/>
    <s v=""/>
    <s v=""/>
    <m/>
    <s v=""/>
    <s v=""/>
    <m/>
    <s v=""/>
    <s v=""/>
    <m/>
    <s v=""/>
    <s v=""/>
    <s v="CB080"/>
    <s v=""/>
    <s v=""/>
    <m/>
    <s v=""/>
    <s v=""/>
    <m/>
    <s v=""/>
    <s v=""/>
    <m/>
    <s v=""/>
    <s v=""/>
    <m/>
    <s v=""/>
    <s v=""/>
    <m/>
    <s v=""/>
    <s v=""/>
    <s v="CH086"/>
    <s v=""/>
    <s v=""/>
    <m/>
    <s v=""/>
    <s v=""/>
    <m/>
    <s v=""/>
    <s v=""/>
    <m/>
    <s v=""/>
    <s v=""/>
    <m/>
    <s v=""/>
    <s v=""/>
    <m/>
    <s v=""/>
    <s v=""/>
    <m/>
    <s v=""/>
    <s v=""/>
    <m/>
    <s v=""/>
    <s v=""/>
    <m/>
    <s v=""/>
    <s v=""/>
    <m/>
    <s v=""/>
    <s v=""/>
    <m/>
    <s v=""/>
    <s v=""/>
    <s v="CV100"/>
    <s v=""/>
    <s v=""/>
    <m/>
    <s v=""/>
    <s v=""/>
    <m/>
    <s v=""/>
    <s v=""/>
    <m/>
    <s v=""/>
    <s v=""/>
    <m/>
    <s v=""/>
    <s v=""/>
    <m/>
    <s v=""/>
    <s v=""/>
    <x v="1"/>
    <s v=""/>
    <s v=""/>
  </r>
  <r>
    <x v="17"/>
    <x v="17"/>
    <s v="Student1 Proj-OP-0VV"/>
    <s v="Student1 Proj-OP-0VV"/>
    <m/>
    <s v="Prospect Mountain High School"/>
    <s v="Teacher Proj-OP-0VV"/>
    <x v="17"/>
    <x v="2"/>
    <s v="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
    <s v="N"/>
    <x v="1"/>
    <s v=""/>
    <s v=""/>
    <x v="1"/>
    <s v=""/>
    <s v=""/>
    <x v="1"/>
    <s v=""/>
    <s v=""/>
    <x v="1"/>
    <s v=""/>
    <s v=""/>
    <m/>
    <s v=""/>
    <s v=""/>
    <m/>
    <s v=""/>
    <s v=""/>
    <s v="AG033"/>
    <s v=""/>
    <s v=""/>
    <m/>
    <s v=""/>
    <s v=""/>
    <m/>
    <s v=""/>
    <s v=""/>
    <m/>
    <s v=""/>
    <s v=""/>
    <s v="AL038"/>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m/>
    <s v=""/>
    <s v=""/>
    <m/>
    <s v=""/>
    <s v=""/>
    <m/>
    <s v=""/>
    <s v=""/>
    <m/>
    <s v=""/>
    <s v=""/>
    <m/>
    <s v=""/>
    <s v=""/>
    <m/>
    <s v=""/>
    <s v=""/>
    <m/>
    <s v=""/>
    <s v=""/>
    <m/>
    <s v=""/>
    <s v=""/>
    <m/>
    <s v=""/>
    <s v=""/>
    <m/>
    <s v=""/>
    <s v=""/>
    <m/>
    <s v=""/>
    <s v=""/>
    <m/>
    <s v=""/>
    <s v=""/>
    <m/>
    <s v=""/>
    <s v=""/>
    <m/>
    <s v=""/>
    <s v=""/>
    <x v="0"/>
    <s v=""/>
    <s v=""/>
  </r>
  <r>
    <x v="18"/>
    <x v="18"/>
    <s v="Student1 Proj-OP-0F0"/>
    <s v="Student2 Proj-OP-0F0"/>
    <m/>
    <s v="Goffstown High School"/>
    <s v="Teacher Proj-OP-0F0"/>
    <x v="18"/>
    <x v="3"/>
    <s v="Using keratin and various skin care products to treat keratin and reduce it to alleviate plugs of keratin in skin via a skin auger"/>
    <s v="Y"/>
    <x v="1"/>
    <s v=""/>
    <s v=""/>
    <x v="1"/>
    <s v=""/>
    <s v=""/>
    <x v="1"/>
    <s v=""/>
    <s v=""/>
    <x v="1"/>
    <s v=""/>
    <s v=""/>
    <m/>
    <s v=""/>
    <s v=""/>
    <m/>
    <s v=""/>
    <s v=""/>
    <m/>
    <s v=""/>
    <s v=""/>
    <m/>
    <s v=""/>
    <s v=""/>
    <m/>
    <s v=""/>
    <s v=""/>
    <m/>
    <s v=""/>
    <s v=""/>
    <m/>
    <s v=""/>
    <s v=""/>
    <m/>
    <s v=""/>
    <s v=""/>
    <m/>
    <s v=""/>
    <s v=""/>
    <m/>
    <s v=""/>
    <s v=""/>
    <m/>
    <s v=""/>
    <s v=""/>
    <m/>
    <s v=""/>
    <s v=""/>
    <s v="AT046"/>
    <s v=""/>
    <s v=""/>
    <m/>
    <s v=""/>
    <s v=""/>
    <s v="AV048"/>
    <s v=""/>
    <s v=""/>
    <m/>
    <s v=""/>
    <s v=""/>
    <s v="AY051"/>
    <s v=""/>
    <s v=""/>
    <m/>
    <s v=""/>
    <s v=""/>
    <m/>
    <s v=""/>
    <s v=""/>
    <m/>
    <s v=""/>
    <s v=""/>
    <m/>
    <s v=""/>
    <s v=""/>
    <m/>
    <s v=""/>
    <s v=""/>
    <m/>
    <s v=""/>
    <s v=""/>
    <m/>
    <s v=""/>
    <s v=""/>
    <m/>
    <s v=""/>
    <s v=""/>
    <m/>
    <s v=""/>
    <s v=""/>
    <m/>
    <s v=""/>
    <s v=""/>
    <m/>
    <s v=""/>
    <s v=""/>
    <m/>
    <m/>
    <s v=""/>
    <m/>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19"/>
    <x v="19"/>
    <s v="Student1 Proj-OP-BVY"/>
    <m/>
    <m/>
    <s v="Goffstown High School"/>
    <s v="Teacher Proj-OP-BVY"/>
    <x v="19"/>
    <x v="3"/>
    <s v="I am planning to use Reneka pesticide test strips, to test organic foods for the contamination of pesticides."/>
    <s v="N"/>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s v="BJ062"/>
    <s v=""/>
    <s v=""/>
    <m/>
    <s v=""/>
    <s v=""/>
    <m/>
    <s v=""/>
    <s v=""/>
    <m/>
    <m/>
    <s v=""/>
    <m/>
    <s v=""/>
    <s v=""/>
    <m/>
    <s v=""/>
    <s v=""/>
    <m/>
    <s v=""/>
    <s v=""/>
    <m/>
    <s v=""/>
    <s v=""/>
    <m/>
    <s v=""/>
    <s v=""/>
    <m/>
    <s v=""/>
    <s v=""/>
    <m/>
    <s v=""/>
    <s v=""/>
    <m/>
    <s v=""/>
    <s v=""/>
    <m/>
    <s v=""/>
    <s v=""/>
    <s v="CA079"/>
    <s v=""/>
    <s v=""/>
    <m/>
    <s v=""/>
    <s v=""/>
    <s v="CC081"/>
    <s v=""/>
    <s v=""/>
    <m/>
    <s v=""/>
    <s v=""/>
    <m/>
    <s v=""/>
    <s v=""/>
    <m/>
    <s v=""/>
    <s v=""/>
    <m/>
    <s v=""/>
    <s v=""/>
    <m/>
    <s v=""/>
    <s v=""/>
    <m/>
    <s v=""/>
    <s v=""/>
    <m/>
    <s v=""/>
    <s v=""/>
    <m/>
    <s v=""/>
    <s v=""/>
    <m/>
    <s v=""/>
    <s v=""/>
    <m/>
    <s v=""/>
    <s v=""/>
    <m/>
    <s v=""/>
    <s v=""/>
    <m/>
    <s v=""/>
    <s v=""/>
    <m/>
    <s v=""/>
    <s v=""/>
    <m/>
    <s v=""/>
    <s v=""/>
    <m/>
    <s v=""/>
    <s v=""/>
    <m/>
    <s v=""/>
    <s v=""/>
    <m/>
    <s v=""/>
    <s v=""/>
    <m/>
    <s v=""/>
    <s v=""/>
    <m/>
    <s v=""/>
    <s v=""/>
    <m/>
    <s v=""/>
    <s v=""/>
    <m/>
    <s v=""/>
    <s v=""/>
    <x v="1"/>
    <s v=""/>
    <s v=""/>
  </r>
  <r>
    <x v="20"/>
    <x v="20"/>
    <s v="Student1 Proj-OP-EMW"/>
    <m/>
    <m/>
    <s v="Goffstown High School"/>
    <s v="Teacher Proj-OP-EMW"/>
    <x v="20"/>
    <x v="3"/>
    <s v="I'll be testing probiotics to see if they can withstand the acidic environment of the stomach in order to reach the gut where they are most beneficial."/>
    <s v="N"/>
    <x v="1"/>
    <s v=""/>
    <s v=""/>
    <x v="0"/>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s v="BN066"/>
    <s v=""/>
    <s v=""/>
    <m/>
    <s v=""/>
    <s v=""/>
    <m/>
    <s v=""/>
    <s v=""/>
    <m/>
    <s v=""/>
    <s v=""/>
    <m/>
    <s v=""/>
    <s v=""/>
    <m/>
    <s v=""/>
    <s v=""/>
    <m/>
    <s v=""/>
    <s v=""/>
    <s v="BW075"/>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21"/>
    <x v="21"/>
    <s v="Student1 Proj-OP-VES"/>
    <m/>
    <m/>
    <s v="Goffstown High School"/>
    <s v="Teacher Proj-OP-VES"/>
    <x v="21"/>
    <x v="3"/>
    <s v="I will be using cultured bacteria to test different acne medication to see which has the best result of kill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m/>
    <s v=""/>
    <s v=""/>
    <s v="BP068"/>
    <s v=""/>
    <s v=""/>
    <m/>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22"/>
    <x v="22"/>
    <s v="Student1 Proj-OP-EUK"/>
    <m/>
    <m/>
    <s v="Kennett High School"/>
    <s v="Teacher Proj-OP-EUK"/>
    <x v="22"/>
    <x v="3"/>
    <s v="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
    <s v="Y"/>
    <x v="1"/>
    <s v=""/>
    <s v=""/>
    <x v="1"/>
    <s v=""/>
    <s v=""/>
    <x v="0"/>
    <s v=""/>
    <s v=""/>
    <x v="1"/>
    <s v=""/>
    <s v=""/>
    <m/>
    <s v=""/>
    <s v=""/>
    <m/>
    <s v=""/>
    <s v=""/>
    <m/>
    <s v=""/>
    <s v=""/>
    <m/>
    <s v=""/>
    <s v=""/>
    <m/>
    <s v=""/>
    <s v=""/>
    <m/>
    <s v=""/>
    <s v=""/>
    <m/>
    <s v=""/>
    <s v=""/>
    <m/>
    <s v=""/>
    <s v=""/>
    <m/>
    <s v=""/>
    <s v=""/>
    <m/>
    <s v=""/>
    <s v=""/>
    <m/>
    <s v=""/>
    <s v=""/>
    <m/>
    <s v=""/>
    <s v=""/>
    <m/>
    <s v=""/>
    <s v=""/>
    <m/>
    <s v=""/>
    <s v=""/>
    <s v="AV048"/>
    <s v=""/>
    <s v=""/>
    <m/>
    <s v=""/>
    <s v=""/>
    <m/>
    <s v=""/>
    <s v=""/>
    <m/>
    <s v=""/>
    <s v=""/>
    <m/>
    <s v=""/>
    <s v=""/>
    <m/>
    <s v=""/>
    <s v=""/>
    <m/>
    <s v=""/>
    <s v=""/>
    <m/>
    <s v=""/>
    <s v=""/>
    <m/>
    <s v=""/>
    <s v=""/>
    <m/>
    <s v=""/>
    <s v=""/>
    <m/>
    <s v=""/>
    <s v=""/>
    <s v="BJ062"/>
    <s v=""/>
    <s v=""/>
    <m/>
    <s v=""/>
    <s v=""/>
    <m/>
    <s v=""/>
    <s v=""/>
    <m/>
    <m/>
    <s v=""/>
    <m/>
    <s v=""/>
    <s v=""/>
    <m/>
    <s v=""/>
    <s v=""/>
    <m/>
    <s v=""/>
    <s v=""/>
    <m/>
    <s v=""/>
    <s v=""/>
    <m/>
    <s v=""/>
    <s v=""/>
    <m/>
    <s v=""/>
    <s v=""/>
    <m/>
    <s v=""/>
    <s v=""/>
    <s v="BW075"/>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3"/>
    <x v="23"/>
    <s v="Student1 Proj-OP-1JH"/>
    <m/>
    <m/>
    <s v="Nashua High School North"/>
    <s v="Teacher Proj-OP-1JH"/>
    <x v="23"/>
    <x v="3"/>
    <s v="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
    <s v="Y"/>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s v="CM091"/>
    <s v=""/>
    <s v=""/>
    <m/>
    <s v=""/>
    <s v=""/>
    <m/>
    <s v=""/>
    <s v=""/>
    <m/>
    <s v=""/>
    <s v=""/>
    <m/>
    <s v=""/>
    <s v=""/>
    <m/>
    <s v=""/>
    <s v=""/>
    <m/>
    <s v=""/>
    <s v=""/>
    <m/>
    <s v=""/>
    <s v=""/>
    <m/>
    <s v=""/>
    <s v=""/>
    <m/>
    <s v=""/>
    <s v=""/>
    <m/>
    <s v=""/>
    <s v=""/>
    <m/>
    <s v=""/>
    <s v=""/>
    <m/>
    <s v=""/>
    <s v=""/>
    <x v="1"/>
    <s v=""/>
    <s v=""/>
  </r>
  <r>
    <x v="24"/>
    <x v="24"/>
    <s v="Student1 Proj-OP-5MN"/>
    <m/>
    <m/>
    <s v="Nashua High School North"/>
    <s v="Teacher Proj-OP-5MN"/>
    <x v="24"/>
    <x v="3"/>
    <s v="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
    <s v="Y"/>
    <x v="0"/>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m/>
    <m/>
    <s v=""/>
    <m/>
    <s v=""/>
    <s v=""/>
    <s v="BP068"/>
    <s v=""/>
    <s v=""/>
    <m/>
    <s v=""/>
    <s v=""/>
    <m/>
    <s v=""/>
    <s v=""/>
    <m/>
    <s v=""/>
    <s v=""/>
    <m/>
    <s v=""/>
    <s v=""/>
    <s v="BV074"/>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5"/>
    <x v="25"/>
    <s v="Student1 Proj-OP-FV2"/>
    <m/>
    <m/>
    <s v="Nashua High School North"/>
    <s v="Teacher Proj-OP-FV2"/>
    <x v="25"/>
    <x v="3"/>
    <s v="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_x000a_"/>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s v="BR070"/>
    <s v=""/>
    <s v=""/>
    <m/>
    <s v=""/>
    <s v=""/>
    <m/>
    <s v=""/>
    <s v=""/>
    <m/>
    <s v=""/>
    <s v=""/>
    <m/>
    <s v=""/>
    <s v=""/>
    <m/>
    <s v=""/>
    <s v=""/>
    <m/>
    <s v=""/>
    <s v=""/>
    <s v="CA079"/>
    <s v=""/>
    <s v=""/>
    <m/>
    <s v=""/>
    <s v=""/>
    <m/>
    <s v=""/>
    <s v=""/>
    <m/>
    <s v=""/>
    <s v=""/>
    <m/>
    <s v=""/>
    <s v=""/>
    <m/>
    <s v=""/>
    <s v=""/>
    <m/>
    <s v=""/>
    <s v=""/>
    <m/>
    <s v=""/>
    <s v=""/>
    <m/>
    <s v=""/>
    <s v=""/>
    <m/>
    <s v=""/>
    <s v=""/>
    <m/>
    <s v=""/>
    <s v=""/>
    <s v="CM091"/>
    <s v=""/>
    <s v=""/>
    <m/>
    <s v=""/>
    <s v=""/>
    <m/>
    <s v=""/>
    <s v=""/>
    <m/>
    <s v=""/>
    <s v=""/>
    <m/>
    <s v=""/>
    <s v=""/>
    <m/>
    <s v=""/>
    <s v=""/>
    <m/>
    <s v=""/>
    <s v=""/>
    <m/>
    <s v=""/>
    <s v=""/>
    <m/>
    <s v=""/>
    <s v=""/>
    <m/>
    <s v=""/>
    <s v=""/>
    <m/>
    <s v=""/>
    <s v=""/>
    <s v="DB106"/>
    <s v=""/>
    <s v=""/>
    <m/>
    <s v=""/>
    <s v=""/>
    <x v="1"/>
    <s v=""/>
    <s v=""/>
  </r>
  <r>
    <x v="26"/>
    <x v="26"/>
    <s v="Student1 Proj-OP-K8Z"/>
    <m/>
    <m/>
    <s v="Nashua High School North"/>
    <s v="Teacher Proj-OP-K8Z"/>
    <x v="26"/>
    <x v="3"/>
    <s v="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
    <s v="Y"/>
    <x v="0"/>
    <s v=""/>
    <s v=""/>
    <x v="1"/>
    <s v=""/>
    <s v=""/>
    <x v="1"/>
    <s v=""/>
    <s v=""/>
    <x v="0"/>
    <s v=""/>
    <s v=""/>
    <s v="AE03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27"/>
    <x v="27"/>
    <s v="Student1 Proj-OP-LN4"/>
    <m/>
    <m/>
    <s v="Nashua High School North"/>
    <s v="Teacher Proj-OP-LN4"/>
    <x v="27"/>
    <x v="3"/>
    <s v="This project studied the effect of different genres of music on the growth of yeast cells. Both rock and classical music were used to study growth and results were quantified using the spectrophotometer."/>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s v="BP068"/>
    <s v=""/>
    <s v=""/>
    <m/>
    <s v=""/>
    <s v=""/>
    <m/>
    <s v=""/>
    <s v=""/>
    <m/>
    <s v=""/>
    <s v=""/>
    <s v="BU073"/>
    <s v=""/>
    <s v=""/>
    <m/>
    <s v=""/>
    <s v=""/>
    <m/>
    <s v=""/>
    <s v=""/>
    <m/>
    <s v=""/>
    <s v=""/>
    <m/>
    <s v=""/>
    <s v=""/>
    <m/>
    <s v=""/>
    <s v=""/>
    <m/>
    <s v=""/>
    <s v=""/>
    <m/>
    <s v=""/>
    <s v=""/>
    <m/>
    <s v=""/>
    <s v=""/>
    <m/>
    <s v=""/>
    <s v=""/>
    <m/>
    <s v=""/>
    <s v=""/>
    <m/>
    <s v=""/>
    <s v=""/>
    <m/>
    <s v=""/>
    <s v=""/>
    <m/>
    <s v=""/>
    <s v=""/>
    <m/>
    <s v=""/>
    <s v=""/>
    <s v="CM091"/>
    <s v=""/>
    <s v=""/>
    <m/>
    <s v=""/>
    <s v=""/>
    <m/>
    <s v=""/>
    <s v=""/>
    <m/>
    <s v=""/>
    <s v=""/>
    <m/>
    <s v=""/>
    <s v=""/>
    <m/>
    <s v=""/>
    <s v=""/>
    <m/>
    <s v=""/>
    <s v=""/>
    <m/>
    <s v=""/>
    <s v=""/>
    <m/>
    <s v=""/>
    <s v=""/>
    <m/>
    <s v=""/>
    <s v=""/>
    <m/>
    <s v=""/>
    <s v=""/>
    <s v="DB106"/>
    <s v=""/>
    <s v=""/>
    <m/>
    <s v=""/>
    <s v=""/>
    <x v="1"/>
    <s v=""/>
    <s v=""/>
  </r>
  <r>
    <x v="28"/>
    <x v="28"/>
    <s v="Student1 Proj-OP-NUK"/>
    <m/>
    <m/>
    <s v="Nashua High School North"/>
    <s v="Teacher Proj-OP-NUK"/>
    <x v="28"/>
    <x v="3"/>
    <s v="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29"/>
    <x v="29"/>
    <s v="Student1 Proj-OP-TA1"/>
    <m/>
    <m/>
    <s v="Nashua High School North"/>
    <s v="Teacher Proj-OP-TA1"/>
    <x v="29"/>
    <x v="3"/>
    <s v="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
    <s v="Y"/>
    <x v="1"/>
    <s v=""/>
    <s v=""/>
    <x v="1"/>
    <s v=""/>
    <s v=""/>
    <x v="1"/>
    <s v=""/>
    <s v=""/>
    <x v="1"/>
    <s v=""/>
    <s v=""/>
    <s v="AE031"/>
    <s v=""/>
    <s v=""/>
    <m/>
    <s v=""/>
    <s v=""/>
    <m/>
    <s v=""/>
    <s v=""/>
    <m/>
    <s v=""/>
    <s v=""/>
    <m/>
    <s v=""/>
    <s v=""/>
    <m/>
    <s v=""/>
    <s v=""/>
    <m/>
    <s v=""/>
    <s v=""/>
    <m/>
    <s v=""/>
    <s v=""/>
    <m/>
    <s v=""/>
    <s v=""/>
    <m/>
    <s v=""/>
    <s v=""/>
    <m/>
    <s v=""/>
    <s v=""/>
    <m/>
    <s v=""/>
    <s v=""/>
    <m/>
    <s v=""/>
    <s v=""/>
    <m/>
    <s v=""/>
    <s v=""/>
    <m/>
    <s v=""/>
    <s v=""/>
    <m/>
    <s v=""/>
    <s v=""/>
    <s v="AY051"/>
    <s v=""/>
    <s v=""/>
    <m/>
    <s v=""/>
    <s v=""/>
    <m/>
    <s v=""/>
    <s v=""/>
    <m/>
    <s v=""/>
    <s v=""/>
    <m/>
    <s v=""/>
    <s v=""/>
    <m/>
    <s v=""/>
    <s v=""/>
    <m/>
    <s v=""/>
    <s v=""/>
    <m/>
    <s v=""/>
    <s v=""/>
    <m/>
    <s v=""/>
    <s v=""/>
    <m/>
    <s v=""/>
    <s v=""/>
    <m/>
    <s v=""/>
    <s v=""/>
    <m/>
    <s v=""/>
    <s v=""/>
    <m/>
    <m/>
    <s v=""/>
    <m/>
    <s v=""/>
    <s v=""/>
    <m/>
    <s v=""/>
    <s v=""/>
    <m/>
    <s v=""/>
    <s v=""/>
    <m/>
    <s v=""/>
    <s v=""/>
    <s v="BT072"/>
    <s v=""/>
    <s v=""/>
    <m/>
    <s v=""/>
    <s v=""/>
    <m/>
    <s v=""/>
    <s v=""/>
    <s v="BW075"/>
    <s v=""/>
    <s v=""/>
    <m/>
    <s v=""/>
    <s v=""/>
    <m/>
    <s v=""/>
    <s v=""/>
    <m/>
    <s v=""/>
    <s v=""/>
    <m/>
    <s v=""/>
    <s v=""/>
    <m/>
    <s v=""/>
    <s v=""/>
    <m/>
    <s v=""/>
    <s v=""/>
    <m/>
    <s v=""/>
    <s v=""/>
    <m/>
    <s v=""/>
    <s v=""/>
    <m/>
    <s v=""/>
    <s v=""/>
    <m/>
    <s v=""/>
    <s v=""/>
    <m/>
    <s v=""/>
    <s v=""/>
    <m/>
    <s v=""/>
    <s v=""/>
    <s v="CM091"/>
    <s v=""/>
    <s v=""/>
    <m/>
    <s v=""/>
    <s v=""/>
    <m/>
    <s v=""/>
    <s v=""/>
    <m/>
    <s v=""/>
    <s v=""/>
    <m/>
    <s v=""/>
    <s v=""/>
    <m/>
    <s v=""/>
    <s v=""/>
    <m/>
    <s v=""/>
    <s v=""/>
    <m/>
    <s v=""/>
    <s v=""/>
    <m/>
    <s v=""/>
    <s v=""/>
    <m/>
    <s v=""/>
    <s v=""/>
    <m/>
    <s v=""/>
    <s v=""/>
    <m/>
    <s v=""/>
    <s v=""/>
    <m/>
    <s v=""/>
    <s v=""/>
    <x v="1"/>
    <s v=""/>
    <s v=""/>
  </r>
  <r>
    <x v="30"/>
    <x v="30"/>
    <s v="Student1 Proj-OP-VCX"/>
    <m/>
    <m/>
    <s v="Nashua High School North"/>
    <s v="Teacher Proj-OP-VCX"/>
    <x v="30"/>
    <x v="3"/>
    <s v="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1"/>
    <x v="31"/>
    <s v="Student1 Proj-OP-YVB"/>
    <m/>
    <m/>
    <s v="Nashua High School North"/>
    <s v="Teacher Proj-OP-YVB"/>
    <x v="31"/>
    <x v="3"/>
    <s v="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
    <s v="Y"/>
    <x v="1"/>
    <s v=""/>
    <s v=""/>
    <x v="1"/>
    <s v=""/>
    <s v=""/>
    <x v="1"/>
    <s v=""/>
    <s v=""/>
    <x v="1"/>
    <s v=""/>
    <s v=""/>
    <m/>
    <s v=""/>
    <s v=""/>
    <m/>
    <s v=""/>
    <s v=""/>
    <m/>
    <s v=""/>
    <s v=""/>
    <m/>
    <s v=""/>
    <s v=""/>
    <m/>
    <s v=""/>
    <s v=""/>
    <m/>
    <s v=""/>
    <s v=""/>
    <m/>
    <s v=""/>
    <s v=""/>
    <m/>
    <s v=""/>
    <s v=""/>
    <m/>
    <s v=""/>
    <s v=""/>
    <m/>
    <s v=""/>
    <s v=""/>
    <m/>
    <s v=""/>
    <s v=""/>
    <m/>
    <s v=""/>
    <s v=""/>
    <s v="AT046"/>
    <s v=""/>
    <s v=""/>
    <m/>
    <s v=""/>
    <s v=""/>
    <m/>
    <s v=""/>
    <s v=""/>
    <m/>
    <s v=""/>
    <s v=""/>
    <s v="AY051"/>
    <s v=""/>
    <s v=""/>
    <m/>
    <s v=""/>
    <s v=""/>
    <m/>
    <s v=""/>
    <s v=""/>
    <m/>
    <s v=""/>
    <s v=""/>
    <m/>
    <s v=""/>
    <s v=""/>
    <m/>
    <s v=""/>
    <s v=""/>
    <m/>
    <s v=""/>
    <s v=""/>
    <m/>
    <s v=""/>
    <s v=""/>
    <m/>
    <s v=""/>
    <s v=""/>
    <m/>
    <s v=""/>
    <s v=""/>
    <m/>
    <s v=""/>
    <s v=""/>
    <m/>
    <s v=""/>
    <s v=""/>
    <m/>
    <m/>
    <s v=""/>
    <m/>
    <s v=""/>
    <s v=""/>
    <m/>
    <s v=""/>
    <s v=""/>
    <m/>
    <s v=""/>
    <s v=""/>
    <m/>
    <s v=""/>
    <s v=""/>
    <s v="BT072"/>
    <s v=""/>
    <s v=""/>
    <m/>
    <s v=""/>
    <s v=""/>
    <m/>
    <s v=""/>
    <s v=""/>
    <m/>
    <s v=""/>
    <s v=""/>
    <m/>
    <s v=""/>
    <s v=""/>
    <m/>
    <s v=""/>
    <s v=""/>
    <m/>
    <s v=""/>
    <s v=""/>
    <m/>
    <s v=""/>
    <s v=""/>
    <m/>
    <s v=""/>
    <s v=""/>
    <s v="CE083"/>
    <s v=""/>
    <s v=""/>
    <m/>
    <s v=""/>
    <s v=""/>
    <m/>
    <s v=""/>
    <s v=""/>
    <m/>
    <s v=""/>
    <s v=""/>
    <m/>
    <s v=""/>
    <s v=""/>
    <m/>
    <s v=""/>
    <s v=""/>
    <m/>
    <s v=""/>
    <s v=""/>
    <s v="CM091"/>
    <s v=""/>
    <s v=""/>
    <m/>
    <s v=""/>
    <s v=""/>
    <m/>
    <s v=""/>
    <s v=""/>
    <m/>
    <s v=""/>
    <s v=""/>
    <m/>
    <s v=""/>
    <s v=""/>
    <m/>
    <s v=""/>
    <s v=""/>
    <m/>
    <s v=""/>
    <s v=""/>
    <m/>
    <s v=""/>
    <s v=""/>
    <m/>
    <s v=""/>
    <s v=""/>
    <m/>
    <s v=""/>
    <s v=""/>
    <m/>
    <s v=""/>
    <s v=""/>
    <m/>
    <s v=""/>
    <s v=""/>
    <m/>
    <s v=""/>
    <s v=""/>
    <x v="1"/>
    <s v=""/>
    <s v=""/>
  </r>
  <r>
    <x v="32"/>
    <x v="32"/>
    <s v="Student1 Proj-OP-1YJ"/>
    <s v="Student2 Proj-OP-1YJ"/>
    <m/>
    <s v="Prospect Mountain High School"/>
    <s v="Teacher Proj-OP-1YJ"/>
    <x v="32"/>
    <x v="3"/>
    <s v="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
    <s v="Y"/>
    <x v="1"/>
    <s v=""/>
    <s v=""/>
    <x v="0"/>
    <s v=""/>
    <s v=""/>
    <x v="1"/>
    <s v=""/>
    <s v=""/>
    <x v="1"/>
    <s v=""/>
    <s v=""/>
    <m/>
    <s v=""/>
    <s v=""/>
    <m/>
    <s v=""/>
    <s v=""/>
    <m/>
    <s v=""/>
    <s v=""/>
    <m/>
    <s v=""/>
    <s v=""/>
    <m/>
    <s v=""/>
    <s v=""/>
    <m/>
    <s v=""/>
    <s v=""/>
    <m/>
    <s v=""/>
    <s v=""/>
    <m/>
    <s v=""/>
    <s v=""/>
    <m/>
    <s v=""/>
    <s v=""/>
    <m/>
    <s v=""/>
    <s v=""/>
    <m/>
    <s v=""/>
    <s v=""/>
    <m/>
    <s v=""/>
    <s v=""/>
    <m/>
    <s v=""/>
    <s v=""/>
    <m/>
    <s v=""/>
    <s v=""/>
    <m/>
    <s v=""/>
    <s v=""/>
    <m/>
    <s v=""/>
    <s v=""/>
    <s v="AY051"/>
    <s v=""/>
    <s v=""/>
    <m/>
    <s v=""/>
    <s v=""/>
    <m/>
    <s v=""/>
    <s v=""/>
    <m/>
    <s v=""/>
    <s v=""/>
    <m/>
    <s v=""/>
    <s v=""/>
    <m/>
    <s v=""/>
    <s v=""/>
    <m/>
    <s v=""/>
    <s v=""/>
    <m/>
    <s v=""/>
    <s v=""/>
    <m/>
    <s v=""/>
    <s v=""/>
    <s v="BJ062"/>
    <s v=""/>
    <s v=""/>
    <m/>
    <s v=""/>
    <s v=""/>
    <m/>
    <s v=""/>
    <s v=""/>
    <m/>
    <m/>
    <s v=""/>
    <m/>
    <s v=""/>
    <s v=""/>
    <m/>
    <s v=""/>
    <s v=""/>
    <m/>
    <s v=""/>
    <s v=""/>
    <m/>
    <s v=""/>
    <s v=""/>
    <m/>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33"/>
    <x v="33"/>
    <s v="Student1 Proj-OP-BZN"/>
    <s v="Student2 Proj-OP-BZN"/>
    <m/>
    <s v="Prospect Mountain High School"/>
    <s v="Teacher Proj-OP-BZN"/>
    <x v="33"/>
    <x v="3"/>
    <s v="Observing how age and vestibular function can affect a person's balance by rotation of human subjects to test their ability to walk in a straight line. "/>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4"/>
    <x v="34"/>
    <s v="Student1 Proj-OP-FM2"/>
    <s v="Student2 Proj-OP-FM2"/>
    <m/>
    <s v="Prospect Mountain High School"/>
    <s v="Teacher Proj-OP-FM2"/>
    <x v="34"/>
    <x v="3"/>
    <s v="This project will compare the resting heart rates and recovery heart rates after exercising of participants of 3 different age groups: children, teenagers, and seniors. We will compare these results to the answers of an anonymous survey about health and make connections."/>
    <s v="N"/>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BM065"/>
    <m/>
    <s v=""/>
    <m/>
    <s v=""/>
    <s v=""/>
    <m/>
    <s v=""/>
    <s v=""/>
    <s v="BR070"/>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35"/>
    <x v="35"/>
    <s v="Student1 Proj-OP-LMU"/>
    <s v="Student2 Proj-OP-LMU"/>
    <m/>
    <s v="Prospect Mountain High School"/>
    <s v="Teacher Proj-OP-LMU"/>
    <x v="35"/>
    <x v="3"/>
    <s v="By using heating pads and ice water to heat and cool the forearm of a subject and then using a grip strength tool, muscle contraction ability will be tested. We will then analyze the ability of the muscle to contract in warm and cool climates.  "/>
    <s v="N"/>
    <x v="1"/>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s v="BM065"/>
    <m/>
    <s v=""/>
    <m/>
    <s v=""/>
    <s v=""/>
    <s v="BP068"/>
    <s v=""/>
    <s v=""/>
    <m/>
    <s v=""/>
    <s v=""/>
    <m/>
    <s v=""/>
    <s v=""/>
    <m/>
    <s v=""/>
    <s v=""/>
    <s v="BU073"/>
    <s v=""/>
    <s v=""/>
    <m/>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36"/>
    <x v="36"/>
    <s v="Student1 Proj-OP-VMT"/>
    <s v="Student2 Proj-OP-VMT"/>
    <m/>
    <s v="Prospect Mountain High School"/>
    <s v="Teacher Proj-OP-VMT"/>
    <x v="36"/>
    <x v="3"/>
    <s v="We are studying the effects of cell phones and social media on stress and anxiety."/>
    <s v="N"/>
    <x v="1"/>
    <s v=""/>
    <s v=""/>
    <x v="1"/>
    <s v=""/>
    <s v=""/>
    <x v="1"/>
    <s v=""/>
    <s v=""/>
    <x v="1"/>
    <s v=""/>
    <s v=""/>
    <s v="AE031"/>
    <s v=""/>
    <s v=""/>
    <m/>
    <s v=""/>
    <s v=""/>
    <m/>
    <s v=""/>
    <s v=""/>
    <m/>
    <s v=""/>
    <s v=""/>
    <m/>
    <s v=""/>
    <s v=""/>
    <m/>
    <s v=""/>
    <s v=""/>
    <m/>
    <s v=""/>
    <s v=""/>
    <m/>
    <s v=""/>
    <s v=""/>
    <m/>
    <s v=""/>
    <s v=""/>
    <m/>
    <s v=""/>
    <s v=""/>
    <m/>
    <s v=""/>
    <s v=""/>
    <m/>
    <s v=""/>
    <s v=""/>
    <m/>
    <s v=""/>
    <s v=""/>
    <m/>
    <s v=""/>
    <s v=""/>
    <m/>
    <s v=""/>
    <s v=""/>
    <m/>
    <s v=""/>
    <s v=""/>
    <m/>
    <s v=""/>
    <s v=""/>
    <m/>
    <s v=""/>
    <s v=""/>
    <m/>
    <s v=""/>
    <s v=""/>
    <m/>
    <s v=""/>
    <s v=""/>
    <m/>
    <s v=""/>
    <s v=""/>
    <m/>
    <s v=""/>
    <s v=""/>
    <m/>
    <s v=""/>
    <s v=""/>
    <m/>
    <s v=""/>
    <s v=""/>
    <m/>
    <s v=""/>
    <s v=""/>
    <s v="BJ062"/>
    <s v=""/>
    <s v=""/>
    <m/>
    <s v=""/>
    <s v=""/>
    <m/>
    <s v=""/>
    <s v=""/>
    <m/>
    <m/>
    <s v=""/>
    <m/>
    <s v=""/>
    <s v=""/>
    <m/>
    <s v=""/>
    <s v=""/>
    <s v="BR070"/>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7"/>
    <x v="37"/>
    <s v="Student1 Proj-OP-Z2I"/>
    <s v="Student2 Proj-OP-Z2I"/>
    <m/>
    <s v="Prospect Mountain High School"/>
    <s v="Teacher Proj-OP-Z2I"/>
    <x v="37"/>
    <x v="3"/>
    <s v="To examine whether Gatorade, water or a combination of the two would have a greater result on an athletes performance."/>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8"/>
    <x v="38"/>
    <s v="Student1 Proj-OP-030"/>
    <m/>
    <m/>
    <s v="Prospect Mountian High School"/>
    <s v="Teacher Proj-OP-030"/>
    <x v="38"/>
    <x v="3"/>
    <s v="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
    <s v="Y"/>
    <x v="1"/>
    <s v=""/>
    <s v=""/>
    <x v="1"/>
    <s v=""/>
    <s v=""/>
    <x v="1"/>
    <s v=""/>
    <s v=""/>
    <x v="1"/>
    <s v=""/>
    <s v=""/>
    <m/>
    <s v=""/>
    <s v=""/>
    <m/>
    <s v=""/>
    <s v=""/>
    <m/>
    <s v=""/>
    <s v=""/>
    <m/>
    <s v=""/>
    <s v=""/>
    <m/>
    <s v=""/>
    <s v=""/>
    <m/>
    <s v=""/>
    <s v=""/>
    <m/>
    <s v=""/>
    <s v=""/>
    <m/>
    <s v=""/>
    <s v=""/>
    <m/>
    <s v=""/>
    <s v=""/>
    <m/>
    <s v=""/>
    <s v=""/>
    <m/>
    <s v=""/>
    <s v=""/>
    <m/>
    <s v=""/>
    <s v=""/>
    <m/>
    <s v=""/>
    <s v=""/>
    <m/>
    <s v=""/>
    <s v=""/>
    <m/>
    <s v=""/>
    <s v=""/>
    <s v="AW049"/>
    <s v=""/>
    <s v=""/>
    <s v="AY051"/>
    <s v=""/>
    <s v=""/>
    <m/>
    <s v=""/>
    <s v=""/>
    <m/>
    <s v=""/>
    <s v=""/>
    <m/>
    <s v=""/>
    <s v=""/>
    <m/>
    <s v=""/>
    <s v=""/>
    <m/>
    <s v=""/>
    <s v=""/>
    <m/>
    <s v=""/>
    <s v=""/>
    <m/>
    <s v=""/>
    <s v=""/>
    <m/>
    <s v=""/>
    <s v=""/>
    <m/>
    <s v=""/>
    <s v=""/>
    <m/>
    <s v=""/>
    <s v=""/>
    <m/>
    <s v=""/>
    <s v=""/>
    <s v="BM065"/>
    <m/>
    <s v=""/>
    <m/>
    <s v=""/>
    <s v=""/>
    <m/>
    <s v=""/>
    <s v=""/>
    <s v="BR070"/>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9"/>
    <x v="39"/>
    <s v="Student1 Proj-OP-AEZ"/>
    <m/>
    <m/>
    <s v="Prospect Mountian High School"/>
    <s v="Teacher Proj-OP-AEZ"/>
    <x v="39"/>
    <x v="3"/>
    <s v="This project is to record and observe the effects the chemicals used to de-ice have on the plants that come in contact this them."/>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m/>
    <s v=""/>
    <s v=""/>
    <m/>
    <s v=""/>
    <s v=""/>
    <m/>
    <s v=""/>
    <s v=""/>
    <s v="BT072"/>
    <s v=""/>
    <s v=""/>
    <m/>
    <s v=""/>
    <s v=""/>
    <m/>
    <s v=""/>
    <s v=""/>
    <m/>
    <s v=""/>
    <s v=""/>
    <m/>
    <s v=""/>
    <s v=""/>
    <s v="CA079"/>
    <s v=""/>
    <s v=""/>
    <m/>
    <s v=""/>
    <s v=""/>
    <m/>
    <s v=""/>
    <s v=""/>
    <s v="CD082"/>
    <s v=""/>
    <s v=""/>
    <m/>
    <s v=""/>
    <s v=""/>
    <m/>
    <s v=""/>
    <s v=""/>
    <m/>
    <s v=""/>
    <s v=""/>
    <m/>
    <s v=""/>
    <s v=""/>
    <m/>
    <s v=""/>
    <s v=""/>
    <m/>
    <s v=""/>
    <s v=""/>
    <m/>
    <s v=""/>
    <s v=""/>
    <m/>
    <s v=""/>
    <s v=""/>
    <m/>
    <s v=""/>
    <s v=""/>
    <m/>
    <s v=""/>
    <s v=""/>
    <m/>
    <s v=""/>
    <s v=""/>
    <m/>
    <s v=""/>
    <s v=""/>
    <m/>
    <s v=""/>
    <s v=""/>
    <m/>
    <s v=""/>
    <s v=""/>
    <m/>
    <s v=""/>
    <s v=""/>
    <m/>
    <s v=""/>
    <s v=""/>
    <m/>
    <s v=""/>
    <s v=""/>
    <m/>
    <s v=""/>
    <s v=""/>
    <m/>
    <s v=""/>
    <s v=""/>
    <m/>
    <s v=""/>
    <s v=""/>
    <x v="1"/>
    <s v=""/>
    <s v=""/>
  </r>
  <r>
    <x v="40"/>
    <x v="40"/>
    <s v="Student1 Proj-OP-6WW"/>
    <m/>
    <m/>
    <s v="Salem High School"/>
    <s v="Teacher Proj-OP-6WW"/>
    <x v="40"/>
    <x v="3"/>
    <s v="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s v="BP068"/>
    <s v=""/>
    <s v=""/>
    <m/>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s v="DB106"/>
    <s v=""/>
    <s v=""/>
    <m/>
    <s v=""/>
    <s v=""/>
    <x v="1"/>
    <s v=""/>
    <s v=""/>
  </r>
  <r>
    <x v="41"/>
    <x v="41"/>
    <s v="Student1 Proj-OP-OS1"/>
    <m/>
    <m/>
    <s v="Salem High School"/>
    <s v="Teacher Proj-OP-OS1"/>
    <x v="41"/>
    <x v="3"/>
    <s v="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s v="BJ062"/>
    <s v=""/>
    <s v=""/>
    <m/>
    <s v=""/>
    <s v=""/>
    <m/>
    <s v=""/>
    <s v=""/>
    <m/>
    <m/>
    <s v=""/>
    <m/>
    <s v=""/>
    <s v=""/>
    <m/>
    <s v=""/>
    <s v=""/>
    <s v="BR070"/>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42"/>
    <x v="42"/>
    <s v="Student1 Proj-OP-V67"/>
    <m/>
    <m/>
    <s v="Salem High School"/>
    <s v="Teacher Proj-OP-V67"/>
    <x v="42"/>
    <x v="3"/>
    <s v="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
    <s v="Y"/>
    <x v="1"/>
    <s v=""/>
    <s v=""/>
    <x v="1"/>
    <s v=""/>
    <s v=""/>
    <x v="1"/>
    <s v=""/>
    <s v=""/>
    <x v="1"/>
    <s v=""/>
    <s v=""/>
    <m/>
    <s v=""/>
    <s v=""/>
    <m/>
    <s v=""/>
    <s v=""/>
    <m/>
    <s v=""/>
    <s v=""/>
    <m/>
    <s v=""/>
    <s v=""/>
    <m/>
    <s v=""/>
    <s v=""/>
    <m/>
    <s v=""/>
    <s v=""/>
    <m/>
    <s v=""/>
    <s v=""/>
    <m/>
    <s v=""/>
    <s v=""/>
    <m/>
    <s v=""/>
    <s v=""/>
    <m/>
    <s v=""/>
    <s v=""/>
    <m/>
    <s v=""/>
    <s v=""/>
    <m/>
    <s v=""/>
    <s v=""/>
    <s v="AT046"/>
    <s v=""/>
    <s v=""/>
    <m/>
    <s v=""/>
    <s v=""/>
    <m/>
    <s v=""/>
    <s v=""/>
    <s v="AW049"/>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43"/>
    <x v="43"/>
    <s v="Student1 Proj-OP-FDP"/>
    <s v="Student1 Proj-OP-FDP"/>
    <m/>
    <s v="Franklin High School"/>
    <s v="Teacher Proj-OP-FDP"/>
    <x v="43"/>
    <x v="4"/>
    <s v="We will combine clay with certain materials, such as plastic and glass, place the clay into a kiln and see the affect the materials have on the overall structure of the clay."/>
    <s v="N"/>
    <x v="1"/>
    <s v=""/>
    <s v=""/>
    <x v="1"/>
    <s v=""/>
    <s v=""/>
    <x v="1"/>
    <s v=""/>
    <s v=""/>
    <x v="1"/>
    <s v=""/>
    <s v=""/>
    <m/>
    <s v=""/>
    <s v=""/>
    <m/>
    <s v=""/>
    <s v=""/>
    <m/>
    <s v=""/>
    <s v=""/>
    <m/>
    <s v=""/>
    <s v=""/>
    <m/>
    <s v=""/>
    <s v=""/>
    <m/>
    <s v=""/>
    <s v=""/>
    <s v="AL038"/>
    <s v=""/>
    <s v=""/>
    <m/>
    <s v=""/>
    <s v=""/>
    <m/>
    <s v=""/>
    <s v=""/>
    <m/>
    <s v=""/>
    <s v=""/>
    <m/>
    <s v=""/>
    <s v=""/>
    <m/>
    <s v=""/>
    <s v=""/>
    <m/>
    <s v=""/>
    <s v=""/>
    <m/>
    <s v=""/>
    <s v=""/>
    <m/>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4"/>
    <x v="44"/>
    <s v="Student1 Proj-OP-56Z"/>
    <s v="Student1 Proj-OP-56Z"/>
    <m/>
    <s v="Goffstown High School"/>
    <s v="Teacher Proj-OP-56Z"/>
    <x v="44"/>
    <x v="4"/>
    <s v="Use chemical processes to extract the aluminum from the aluminum oxide in Granite to see if it possible and if it is then how useful is it?"/>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1"/>
    <s v=""/>
    <s v=""/>
  </r>
  <r>
    <x v="45"/>
    <x v="45"/>
    <s v="Student1 Proj-OP-9DO"/>
    <m/>
    <m/>
    <s v="Nashua High School North"/>
    <s v="Teacher Proj-OP-9DO"/>
    <x v="45"/>
    <x v="4"/>
    <s v="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x v="0"/>
    <s v=""/>
    <s v=""/>
  </r>
  <r>
    <x v="46"/>
    <x v="46"/>
    <s v="Student1 Proj-OP-0XQ"/>
    <m/>
    <m/>
    <s v="Phillips Exeter Academy"/>
    <s v="Teacher Proj-OP-0XQ"/>
    <x v="46"/>
    <x v="4"/>
    <s v="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m/>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7"/>
    <x v="47"/>
    <s v="Student1 Proj-OP-04Z"/>
    <m/>
    <m/>
    <s v="Phillips Exeter Academy"/>
    <s v="Teacher Proj-OP-04Z"/>
    <x v="47"/>
    <x v="5"/>
    <s v="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
    <s v="Y"/>
    <x v="1"/>
    <s v=""/>
    <s v=""/>
    <x v="1"/>
    <s v=""/>
    <s v=""/>
    <x v="1"/>
    <s v=""/>
    <s v=""/>
    <x v="1"/>
    <s v=""/>
    <s v=""/>
    <m/>
    <s v=""/>
    <s v=""/>
    <m/>
    <s v=""/>
    <s v=""/>
    <m/>
    <s v=""/>
    <s v=""/>
    <m/>
    <s v=""/>
    <s v=""/>
    <m/>
    <s v=""/>
    <s v=""/>
    <m/>
    <s v=""/>
    <s v=""/>
    <m/>
    <s v=""/>
    <s v=""/>
    <m/>
    <s v=""/>
    <s v=""/>
    <m/>
    <s v=""/>
    <s v=""/>
    <m/>
    <s v=""/>
    <s v=""/>
    <m/>
    <s v=""/>
    <s v=""/>
    <m/>
    <s v=""/>
    <s v=""/>
    <m/>
    <s v=""/>
    <s v=""/>
    <s v="AU047"/>
    <s v=""/>
    <s v=""/>
    <m/>
    <s v=""/>
    <s v=""/>
    <m/>
    <s v=""/>
    <s v=""/>
    <m/>
    <s v=""/>
    <s v=""/>
    <m/>
    <s v=""/>
    <s v=""/>
    <m/>
    <s v=""/>
    <s v=""/>
    <m/>
    <s v=""/>
    <s v=""/>
    <m/>
    <s v=""/>
    <s v=""/>
    <s v="BE057"/>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s v="CU099"/>
    <s v=""/>
    <s v=""/>
    <m/>
    <s v=""/>
    <s v=""/>
    <m/>
    <s v=""/>
    <s v=""/>
    <m/>
    <s v=""/>
    <s v=""/>
    <m/>
    <s v=""/>
    <s v=""/>
    <m/>
    <s v=""/>
    <s v=""/>
    <m/>
    <s v=""/>
    <s v=""/>
    <x v="1"/>
    <s v=""/>
    <s v=""/>
  </r>
  <r>
    <x v="48"/>
    <x v="48"/>
    <s v="Student1 Proj-OP-B0G"/>
    <m/>
    <m/>
    <s v="Franklin High School"/>
    <s v="Teacher Proj-OP-B0G"/>
    <x v="48"/>
    <x v="6"/>
    <s v="For my project I will be testing how our Atmosphere’s forces can affect a rocket as it try's to escape out of the gravitational pull of earth and into space. I will be using Solidworks CAD software to build the rockets and test them on the Solidworks Flow Simulation software."/>
    <s v="N"/>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m/>
    <s v=""/>
    <s v=""/>
    <m/>
    <s v=""/>
    <s v=""/>
    <m/>
    <s v=""/>
    <s v=""/>
    <m/>
    <s v=""/>
    <s v=""/>
    <m/>
    <s v=""/>
    <s v=""/>
    <m/>
    <s v=""/>
    <s v=""/>
    <s v="DC107"/>
    <s v=""/>
    <s v=""/>
    <x v="1"/>
    <s v=""/>
    <s v=""/>
  </r>
  <r>
    <x v="49"/>
    <x v="49"/>
    <s v="Student1 Proj-OP-Y6Y"/>
    <m/>
    <m/>
    <s v="Nashua High School South"/>
    <s v="Teacher Proj-OP-Y6Y"/>
    <x v="49"/>
    <x v="6"/>
    <s v="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
    <s v="Y"/>
    <x v="1"/>
    <s v=""/>
    <s v=""/>
    <x v="1"/>
    <s v=""/>
    <s v=""/>
    <x v="1"/>
    <s v=""/>
    <s v=""/>
    <x v="1"/>
    <s v=""/>
    <s v=""/>
    <m/>
    <s v=""/>
    <s v=""/>
    <m/>
    <s v=""/>
    <s v=""/>
    <m/>
    <s v=""/>
    <s v=""/>
    <s v="AH034"/>
    <s v=""/>
    <s v=""/>
    <m/>
    <s v=""/>
    <s v=""/>
    <m/>
    <s v=""/>
    <s v=""/>
    <m/>
    <s v=""/>
    <s v=""/>
    <m/>
    <s v=""/>
    <s v=""/>
    <m/>
    <s v=""/>
    <s v=""/>
    <m/>
    <s v=""/>
    <s v=""/>
    <m/>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s v="DC107"/>
    <s v=""/>
    <s v=""/>
    <x v="1"/>
    <s v=""/>
    <s v=""/>
  </r>
  <r>
    <x v="50"/>
    <x v="50"/>
    <s v="Student1 Proj-OP-CL4"/>
    <m/>
    <m/>
    <s v="Goffstown High School"/>
    <s v="Teacher Proj-OP-CL4"/>
    <x v="50"/>
    <x v="7"/>
    <s v="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
    <s v="Y"/>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m/>
    <s v=""/>
    <s v=""/>
    <s v="DA105"/>
    <s v=""/>
    <s v=""/>
    <m/>
    <s v=""/>
    <s v=""/>
    <m/>
    <s v=""/>
    <s v=""/>
    <x v="1"/>
    <s v=""/>
    <s v=""/>
  </r>
  <r>
    <x v="51"/>
    <x v="51"/>
    <s v="Student1 Proj-OP-YRK"/>
    <s v="Student2 Proj-OP-YRK"/>
    <m/>
    <s v="Goffstown High School"/>
    <s v="Teacher Proj-OP-YRK"/>
    <x v="51"/>
    <x v="7"/>
    <s v="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
    <s v="Y"/>
    <x v="1"/>
    <s v=""/>
    <s v=""/>
    <x v="1"/>
    <s v=""/>
    <s v=""/>
    <x v="1"/>
    <s v=""/>
    <s v=""/>
    <x v="1"/>
    <s v=""/>
    <s v=""/>
    <m/>
    <s v=""/>
    <s v=""/>
    <m/>
    <s v=""/>
    <s v=""/>
    <m/>
    <s v=""/>
    <s v=""/>
    <m/>
    <s v=""/>
    <s v=""/>
    <s v="AJ036"/>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s v="CN092"/>
    <s v=""/>
    <s v=""/>
    <m/>
    <s v=""/>
    <s v=""/>
    <m/>
    <s v=""/>
    <s v=""/>
    <m/>
    <s v=""/>
    <s v=""/>
    <m/>
    <s v=""/>
    <s v=""/>
    <m/>
    <s v=""/>
    <s v=""/>
    <m/>
    <s v=""/>
    <s v=""/>
    <m/>
    <s v=""/>
    <s v=""/>
    <m/>
    <s v=""/>
    <s v=""/>
    <s v="DA105"/>
    <s v=""/>
    <s v=""/>
    <m/>
    <s v=""/>
    <s v=""/>
    <m/>
    <s v=""/>
    <s v=""/>
    <x v="1"/>
    <s v=""/>
    <s v=""/>
  </r>
  <r>
    <x v="52"/>
    <x v="52"/>
    <s v="Student1 Proj-OP-IG2"/>
    <m/>
    <m/>
    <s v="Nashua High School North"/>
    <s v="Teacher Proj-OP-IG2"/>
    <x v="52"/>
    <x v="7"/>
    <s v="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
    <s v="Y"/>
    <x v="1"/>
    <s v=""/>
    <s v=""/>
    <x v="1"/>
    <s v=""/>
    <s v=""/>
    <x v="1"/>
    <s v=""/>
    <s v=""/>
    <x v="1"/>
    <s v=""/>
    <s v=""/>
    <m/>
    <s v=""/>
    <s v=""/>
    <m/>
    <s v=""/>
    <s v=""/>
    <m/>
    <s v=""/>
    <s v=""/>
    <m/>
    <s v=""/>
    <s v=""/>
    <m/>
    <s v=""/>
    <s v=""/>
    <m/>
    <s v=""/>
    <s v=""/>
    <m/>
    <s v=""/>
    <s v=""/>
    <m/>
    <s v=""/>
    <s v=""/>
    <m/>
    <s v=""/>
    <s v=""/>
    <m/>
    <s v=""/>
    <s v=""/>
    <m/>
    <s v=""/>
    <s v=""/>
    <s v="AS045"/>
    <s v=""/>
    <s v=""/>
    <m/>
    <s v=""/>
    <s v=""/>
    <m/>
    <s v=""/>
    <s v=""/>
    <m/>
    <s v=""/>
    <s v=""/>
    <m/>
    <s v=""/>
    <s v=""/>
    <m/>
    <s v=""/>
    <s v=""/>
    <m/>
    <s v=""/>
    <s v=""/>
    <s v="BB054"/>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s v="DA105"/>
    <s v=""/>
    <s v=""/>
    <m/>
    <s v=""/>
    <s v=""/>
    <m/>
    <s v=""/>
    <s v=""/>
    <x v="1"/>
    <s v=""/>
    <s v=""/>
  </r>
  <r>
    <x v="53"/>
    <x v="53"/>
    <s v="Student1 Proj-OP-K45"/>
    <m/>
    <m/>
    <s v="Nashua High School North"/>
    <s v="Teacher Proj-OP-K45"/>
    <x v="53"/>
    <x v="7"/>
    <s v="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
    <s v="Y"/>
    <x v="1"/>
    <s v=""/>
    <s v=""/>
    <x v="1"/>
    <s v=""/>
    <s v=""/>
    <x v="1"/>
    <s v=""/>
    <s v=""/>
    <x v="1"/>
    <s v=""/>
    <s v=""/>
    <m/>
    <s v=""/>
    <s v=""/>
    <m/>
    <s v=""/>
    <s v=""/>
    <m/>
    <s v=""/>
    <s v=""/>
    <m/>
    <s v=""/>
    <s v=""/>
    <m/>
    <s v=""/>
    <s v=""/>
    <m/>
    <s v=""/>
    <s v=""/>
    <m/>
    <s v=""/>
    <s v=""/>
    <m/>
    <s v=""/>
    <s v=""/>
    <s v="AN040"/>
    <s v=""/>
    <s v=""/>
    <m/>
    <s v=""/>
    <s v=""/>
    <m/>
    <s v=""/>
    <s v=""/>
    <m/>
    <s v=""/>
    <s v=""/>
    <m/>
    <s v=""/>
    <s v=""/>
    <m/>
    <s v=""/>
    <s v=""/>
    <m/>
    <s v=""/>
    <s v=""/>
    <m/>
    <s v=""/>
    <s v=""/>
    <m/>
    <s v=""/>
    <s v=""/>
    <m/>
    <s v=""/>
    <s v=""/>
    <m/>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4"/>
    <x v="54"/>
    <s v="Student1 Proj-OP-U62"/>
    <m/>
    <m/>
    <s v="Nashua High School North"/>
    <s v="Teacher Proj-OP-U62"/>
    <x v="54"/>
    <x v="7"/>
    <s v="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
    <s v="Y"/>
    <x v="1"/>
    <s v=""/>
    <s v=""/>
    <x v="1"/>
    <s v=""/>
    <s v=""/>
    <x v="1"/>
    <s v=""/>
    <s v=""/>
    <x v="1"/>
    <s v=""/>
    <s v=""/>
    <m/>
    <s v=""/>
    <s v=""/>
    <m/>
    <s v=""/>
    <s v=""/>
    <m/>
    <s v=""/>
    <s v=""/>
    <m/>
    <s v=""/>
    <s v=""/>
    <m/>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5"/>
    <x v="55"/>
    <s v="Student1 Proj-OP-0BA"/>
    <m/>
    <m/>
    <s v="Nashua High School South"/>
    <s v="Teacher Proj-OP-0BA"/>
    <x v="55"/>
    <x v="7"/>
    <s v="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_x000a__x000a_"/>
    <s v="Y"/>
    <x v="1"/>
    <s v=""/>
    <s v=""/>
    <x v="1"/>
    <s v=""/>
    <s v=""/>
    <x v="1"/>
    <s v=""/>
    <s v=""/>
    <x v="1"/>
    <s v=""/>
    <s v=""/>
    <m/>
    <s v=""/>
    <s v=""/>
    <s v="AF032"/>
    <s v=""/>
    <s v=""/>
    <m/>
    <s v=""/>
    <s v=""/>
    <m/>
    <s v=""/>
    <s v=""/>
    <s v="AJ036"/>
    <s v=""/>
    <s v=""/>
    <m/>
    <s v=""/>
    <s v=""/>
    <m/>
    <s v=""/>
    <s v=""/>
    <m/>
    <s v=""/>
    <s v=""/>
    <s v="AN040"/>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6"/>
    <x v="56"/>
    <s v="Student1 Proj-OP-7VT"/>
    <m/>
    <m/>
    <s v="Nashua High School South"/>
    <s v="Teacher Proj-OP-7VT"/>
    <x v="56"/>
    <x v="7"/>
    <s v="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_x000a_"/>
    <s v="Y"/>
    <x v="1"/>
    <s v=""/>
    <s v=""/>
    <x v="1"/>
    <s v=""/>
    <s v=""/>
    <x v="1"/>
    <s v=""/>
    <s v=""/>
    <x v="1"/>
    <s v=""/>
    <s v=""/>
    <m/>
    <s v=""/>
    <s v=""/>
    <m/>
    <s v=""/>
    <s v=""/>
    <m/>
    <s v=""/>
    <s v=""/>
    <m/>
    <s v=""/>
    <s v=""/>
    <s v="AJ036"/>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s v="CN092"/>
    <s v=""/>
    <s v=""/>
    <m/>
    <s v=""/>
    <s v=""/>
    <m/>
    <s v=""/>
    <s v=""/>
    <m/>
    <s v=""/>
    <s v=""/>
    <m/>
    <s v=""/>
    <s v=""/>
    <m/>
    <s v=""/>
    <s v=""/>
    <m/>
    <s v=""/>
    <s v=""/>
    <m/>
    <s v=""/>
    <s v=""/>
    <m/>
    <s v=""/>
    <s v=""/>
    <m/>
    <s v=""/>
    <s v=""/>
    <m/>
    <s v=""/>
    <s v=""/>
    <m/>
    <s v=""/>
    <s v=""/>
    <x v="1"/>
    <s v=""/>
    <s v=""/>
  </r>
  <r>
    <x v="57"/>
    <x v="57"/>
    <s v="Student1 Proj-OP-FZ7"/>
    <s v="Student2 Proj-OP-FZ7"/>
    <m/>
    <s v="Prospect Mountain High School"/>
    <s v="Teacher Proj-OP-FZ7"/>
    <x v="57"/>
    <x v="7"/>
    <s v="Testing 3 sources of water- Lake Winnipeasukee, a local retention pond, and well water- to see what contaminants it. Then use different filter methods to purify the water, which allows it to be drinkable, and retest after to compare the different filtering methods."/>
    <s v="N"/>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8"/>
    <x v="58"/>
    <s v="Student1 Proj-OP-XE4"/>
    <s v="Student2 Proj-OP-XE4"/>
    <m/>
    <s v="Prospect Mountain High School"/>
    <s v="Teacher Proj-OP-XE4"/>
    <x v="58"/>
    <x v="7"/>
    <s v="We will be surveying people in our community to find out opinions on climate change."/>
    <s v="N"/>
    <x v="1"/>
    <s v=""/>
    <s v=""/>
    <x v="1"/>
    <s v=""/>
    <s v=""/>
    <x v="1"/>
    <s v=""/>
    <s v=""/>
    <x v="1"/>
    <s v=""/>
    <s v=""/>
    <m/>
    <s v=""/>
    <s v=""/>
    <s v="AF032"/>
    <s v=""/>
    <s v=""/>
    <m/>
    <s v=""/>
    <s v=""/>
    <m/>
    <s v=""/>
    <s v=""/>
    <m/>
    <s v=""/>
    <s v=""/>
    <m/>
    <s v=""/>
    <s v=""/>
    <m/>
    <s v=""/>
    <s v=""/>
    <m/>
    <s v=""/>
    <s v=""/>
    <s v="AN040"/>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s v="CJ088"/>
    <s v=""/>
    <s v=""/>
    <m/>
    <s v=""/>
    <s v=""/>
    <m/>
    <s v=""/>
    <s v=""/>
    <m/>
    <s v=""/>
    <s v=""/>
    <m/>
    <s v=""/>
    <s v=""/>
    <m/>
    <s v=""/>
    <s v=""/>
    <m/>
    <s v=""/>
    <s v=""/>
    <m/>
    <s v=""/>
    <s v=""/>
    <m/>
    <s v=""/>
    <s v=""/>
    <m/>
    <s v=""/>
    <s v=""/>
    <m/>
    <s v=""/>
    <s v=""/>
    <m/>
    <s v=""/>
    <s v=""/>
    <m/>
    <s v=""/>
    <s v=""/>
    <m/>
    <s v=""/>
    <s v=""/>
    <m/>
    <s v=""/>
    <s v=""/>
    <m/>
    <s v=""/>
    <s v=""/>
    <x v="1"/>
    <s v=""/>
    <s v=""/>
  </r>
  <r>
    <x v="59"/>
    <x v="59"/>
    <s v="Student1 Proj-OP-WMC"/>
    <s v="Student1 Proj-OP-WMC"/>
    <m/>
    <s v="Goffstown High School"/>
    <s v="Teacher Proj-OP-WMC"/>
    <x v="59"/>
    <x v="8"/>
    <s v="Were going to be looking to see if there is an association between adding various types of serving size diagrams on drink bottles and serving size"/>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0"/>
    <x v="60"/>
    <s v="Student1 Proj-OP-CAG"/>
    <m/>
    <m/>
    <s v="Nashua High School South"/>
    <s v="Teacher Proj-OP-CAG"/>
    <x v="60"/>
    <x v="8"/>
    <s v="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1"/>
    <x v="61"/>
    <s v="Student1 Proj-OP-0FP"/>
    <m/>
    <m/>
    <s v="Phillips Exeter Academy"/>
    <s v="Teacher Proj-OP-0FP"/>
    <x v="61"/>
    <x v="8"/>
    <s v="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_x000a_Our research studies the single facility location ratio problem, which can be formulated as follows:_x000a_How much worse than the optimal solution can a solution be if the facility must be opened at one of the clients' locations?_x000a_Fekete and Meijer proved that the ratio between the two associated costs is always no greater than root 2 = 1.4142 . . .. This result was successively improved by Dumitrescu, Toth and Xu (1.3630...), and Ismailescu and Park (1.3545...). In this paper, we prove an even better bound of 1.3384..."/>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2"/>
    <x v="62"/>
    <s v="Student1 Proj-OP-GXR"/>
    <m/>
    <m/>
    <s v="Phillips Exeter Academy"/>
    <s v="Teacher Proj-OP-GXR"/>
    <x v="62"/>
    <x v="8"/>
    <s v="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_x000a_"/>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3"/>
    <x v="63"/>
    <s v="Student1 Proj-OP-4T8"/>
    <s v="Student2 Proj-OP-4T8"/>
    <m/>
    <s v="Goffstown High School"/>
    <s v="Teacher Proj-OP-4T8"/>
    <x v="63"/>
    <x v="9"/>
    <s v="This project involves using a thermoelectric generator and a volt meter to measure the amount of voltage created from a banana compost station over the span of 4 weeks where 20 fresh bananas have been mixed with soil to decompose."/>
    <s v="Y"/>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4"/>
    <x v="64"/>
    <s v="Student1 Proj-OP-PVO"/>
    <m/>
    <m/>
    <s v="Nashua High School South"/>
    <s v="Teacher Proj-OP-PVO"/>
    <x v="64"/>
    <x v="9"/>
    <s v="Visual impairment is a condition that affects a person’s vision. According to the CDC, 285 million people worldwide suffer from visual impairment, 39 million are blind and the rest have low vision. _x000a_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_x000a_"/>
    <s v="Y"/>
    <x v="1"/>
    <s v=""/>
    <s v=""/>
    <x v="1"/>
    <s v=""/>
    <s v=""/>
    <x v="1"/>
    <s v=""/>
    <s v=""/>
    <x v="1"/>
    <s v=""/>
    <s v=""/>
    <m/>
    <s v=""/>
    <s v=""/>
    <m/>
    <s v=""/>
    <s v=""/>
    <m/>
    <s v=""/>
    <s v=""/>
    <s v="AH034"/>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m/>
    <s v=""/>
    <s v=""/>
    <s v="CT098"/>
    <s v=""/>
    <s v=""/>
    <m/>
    <s v=""/>
    <s v=""/>
    <m/>
    <s v=""/>
    <s v=""/>
    <m/>
    <s v=""/>
    <s v=""/>
    <m/>
    <s v=""/>
    <s v=""/>
    <m/>
    <s v=""/>
    <s v=""/>
    <m/>
    <s v=""/>
    <s v=""/>
    <m/>
    <s v=""/>
    <s v=""/>
    <x v="1"/>
    <s v=""/>
    <s v=""/>
  </r>
  <r>
    <x v="65"/>
    <x v="65"/>
    <s v="Student1 Proj-OP-VQ5"/>
    <s v="Student2 Proj-OP-VQ5"/>
    <m/>
    <s v="Phillips Exeter Academy"/>
    <s v="Teacher Proj-OP-VQ5"/>
    <x v="65"/>
    <x v="9"/>
    <s v="In this project, a magnetoplasmadynamic thruster will be built and tested."/>
    <s v="Y"/>
    <x v="1"/>
    <s v=""/>
    <s v=""/>
    <x v="1"/>
    <s v=""/>
    <s v=""/>
    <x v="1"/>
    <s v=""/>
    <s v=""/>
    <x v="1"/>
    <s v=""/>
    <s v=""/>
    <m/>
    <s v=""/>
    <s v=""/>
    <m/>
    <s v=""/>
    <s v=""/>
    <m/>
    <s v=""/>
    <s v=""/>
    <m/>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6"/>
    <x v="66"/>
    <s v="Challenge01"/>
    <m/>
    <m/>
    <s v="Farmington High School"/>
    <s v="Teacher Proj-CH-GVG"/>
    <x v="66"/>
    <x v="10"/>
    <s v="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_x000a_"/>
    <s v="N"/>
    <x v="1"/>
    <s v=""/>
    <s v=""/>
    <x v="1"/>
    <s v=""/>
    <s v=""/>
    <x v="1"/>
    <s v=""/>
    <s v=""/>
    <x v="1"/>
    <s v=""/>
    <s v=""/>
    <m/>
    <s v=""/>
    <s v=""/>
    <m/>
    <s v=""/>
    <s v=""/>
    <m/>
    <s v=""/>
    <s v=""/>
    <s v="AH034"/>
    <s v=""/>
    <s v=""/>
    <m/>
    <s v=""/>
    <s v=""/>
    <m/>
    <s v=""/>
    <s v=""/>
    <m/>
    <s v=""/>
    <s v=""/>
    <m/>
    <s v=""/>
    <s v=""/>
    <m/>
    <s v=""/>
    <s v=""/>
    <s v="AP042"/>
    <s v=""/>
    <s v=""/>
    <s v="AR044"/>
    <s v=""/>
    <s v=""/>
    <m/>
    <s v=""/>
    <s v=""/>
    <m/>
    <s v=""/>
    <s v=""/>
    <m/>
    <s v=""/>
    <s v=""/>
    <m/>
    <s v=""/>
    <s v=""/>
    <m/>
    <s v=""/>
    <s v=""/>
    <m/>
    <s v=""/>
    <s v=""/>
    <m/>
    <s v=""/>
    <s v=""/>
    <m/>
    <s v=""/>
    <s v=""/>
    <s v="BC055"/>
    <s v=""/>
    <s v=""/>
    <m/>
    <s v=""/>
    <s v=""/>
    <m/>
    <s v=""/>
    <s v=""/>
    <m/>
    <s v=""/>
    <s v=""/>
    <m/>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DC107"/>
    <s v=""/>
    <s v=""/>
    <x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F03D1C-C7EB-4A69-886A-808F2F9D278A}" name="PivotTable3" cacheId="1"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71" firstHeaderRow="1" firstDataRow="1" firstDataCol="4"/>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7">
    <i>
      <x/>
      <x/>
      <x/>
      <x v="41"/>
    </i>
    <i>
      <x v="1"/>
      <x v="2"/>
      <x v="1"/>
      <x v="53"/>
    </i>
    <i r="1">
      <x v="3"/>
      <x v="2"/>
      <x v="16"/>
    </i>
    <i r="1">
      <x v="4"/>
      <x v="3"/>
      <x v="65"/>
    </i>
    <i r="1">
      <x v="5"/>
      <x v="4"/>
      <x v="32"/>
    </i>
    <i r="1">
      <x v="6"/>
      <x v="5"/>
      <x v="29"/>
    </i>
    <i r="1">
      <x v="7"/>
      <x v="6"/>
      <x v="37"/>
    </i>
    <i r="1">
      <x v="8"/>
      <x v="7"/>
      <x v="40"/>
    </i>
    <i r="1">
      <x v="9"/>
      <x v="8"/>
      <x v="55"/>
    </i>
    <i r="1">
      <x v="10"/>
      <x v="9"/>
      <x v="20"/>
    </i>
    <i r="1">
      <x v="11"/>
      <x v="10"/>
      <x v="10"/>
    </i>
    <i>
      <x v="2"/>
      <x v="12"/>
      <x v="11"/>
      <x v="26"/>
    </i>
    <i r="1">
      <x v="13"/>
      <x v="12"/>
      <x v="30"/>
    </i>
    <i r="1">
      <x v="14"/>
      <x v="13"/>
      <x v="60"/>
    </i>
    <i r="1">
      <x v="15"/>
      <x v="14"/>
      <x v="63"/>
    </i>
    <i r="1">
      <x v="16"/>
      <x v="15"/>
      <x v="47"/>
    </i>
    <i r="1">
      <x v="17"/>
      <x v="16"/>
      <x v="11"/>
    </i>
    <i r="1">
      <x v="18"/>
      <x v="17"/>
      <x v="64"/>
    </i>
    <i>
      <x v="3"/>
      <x v="19"/>
      <x v="18"/>
      <x v="19"/>
    </i>
    <i r="1">
      <x v="20"/>
      <x v="19"/>
      <x v="46"/>
    </i>
    <i r="1">
      <x v="21"/>
      <x v="20"/>
      <x v="13"/>
    </i>
    <i r="1">
      <x v="22"/>
      <x v="21"/>
      <x v="5"/>
    </i>
    <i r="1">
      <x v="23"/>
      <x v="22"/>
      <x v="34"/>
    </i>
    <i r="1">
      <x v="24"/>
      <x v="23"/>
      <x v="48"/>
    </i>
    <i r="1">
      <x v="25"/>
      <x v="24"/>
      <x v="49"/>
    </i>
    <i r="1">
      <x v="26"/>
      <x v="25"/>
      <x v="45"/>
    </i>
    <i r="1">
      <x v="27"/>
      <x v="26"/>
      <x v="8"/>
    </i>
    <i r="1">
      <x v="28"/>
      <x v="27"/>
      <x v="31"/>
    </i>
    <i r="1">
      <x v="29"/>
      <x v="28"/>
      <x v="23"/>
    </i>
    <i r="1">
      <x v="30"/>
      <x v="29"/>
      <x v="61"/>
    </i>
    <i r="1">
      <x v="31"/>
      <x v="30"/>
      <x v="57"/>
    </i>
    <i r="1">
      <x v="32"/>
      <x v="31"/>
      <x v="27"/>
    </i>
    <i r="1">
      <x v="33"/>
      <x v="32"/>
      <x v="33"/>
    </i>
    <i r="1">
      <x v="34"/>
      <x v="33"/>
      <x v="22"/>
    </i>
    <i r="1">
      <x v="35"/>
      <x v="34"/>
      <x v="18"/>
    </i>
    <i r="1">
      <x v="36"/>
      <x v="35"/>
      <x v="36"/>
    </i>
    <i r="1">
      <x v="37"/>
      <x v="36"/>
      <x v="7"/>
    </i>
    <i r="1">
      <x v="38"/>
      <x v="37"/>
      <x/>
    </i>
    <i r="1">
      <x v="39"/>
      <x v="38"/>
      <x v="52"/>
    </i>
    <i r="1">
      <x v="40"/>
      <x v="39"/>
      <x v="62"/>
    </i>
    <i r="1">
      <x v="41"/>
      <x v="40"/>
      <x v="44"/>
    </i>
    <i r="1">
      <x v="42"/>
      <x v="41"/>
      <x v="42"/>
    </i>
    <i r="1">
      <x v="43"/>
      <x v="42"/>
      <x v="3"/>
    </i>
    <i>
      <x v="4"/>
      <x v="44"/>
      <x v="43"/>
      <x v="28"/>
    </i>
    <i r="1">
      <x v="45"/>
      <x v="44"/>
      <x v="1"/>
    </i>
    <i r="1">
      <x v="46"/>
      <x v="45"/>
      <x v="25"/>
    </i>
    <i r="1">
      <x v="47"/>
      <x v="46"/>
      <x v="21"/>
    </i>
    <i>
      <x v="5"/>
      <x v="48"/>
      <x v="47"/>
      <x v="59"/>
    </i>
    <i>
      <x v="6"/>
      <x v="49"/>
      <x v="48"/>
      <x v="51"/>
    </i>
    <i r="1">
      <x v="50"/>
      <x v="49"/>
      <x v="54"/>
    </i>
    <i>
      <x v="7"/>
      <x v="1"/>
      <x v="57"/>
      <x v="58"/>
    </i>
    <i r="1">
      <x v="51"/>
      <x v="50"/>
      <x v="4"/>
    </i>
    <i r="1">
      <x v="52"/>
      <x v="51"/>
      <x v="12"/>
    </i>
    <i r="1">
      <x v="53"/>
      <x v="52"/>
      <x v="2"/>
    </i>
    <i r="1">
      <x v="54"/>
      <x v="53"/>
      <x v="38"/>
    </i>
    <i r="1">
      <x v="55"/>
      <x v="54"/>
      <x v="15"/>
    </i>
    <i r="1">
      <x v="56"/>
      <x v="55"/>
      <x v="17"/>
    </i>
    <i r="1">
      <x v="57"/>
      <x v="56"/>
      <x v="9"/>
    </i>
    <i r="1">
      <x v="58"/>
      <x v="58"/>
      <x v="56"/>
    </i>
    <i>
      <x v="8"/>
      <x v="59"/>
      <x v="59"/>
      <x v="24"/>
    </i>
    <i r="1">
      <x v="60"/>
      <x v="60"/>
      <x v="43"/>
    </i>
    <i r="1">
      <x v="61"/>
      <x v="61"/>
      <x v="50"/>
    </i>
    <i r="1">
      <x v="62"/>
      <x v="62"/>
      <x v="35"/>
    </i>
    <i>
      <x v="9"/>
      <x v="63"/>
      <x v="63"/>
      <x v="39"/>
    </i>
    <i r="1">
      <x v="64"/>
      <x v="64"/>
      <x v="6"/>
    </i>
    <i r="1">
      <x v="65"/>
      <x v="65"/>
      <x v="14"/>
    </i>
    <i>
      <x v="10"/>
      <x v="66"/>
      <x v="66"/>
      <x v="66"/>
    </i>
  </rowItems>
  <colItems count="1">
    <i/>
  </colItems>
  <formats count="8">
    <format dxfId="7">
      <pivotArea field="1" type="button" dataOnly="0" labelOnly="1" outline="0" axis="axisRow" fieldPosition="1"/>
    </format>
    <format dxfId="6">
      <pivotArea field="7" type="button" dataOnly="0" labelOnly="1" outline="0" axis="axisRow" fieldPosition="2"/>
    </format>
    <format dxfId="5">
      <pivotArea field="0" type="button" dataOnly="0" labelOnly="1" outline="0" axis="axisRow" fieldPosition="3"/>
    </format>
    <format dxfId="4">
      <pivotArea field="1" type="button" dataOnly="0" labelOnly="1" outline="0" axis="axisRow" fieldPosition="1"/>
    </format>
    <format dxfId="3">
      <pivotArea field="8" type="button" dataOnly="0" labelOnly="1" outline="0" axis="axisRow" fieldPosition="0"/>
    </format>
    <format dxfId="2">
      <pivotArea dataOnly="0" labelOnly="1" grandRow="1" outline="0" fieldPosition="0"/>
    </format>
    <format dxfId="1">
      <pivotArea type="all" dataOnly="0" outline="0" fieldPosition="0"/>
    </format>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udent Open Competition Registration" preserveFormatting="0"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tudent Open Competition Registration_1" preserveFormatting="0" connectionId="2" xr16:uid="{00000000-0016-0000-00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J1048556"/>
  <sheetViews>
    <sheetView tabSelected="1" zoomScale="90" zoomScaleNormal="90" workbookViewId="0">
      <pane xSplit="13" ySplit="4" topLeftCell="KW56" activePane="bottomRight" state="frozen"/>
      <selection activeCell="G1" sqref="G1:V89"/>
      <selection pane="topRight" activeCell="G1" sqref="G1:V89"/>
      <selection pane="bottomLeft" activeCell="G1" sqref="G1:V89"/>
      <selection pane="bottomRight" activeCell="G65" sqref="G65"/>
    </sheetView>
  </sheetViews>
  <sheetFormatPr defaultRowHeight="18"/>
  <cols>
    <col min="1" max="1" width="6.5546875" style="22" customWidth="1"/>
    <col min="2" max="2" width="5.6640625" style="22" customWidth="1"/>
    <col min="3" max="3" width="5.6640625" style="25" customWidth="1"/>
    <col min="4" max="4" width="8.6640625" style="33" customWidth="1"/>
    <col min="5" max="7" width="20.6640625" customWidth="1"/>
    <col min="8" max="8" width="20.6640625" style="4" customWidth="1"/>
    <col min="9" max="9" width="20.6640625" customWidth="1"/>
    <col min="10" max="10" width="20.6640625" style="33" customWidth="1"/>
    <col min="11" max="11" width="20.6640625" style="30" customWidth="1"/>
    <col min="12" max="12" width="10.109375" customWidth="1"/>
    <col min="13" max="13" width="2.6640625" customWidth="1"/>
    <col min="14" max="14" width="10.33203125" style="102" customWidth="1"/>
    <col min="15" max="16" width="10.33203125" style="80" customWidth="1"/>
    <col min="17" max="17" width="10.33203125" style="103" customWidth="1"/>
    <col min="18" max="19" width="10.33203125" style="79" customWidth="1"/>
    <col min="20" max="20" width="10.33203125" style="103" customWidth="1"/>
    <col min="21" max="22" width="10.33203125" style="79" customWidth="1"/>
    <col min="23" max="23" width="10.33203125" style="103" customWidth="1"/>
    <col min="24" max="25" width="10.33203125" style="79" customWidth="1"/>
    <col min="26" max="26" width="10.33203125" style="103" customWidth="1"/>
    <col min="27" max="28" width="10.33203125" style="79" customWidth="1"/>
    <col min="29" max="29" width="10.33203125" style="103" customWidth="1"/>
    <col min="30" max="31" width="10.33203125" style="79" customWidth="1"/>
    <col min="32" max="32" width="10.33203125" style="103" customWidth="1"/>
    <col min="33" max="34" width="10.33203125" style="79" customWidth="1"/>
    <col min="35" max="35" width="10.33203125" style="103" customWidth="1"/>
    <col min="36" max="37" width="10.33203125" style="79" customWidth="1"/>
    <col min="38" max="38" width="10.33203125" style="103" customWidth="1"/>
    <col min="39" max="40" width="10.33203125" style="79" customWidth="1"/>
    <col min="41" max="41" width="10.33203125" style="103" customWidth="1"/>
    <col min="42" max="43" width="10.33203125" style="79" customWidth="1"/>
    <col min="44" max="44" width="10.33203125" style="103" customWidth="1"/>
    <col min="45" max="46" width="10.33203125" style="79" customWidth="1"/>
    <col min="47" max="47" width="10.33203125" style="103" customWidth="1"/>
    <col min="48" max="49" width="10.33203125" style="79" customWidth="1"/>
    <col min="50" max="50" width="10.33203125" style="102" customWidth="1"/>
    <col min="51" max="52" width="10.33203125" style="79" customWidth="1"/>
    <col min="53" max="53" width="10.33203125" style="103" customWidth="1"/>
    <col min="54" max="55" width="10.33203125" style="79" customWidth="1"/>
    <col min="56" max="56" width="10.33203125" style="103" customWidth="1"/>
    <col min="57" max="58" width="10.33203125" style="79" customWidth="1"/>
    <col min="59" max="59" width="10.33203125" style="103" customWidth="1"/>
    <col min="60" max="61" width="10.33203125" style="79" customWidth="1"/>
    <col min="62" max="62" width="10.33203125" style="103" customWidth="1"/>
    <col min="63" max="64" width="10.33203125" style="79" customWidth="1"/>
    <col min="65" max="65" width="10.33203125" style="103" customWidth="1"/>
    <col min="66" max="67" width="10.33203125" style="79" customWidth="1"/>
    <col min="68" max="68" width="10.33203125" style="103" customWidth="1"/>
    <col min="69" max="70" width="10.33203125" style="79" customWidth="1"/>
    <col min="71" max="71" width="10.33203125" style="103" customWidth="1"/>
    <col min="72" max="73" width="10.33203125" style="79" customWidth="1"/>
    <col min="74" max="74" width="10.33203125" style="103" customWidth="1"/>
    <col min="75" max="76" width="10.33203125" style="79" customWidth="1"/>
    <col min="77" max="77" width="10.33203125" style="103" customWidth="1"/>
    <col min="78" max="79" width="10.33203125" style="79" customWidth="1"/>
    <col min="80" max="80" width="10.33203125" style="103" customWidth="1"/>
    <col min="81" max="82" width="10.33203125" style="79" customWidth="1"/>
    <col min="83" max="83" width="10.33203125" style="103" customWidth="1"/>
    <col min="84" max="85" width="10.33203125" style="79" customWidth="1"/>
    <col min="86" max="86" width="10.33203125" style="103" customWidth="1"/>
    <col min="87" max="88" width="10.33203125" style="79" customWidth="1"/>
    <col min="89" max="89" width="10.33203125" style="103" customWidth="1"/>
    <col min="90" max="91" width="10.33203125" style="79" customWidth="1"/>
    <col min="92" max="92" width="10.33203125" style="103" customWidth="1"/>
    <col min="93" max="94" width="10.33203125" style="79" customWidth="1"/>
    <col min="95" max="95" width="10.33203125" style="103" customWidth="1"/>
    <col min="96" max="97" width="10.33203125" style="79" customWidth="1"/>
    <col min="98" max="98" width="10.33203125" style="103" customWidth="1"/>
    <col min="99" max="100" width="10.33203125" style="79" customWidth="1"/>
    <col min="101" max="101" width="10.33203125" style="103" customWidth="1"/>
    <col min="102" max="103" width="10.33203125" style="79" customWidth="1"/>
    <col min="104" max="104" width="10.33203125" style="103" customWidth="1"/>
    <col min="105" max="106" width="10.33203125" style="79" customWidth="1"/>
    <col min="107" max="107" width="10.33203125" style="103" customWidth="1"/>
    <col min="108" max="109" width="10.33203125" style="79" customWidth="1"/>
    <col min="110" max="110" width="10.33203125" style="103" customWidth="1"/>
    <col min="111" max="112" width="10.33203125" style="79" customWidth="1"/>
    <col min="113" max="113" width="10.33203125" style="103" customWidth="1"/>
    <col min="114" max="115" width="10.33203125" style="79" customWidth="1"/>
    <col min="116" max="116" width="10.33203125" style="103" customWidth="1"/>
    <col min="117" max="118" width="10.33203125" style="79" customWidth="1"/>
    <col min="119" max="119" width="10.33203125" style="103" customWidth="1"/>
    <col min="120" max="121" width="10.33203125" style="79" customWidth="1"/>
    <col min="122" max="122" width="10.33203125" style="103" customWidth="1"/>
    <col min="123" max="124" width="10.33203125" style="79" customWidth="1"/>
    <col min="125" max="125" width="10.33203125" style="103" customWidth="1"/>
    <col min="126" max="127" width="10.33203125" style="79" customWidth="1"/>
    <col min="128" max="128" width="10.33203125" style="103" customWidth="1"/>
    <col min="129" max="130" width="10.33203125" style="79" customWidth="1"/>
    <col min="131" max="131" width="10.33203125" style="103" customWidth="1"/>
    <col min="132" max="133" width="10.33203125" style="79" customWidth="1"/>
    <col min="134" max="134" width="10.33203125" style="103" customWidth="1"/>
    <col min="135" max="136" width="10.33203125" style="79" customWidth="1"/>
    <col min="137" max="137" width="10.33203125" style="103" customWidth="1"/>
    <col min="138" max="139" width="10.33203125" style="79" customWidth="1"/>
    <col min="140" max="140" width="10.33203125" style="103" customWidth="1"/>
    <col min="141" max="142" width="10.33203125" style="79" customWidth="1"/>
    <col min="143" max="143" width="10.33203125" style="103" customWidth="1"/>
    <col min="144" max="145" width="10.33203125" style="79" customWidth="1"/>
    <col min="146" max="146" width="10.33203125" style="103" customWidth="1"/>
    <col min="147" max="148" width="10.33203125" style="79" customWidth="1"/>
    <col min="149" max="149" width="10.33203125" style="103" customWidth="1"/>
    <col min="150" max="151" width="10.33203125" style="79" customWidth="1"/>
    <col min="152" max="152" width="10.33203125" style="103" customWidth="1"/>
    <col min="153" max="154" width="10.33203125" style="79" customWidth="1"/>
    <col min="155" max="155" width="10.33203125" style="103" customWidth="1"/>
    <col min="156" max="157" width="10.33203125" style="79" customWidth="1"/>
    <col min="158" max="158" width="10.33203125" style="103" customWidth="1"/>
    <col min="159" max="160" width="10.33203125" style="79" customWidth="1"/>
    <col min="161" max="161" width="10.33203125" style="103" customWidth="1"/>
    <col min="162" max="163" width="10.33203125" style="79" customWidth="1"/>
    <col min="164" max="164" width="10.33203125" style="103" customWidth="1"/>
    <col min="165" max="166" width="10.33203125" style="79" customWidth="1"/>
    <col min="167" max="167" width="10.33203125" style="103" customWidth="1"/>
    <col min="168" max="169" width="10.33203125" style="79" customWidth="1"/>
    <col min="170" max="170" width="10.33203125" style="103" customWidth="1"/>
    <col min="171" max="172" width="10.33203125" style="79" customWidth="1"/>
    <col min="173" max="173" width="10.33203125" style="103" customWidth="1"/>
    <col min="174" max="178" width="10.33203125" style="79" customWidth="1"/>
    <col min="179" max="179" width="10.33203125" style="103" customWidth="1"/>
    <col min="180" max="181" width="10.33203125" style="79" customWidth="1"/>
    <col min="182" max="182" width="10.33203125" style="103" customWidth="1"/>
    <col min="183" max="184" width="10.33203125" style="79" customWidth="1"/>
    <col min="185" max="185" width="10.33203125" style="103" customWidth="1"/>
    <col min="186" max="187" width="10.33203125" style="79" customWidth="1"/>
    <col min="188" max="188" width="10.33203125" style="103" customWidth="1"/>
    <col min="189" max="190" width="10.33203125" style="79" customWidth="1"/>
    <col min="191" max="191" width="10.33203125" style="103" customWidth="1"/>
    <col min="192" max="193" width="10.33203125" style="79" customWidth="1"/>
    <col min="194" max="194" width="10.33203125" style="103" customWidth="1"/>
    <col min="195" max="196" width="10.33203125" style="79" customWidth="1"/>
    <col min="197" max="197" width="10.33203125" style="103" customWidth="1"/>
    <col min="198" max="199" width="10.33203125" style="79" customWidth="1"/>
    <col min="200" max="200" width="10.33203125" style="103" customWidth="1"/>
    <col min="201" max="202" width="10.33203125" style="79" customWidth="1"/>
    <col min="203" max="203" width="10.33203125" style="103" customWidth="1"/>
    <col min="204" max="205" width="10.33203125" style="79" customWidth="1"/>
    <col min="206" max="206" width="10.33203125" style="103" customWidth="1"/>
    <col min="207" max="208" width="10.33203125" style="79" customWidth="1"/>
    <col min="209" max="209" width="10.33203125" style="103" customWidth="1"/>
    <col min="210" max="211" width="10.33203125" style="79" customWidth="1"/>
    <col min="212" max="212" width="10.33203125" style="103" customWidth="1"/>
    <col min="213" max="214" width="10.33203125" style="79" customWidth="1"/>
    <col min="215" max="215" width="0.5546875" style="103" customWidth="1"/>
    <col min="216" max="217" width="0.5546875" style="79" customWidth="1"/>
    <col min="218" max="218" width="0.5546875" style="103" customWidth="1"/>
    <col min="219" max="220" width="0.5546875" style="79" customWidth="1"/>
    <col min="221" max="221" width="0.5546875" style="103" customWidth="1"/>
    <col min="222" max="223" width="0.5546875" style="79" customWidth="1"/>
    <col min="224" max="224" width="0.5546875" style="103" customWidth="1"/>
    <col min="225" max="226" width="0.5546875" style="79" customWidth="1"/>
    <col min="227" max="227" width="0.5546875" style="103" customWidth="1"/>
    <col min="228" max="229" width="0.5546875" style="79" customWidth="1"/>
    <col min="230" max="230" width="0.5546875" style="103" customWidth="1"/>
    <col min="231" max="232" width="0.5546875" style="79" customWidth="1"/>
    <col min="233" max="233" width="0.5546875" style="103" customWidth="1"/>
    <col min="234" max="235" width="0.5546875" style="79" customWidth="1"/>
    <col min="236" max="236" width="0.5546875" style="103" customWidth="1"/>
    <col min="237" max="238" width="0.5546875" style="79" customWidth="1"/>
    <col min="239" max="239" width="0.5546875" style="103" customWidth="1"/>
    <col min="240" max="241" width="0.5546875" style="79" customWidth="1"/>
    <col min="242" max="242" width="0.5546875" style="103" customWidth="1"/>
    <col min="243" max="244" width="0.5546875" style="79" customWidth="1"/>
    <col min="245" max="245" width="0.5546875" style="103" customWidth="1"/>
    <col min="246" max="247" width="0.5546875" style="79" customWidth="1"/>
    <col min="248" max="248" width="0.5546875" style="103" customWidth="1"/>
    <col min="249" max="263" width="0.5546875" style="79" customWidth="1"/>
    <col min="264" max="264" width="0.5546875" style="37" customWidth="1"/>
    <col min="265" max="265" width="0.5546875" style="79" customWidth="1"/>
    <col min="266" max="266" width="0.5546875" style="37" customWidth="1"/>
    <col min="267" max="313" width="0.5546875" style="79" customWidth="1"/>
    <col min="326" max="326" width="9.6640625" customWidth="1"/>
  </cols>
  <sheetData>
    <row r="1" spans="1:334" s="8" customFormat="1" ht="12.9" customHeight="1">
      <c r="A1" s="5" t="s">
        <v>16</v>
      </c>
      <c r="B1" s="6"/>
      <c r="C1" s="26">
        <v>5</v>
      </c>
      <c r="D1" s="31"/>
      <c r="E1" s="7"/>
      <c r="F1" s="7"/>
      <c r="H1" s="7"/>
      <c r="I1" s="7"/>
      <c r="K1" s="9"/>
      <c r="L1" s="7"/>
      <c r="M1" s="31" t="s">
        <v>35</v>
      </c>
      <c r="N1" s="78">
        <f>COUNTA(N5:N103)</f>
        <v>5</v>
      </c>
      <c r="O1" s="79"/>
      <c r="P1" s="79"/>
      <c r="Q1" s="78">
        <f>COUNTA(Q5:Q103)</f>
        <v>5</v>
      </c>
      <c r="R1" s="80"/>
      <c r="S1" s="80"/>
      <c r="T1" s="78">
        <f>COUNTA(T5:T103)</f>
        <v>5</v>
      </c>
      <c r="U1" s="79"/>
      <c r="V1" s="79"/>
      <c r="W1" s="78">
        <f>COUNTA(W5:W103)</f>
        <v>6</v>
      </c>
      <c r="X1" s="79"/>
      <c r="Y1" s="79"/>
      <c r="Z1" s="78">
        <f>COUNTA(Z5:Z103)</f>
        <v>5</v>
      </c>
      <c r="AA1" s="79"/>
      <c r="AB1" s="79"/>
      <c r="AC1" s="78">
        <f>COUNTA(AC5:AC103)</f>
        <v>5</v>
      </c>
      <c r="AD1" s="79"/>
      <c r="AE1" s="79"/>
      <c r="AF1" s="78">
        <f>COUNTA(AF5:AF103)</f>
        <v>5</v>
      </c>
      <c r="AG1" s="79"/>
      <c r="AH1" s="79"/>
      <c r="AI1" s="78">
        <f>COUNTA(AI5:AI103)</f>
        <v>5</v>
      </c>
      <c r="AJ1" s="79"/>
      <c r="AK1" s="79"/>
      <c r="AL1" s="78">
        <f>COUNTA(AL5:AL103)</f>
        <v>5</v>
      </c>
      <c r="AM1" s="79"/>
      <c r="AN1" s="79"/>
      <c r="AO1" s="78">
        <f>COUNTA(AO5:AO103)</f>
        <v>6</v>
      </c>
      <c r="AP1" s="79"/>
      <c r="AQ1" s="79"/>
      <c r="AR1" s="78">
        <f>COUNTA(AR5:AR103)</f>
        <v>5</v>
      </c>
      <c r="AS1" s="79"/>
      <c r="AT1" s="79"/>
      <c r="AU1" s="78">
        <f>COUNTA(AU5:AU103)</f>
        <v>0</v>
      </c>
      <c r="AV1" s="79"/>
      <c r="AW1" s="79"/>
      <c r="AX1" s="78">
        <f>COUNTA(AX5:AX103)</f>
        <v>5</v>
      </c>
      <c r="AY1" s="79"/>
      <c r="AZ1" s="79"/>
      <c r="BA1" s="78">
        <f>COUNTA(BA5:BA103)</f>
        <v>5</v>
      </c>
      <c r="BB1" s="79"/>
      <c r="BC1" s="79"/>
      <c r="BD1" s="78">
        <f>COUNTA(BD5:BD103)</f>
        <v>5</v>
      </c>
      <c r="BE1" s="79"/>
      <c r="BF1" s="79"/>
      <c r="BG1" s="78">
        <f>COUNTA(BG5:BG103)</f>
        <v>5</v>
      </c>
      <c r="BH1" s="79"/>
      <c r="BI1" s="79"/>
      <c r="BJ1" s="78">
        <f>COUNTA(BJ5:BJ103)</f>
        <v>5</v>
      </c>
      <c r="BK1" s="79"/>
      <c r="BL1" s="79"/>
      <c r="BM1" s="78">
        <f>COUNTA(BM5:BM103)</f>
        <v>5</v>
      </c>
      <c r="BN1" s="79"/>
      <c r="BO1" s="79"/>
      <c r="BP1" s="78">
        <f>COUNTA(BP5:BP103)</f>
        <v>7</v>
      </c>
      <c r="BQ1" s="79"/>
      <c r="BR1" s="79"/>
      <c r="BS1" s="78">
        <f>COUNTA(BS5:BS103)</f>
        <v>6</v>
      </c>
      <c r="BT1" s="79"/>
      <c r="BU1" s="79"/>
      <c r="BV1" s="78">
        <f>COUNTA(BV5:BV103)</f>
        <v>7</v>
      </c>
      <c r="BW1" s="79"/>
      <c r="BX1" s="79"/>
      <c r="BY1" s="78">
        <f>COUNTA(BY5:BY103)</f>
        <v>5</v>
      </c>
      <c r="BZ1" s="79"/>
      <c r="CA1" s="79"/>
      <c r="CB1" s="78">
        <f>COUNTA(CB5:CB103)</f>
        <v>5</v>
      </c>
      <c r="CC1" s="79"/>
      <c r="CD1" s="79"/>
      <c r="CE1" s="78">
        <f>COUNTA(CE5:CE103)</f>
        <v>5</v>
      </c>
      <c r="CF1" s="79"/>
      <c r="CG1" s="79"/>
      <c r="CH1" s="78">
        <f>COUNTA(CH5:CH103)</f>
        <v>5</v>
      </c>
      <c r="CI1" s="79"/>
      <c r="CJ1" s="79"/>
      <c r="CK1" s="78">
        <f>COUNTA(CK5:CK103)</f>
        <v>5</v>
      </c>
      <c r="CL1" s="79"/>
      <c r="CM1" s="79"/>
      <c r="CN1" s="78">
        <f>COUNTA(CN5:CN103)</f>
        <v>6</v>
      </c>
      <c r="CO1" s="79"/>
      <c r="CP1" s="79"/>
      <c r="CQ1" s="78">
        <f>COUNTA(CQ5:CQ103)</f>
        <v>6</v>
      </c>
      <c r="CR1" s="79"/>
      <c r="CS1" s="79"/>
      <c r="CT1" s="78">
        <f>COUNTA(CT5:CT103)</f>
        <v>7</v>
      </c>
      <c r="CU1" s="79"/>
      <c r="CV1" s="79"/>
      <c r="CW1" s="78">
        <f>COUNTA(CW5:CW103)</f>
        <v>5</v>
      </c>
      <c r="CX1" s="79"/>
      <c r="CY1" s="79"/>
      <c r="CZ1" s="78">
        <f>COUNTA(CZ5:CZ103)</f>
        <v>5</v>
      </c>
      <c r="DA1" s="79"/>
      <c r="DB1" s="79"/>
      <c r="DC1" s="78">
        <f>COUNTA(DC5:DC103)</f>
        <v>5</v>
      </c>
      <c r="DD1" s="79"/>
      <c r="DE1" s="79"/>
      <c r="DF1" s="78">
        <f>COUNTA(DF5:DF103)</f>
        <v>5</v>
      </c>
      <c r="DG1" s="79"/>
      <c r="DH1" s="79"/>
      <c r="DI1" s="78">
        <f>COUNTA(DI5:DI103)</f>
        <v>5</v>
      </c>
      <c r="DJ1" s="79"/>
      <c r="DK1" s="79"/>
      <c r="DL1" s="78">
        <f>COUNTA(DL5:DL103)</f>
        <v>5</v>
      </c>
      <c r="DM1" s="79"/>
      <c r="DN1" s="79"/>
      <c r="DO1" s="78">
        <f>COUNTA(DO5:DO103)</f>
        <v>5</v>
      </c>
      <c r="DP1" s="79"/>
      <c r="DQ1" s="79"/>
      <c r="DR1" s="78">
        <f>COUNTA(DR5:DR103)</f>
        <v>5</v>
      </c>
      <c r="DS1" s="79"/>
      <c r="DT1" s="79"/>
      <c r="DU1" s="78">
        <f>COUNTA(DU5:DU103)</f>
        <v>5</v>
      </c>
      <c r="DV1" s="79"/>
      <c r="DW1" s="79"/>
      <c r="DX1" s="78">
        <f>COUNTA(DX5:DX103)</f>
        <v>5</v>
      </c>
      <c r="DY1" s="79"/>
      <c r="DZ1" s="79"/>
      <c r="EA1" s="78">
        <f>COUNTA(EA5:EA103)</f>
        <v>5</v>
      </c>
      <c r="EB1" s="79"/>
      <c r="EC1" s="79"/>
      <c r="ED1" s="78">
        <f>COUNTA(ED5:ED103)</f>
        <v>5</v>
      </c>
      <c r="EE1" s="79"/>
      <c r="EF1" s="79"/>
      <c r="EG1" s="78">
        <f>COUNTA(EG5:EG103)</f>
        <v>7</v>
      </c>
      <c r="EH1" s="79"/>
      <c r="EI1" s="79"/>
      <c r="EJ1" s="78">
        <f>COUNTA(EJ5:EJ103)</f>
        <v>5</v>
      </c>
      <c r="EK1" s="79"/>
      <c r="EL1" s="79"/>
      <c r="EM1" s="78">
        <f>COUNTA(EM5:EM103)</f>
        <v>5</v>
      </c>
      <c r="EN1" s="79"/>
      <c r="EO1" s="79"/>
      <c r="EP1" s="78">
        <f>COUNTA(EP5:EP103)</f>
        <v>5</v>
      </c>
      <c r="EQ1" s="79"/>
      <c r="ER1" s="79"/>
      <c r="ES1" s="78">
        <f>COUNTA(ES5:ES103)</f>
        <v>7</v>
      </c>
      <c r="ET1" s="79"/>
      <c r="EU1" s="79"/>
      <c r="EV1" s="78">
        <f>COUNTA(EV5:EV103)</f>
        <v>5</v>
      </c>
      <c r="EW1" s="79"/>
      <c r="EX1" s="79"/>
      <c r="EY1" s="78">
        <f>COUNTA(EY5:EY103)</f>
        <v>7</v>
      </c>
      <c r="EZ1" s="79"/>
      <c r="FA1" s="79"/>
      <c r="FB1" s="78">
        <f>COUNTA(FB5:FB103)</f>
        <v>5</v>
      </c>
      <c r="FC1" s="79"/>
      <c r="FD1" s="79"/>
      <c r="FE1" s="78">
        <f>COUNTA(FE5:FE103)</f>
        <v>5</v>
      </c>
      <c r="FF1" s="79"/>
      <c r="FG1" s="79"/>
      <c r="FH1" s="78">
        <f>COUNTA(FH5:FH103)</f>
        <v>5</v>
      </c>
      <c r="FI1" s="79"/>
      <c r="FJ1" s="79"/>
      <c r="FK1" s="78">
        <f>COUNTA(FK5:FK103)</f>
        <v>5</v>
      </c>
      <c r="FL1" s="79"/>
      <c r="FM1" s="79"/>
      <c r="FN1" s="78">
        <f>COUNTA(FN5:FN103)</f>
        <v>5</v>
      </c>
      <c r="FO1" s="79"/>
      <c r="FP1" s="79"/>
      <c r="FQ1" s="78">
        <f>COUNTA(FQ5:FQ103)</f>
        <v>5</v>
      </c>
      <c r="FR1" s="79"/>
      <c r="FS1" s="79"/>
      <c r="FT1" s="78">
        <f>COUNTA(FT5:FT103)</f>
        <v>5</v>
      </c>
      <c r="FU1" s="79"/>
      <c r="FV1" s="79"/>
      <c r="FW1" s="78">
        <f>COUNTA(FW5:FW103)</f>
        <v>5</v>
      </c>
      <c r="FX1" s="79"/>
      <c r="FY1" s="79"/>
      <c r="FZ1" s="78">
        <f>COUNTA(FZ5:FZ103)</f>
        <v>5</v>
      </c>
      <c r="GA1" s="79"/>
      <c r="GB1" s="79"/>
      <c r="GC1" s="78">
        <f>COUNTA(GC5:GC103)</f>
        <v>5</v>
      </c>
      <c r="GD1" s="79"/>
      <c r="GE1" s="79"/>
      <c r="GF1" s="78">
        <f>COUNTA(GF5:GF103)</f>
        <v>4</v>
      </c>
      <c r="GG1" s="79"/>
      <c r="GH1" s="79"/>
      <c r="GI1" s="78">
        <f>COUNTA(GI5:GI103)</f>
        <v>5</v>
      </c>
      <c r="GJ1" s="79"/>
      <c r="GK1" s="79"/>
      <c r="GL1" s="78">
        <f>COUNTA(GL5:GL103)</f>
        <v>5</v>
      </c>
      <c r="GM1" s="79"/>
      <c r="GN1" s="79"/>
      <c r="GO1" s="78">
        <f>COUNTA(GO5:GO103)</f>
        <v>6</v>
      </c>
      <c r="GP1" s="79"/>
      <c r="GQ1" s="79"/>
      <c r="GR1" s="78">
        <f>COUNTA(GR5:GR103)</f>
        <v>5</v>
      </c>
      <c r="GS1" s="79"/>
      <c r="GT1" s="79"/>
      <c r="GU1" s="78">
        <f>COUNTA(GU5:GU103)</f>
        <v>5</v>
      </c>
      <c r="GV1" s="79"/>
      <c r="GW1" s="79"/>
      <c r="GX1" s="78">
        <f>COUNTA(GX5:GX103)</f>
        <v>5</v>
      </c>
      <c r="GY1" s="79"/>
      <c r="GZ1" s="79"/>
      <c r="HA1" s="78">
        <f>COUNTA(HA5:HA103)</f>
        <v>5</v>
      </c>
      <c r="HB1" s="79"/>
      <c r="HC1" s="79"/>
      <c r="HD1" s="78">
        <f>COUNTA(HD5:HD103)</f>
        <v>5</v>
      </c>
      <c r="HE1" s="79"/>
      <c r="HF1" s="79"/>
      <c r="HG1" s="78">
        <f>COUNTA(HG5:HG103)</f>
        <v>0</v>
      </c>
      <c r="HH1" s="79"/>
      <c r="HI1" s="79"/>
      <c r="HJ1" s="78">
        <f>COUNTA(HJ5:HJ103)</f>
        <v>0</v>
      </c>
      <c r="HK1" s="79"/>
      <c r="HL1" s="79"/>
      <c r="HM1" s="78">
        <f>COUNTA(HM5:HM103)</f>
        <v>0</v>
      </c>
      <c r="HN1" s="79"/>
      <c r="HO1" s="79"/>
      <c r="HP1" s="78">
        <f>COUNTA(HP5:HP103)</f>
        <v>0</v>
      </c>
      <c r="HQ1" s="79"/>
      <c r="HR1" s="79"/>
      <c r="HS1" s="78">
        <f>COUNTA(HS5:HS103)</f>
        <v>0</v>
      </c>
      <c r="HT1" s="79"/>
      <c r="HU1" s="79"/>
      <c r="HV1" s="78">
        <f>COUNTA(HV5:HV103)</f>
        <v>0</v>
      </c>
      <c r="HW1" s="79"/>
      <c r="HX1" s="79"/>
      <c r="HY1" s="78">
        <f>COUNTA(HY5:HY103)</f>
        <v>0</v>
      </c>
      <c r="HZ1" s="79"/>
      <c r="IA1" s="79"/>
      <c r="IB1" s="78">
        <f>COUNTA(IB5:IB103)</f>
        <v>0</v>
      </c>
      <c r="IC1" s="79"/>
      <c r="ID1" s="79"/>
      <c r="IE1" s="78">
        <f>COUNTA(IE5:IE103)</f>
        <v>0</v>
      </c>
      <c r="IF1" s="79"/>
      <c r="IG1" s="79"/>
      <c r="IH1" s="78">
        <f>COUNTA(IH5:IH103)</f>
        <v>0</v>
      </c>
      <c r="II1" s="79"/>
      <c r="IJ1" s="79"/>
      <c r="IK1" s="78">
        <f>COUNTA(IK5:IK103)</f>
        <v>0</v>
      </c>
      <c r="IL1" s="79"/>
      <c r="IM1" s="79"/>
      <c r="IN1" s="78">
        <f>COUNTA(IN5:IN103)</f>
        <v>0</v>
      </c>
      <c r="IO1" s="79"/>
      <c r="IP1" s="79"/>
      <c r="IQ1" s="78">
        <f>COUNTA(IQ5:IQ103)</f>
        <v>0</v>
      </c>
      <c r="IR1" s="79"/>
      <c r="IS1" s="79"/>
      <c r="IT1" s="78">
        <f>COUNTA(IT5:IT103)</f>
        <v>0</v>
      </c>
      <c r="IU1" s="79"/>
      <c r="IV1" s="79"/>
      <c r="IW1" s="78">
        <f>COUNTA(IW5:IW103)</f>
        <v>0</v>
      </c>
      <c r="IX1" s="79"/>
      <c r="IY1" s="79"/>
      <c r="IZ1" s="78">
        <f>COUNTA(IZ5:IZ103)</f>
        <v>0</v>
      </c>
      <c r="JA1" s="79"/>
      <c r="JB1" s="79"/>
      <c r="JC1" s="78">
        <f>COUNTA(JC5:JC103)</f>
        <v>0</v>
      </c>
      <c r="JD1" s="79"/>
      <c r="JE1" s="79"/>
      <c r="JF1" s="78">
        <f>COUNTA(JF5:JF103)</f>
        <v>0</v>
      </c>
      <c r="JG1" s="79"/>
      <c r="JH1" s="79"/>
      <c r="JI1" s="78">
        <f>COUNTA(JI5:JI103)</f>
        <v>0</v>
      </c>
      <c r="JJ1" s="79"/>
      <c r="JK1" s="79"/>
      <c r="JL1" s="78">
        <f>COUNTA(JL5:JL103)</f>
        <v>0</v>
      </c>
      <c r="JM1" s="79"/>
      <c r="JN1" s="79"/>
      <c r="JO1" s="78">
        <f>COUNTA(JO5:JO103)</f>
        <v>0</v>
      </c>
      <c r="JP1" s="79"/>
      <c r="JQ1" s="79"/>
      <c r="JR1" s="78">
        <f>COUNTA(JR5:JR103)</f>
        <v>0</v>
      </c>
      <c r="JS1" s="79"/>
      <c r="JT1" s="79"/>
      <c r="JU1" s="78">
        <f>COUNTA(JU5:JU103)</f>
        <v>0</v>
      </c>
      <c r="JV1" s="79"/>
      <c r="JW1" s="79"/>
      <c r="JX1" s="78">
        <f>COUNTA(JX5:JX103)</f>
        <v>0</v>
      </c>
      <c r="JY1" s="79"/>
      <c r="JZ1" s="79"/>
      <c r="KA1" s="78">
        <f>COUNTA(KA5:KA103)</f>
        <v>0</v>
      </c>
      <c r="KB1" s="79"/>
      <c r="KC1" s="79"/>
      <c r="KD1" s="78">
        <f>COUNTA(KD5:KD103)</f>
        <v>0</v>
      </c>
      <c r="KE1" s="79"/>
      <c r="KF1" s="79"/>
      <c r="KG1" s="78">
        <f>COUNTA(KG5:KG103)</f>
        <v>0</v>
      </c>
      <c r="KH1" s="79"/>
      <c r="KI1" s="79"/>
      <c r="KJ1" s="78">
        <f>COUNTA(KJ5:KJ103)</f>
        <v>0</v>
      </c>
      <c r="KK1" s="79"/>
      <c r="KL1" s="79"/>
      <c r="KM1" s="78">
        <f>COUNTA(KM5:KM103)</f>
        <v>0</v>
      </c>
      <c r="KN1" s="79"/>
      <c r="KO1" s="79"/>
      <c r="KP1" s="78">
        <f>COUNTA(KP5:KP103)</f>
        <v>0</v>
      </c>
      <c r="KQ1" s="79"/>
      <c r="KR1" s="79"/>
      <c r="KS1" s="78">
        <f>COUNTA(KS5:KS103)</f>
        <v>0</v>
      </c>
      <c r="KT1" s="79"/>
      <c r="KU1" s="79"/>
      <c r="KV1" s="78">
        <f>COUNTA(KV5:KV103)</f>
        <v>0</v>
      </c>
      <c r="KW1" s="79"/>
      <c r="KX1" s="79"/>
      <c r="KY1" s="81">
        <f>COUNTA(KY5:KY84)</f>
        <v>0</v>
      </c>
      <c r="KZ1" s="79"/>
      <c r="LA1" s="79"/>
      <c r="LL1" s="38"/>
    </row>
    <row r="2" spans="1:334" s="8" customFormat="1" ht="12.9" customHeight="1">
      <c r="A2" s="7">
        <v>5</v>
      </c>
      <c r="B2" s="5" t="s">
        <v>17</v>
      </c>
      <c r="C2" s="26"/>
      <c r="D2" s="31"/>
      <c r="E2" s="7"/>
      <c r="F2" s="7"/>
      <c r="H2" s="7"/>
      <c r="I2" s="7"/>
      <c r="K2" s="1"/>
      <c r="L2" s="7"/>
      <c r="M2" s="31" t="s">
        <v>35</v>
      </c>
      <c r="N2" s="78">
        <f>COUNT(N5:N103)</f>
        <v>5</v>
      </c>
      <c r="O2" s="82" t="s">
        <v>22</v>
      </c>
      <c r="P2" s="82" t="s">
        <v>21</v>
      </c>
      <c r="Q2" s="78">
        <f>COUNT(Q5:Q103)</f>
        <v>5</v>
      </c>
      <c r="R2" s="83" t="s">
        <v>22</v>
      </c>
      <c r="S2" s="83" t="s">
        <v>21</v>
      </c>
      <c r="T2" s="78">
        <f>COUNT(T5:T103)</f>
        <v>5</v>
      </c>
      <c r="U2" s="82" t="s">
        <v>22</v>
      </c>
      <c r="V2" s="82" t="s">
        <v>21</v>
      </c>
      <c r="W2" s="78">
        <f>COUNT(W5:W103)</f>
        <v>5</v>
      </c>
      <c r="X2" s="82" t="s">
        <v>22</v>
      </c>
      <c r="Y2" s="82" t="s">
        <v>21</v>
      </c>
      <c r="Z2" s="78">
        <f>COUNT(Z5:Z103)</f>
        <v>5</v>
      </c>
      <c r="AA2" s="82" t="s">
        <v>22</v>
      </c>
      <c r="AB2" s="82" t="s">
        <v>21</v>
      </c>
      <c r="AC2" s="78">
        <f>COUNT(AC5:AC103)</f>
        <v>4</v>
      </c>
      <c r="AD2" s="82" t="s">
        <v>22</v>
      </c>
      <c r="AE2" s="82" t="s">
        <v>21</v>
      </c>
      <c r="AF2" s="78">
        <f>COUNT(AF5:AF103)</f>
        <v>5</v>
      </c>
      <c r="AG2" s="82" t="s">
        <v>22</v>
      </c>
      <c r="AH2" s="82" t="s">
        <v>21</v>
      </c>
      <c r="AI2" s="78">
        <f>COUNT(AI5:AI103)</f>
        <v>4</v>
      </c>
      <c r="AJ2" s="82" t="s">
        <v>22</v>
      </c>
      <c r="AK2" s="82" t="s">
        <v>21</v>
      </c>
      <c r="AL2" s="78">
        <f>COUNT(AL5:AL103)</f>
        <v>0</v>
      </c>
      <c r="AM2" s="82" t="s">
        <v>22</v>
      </c>
      <c r="AN2" s="82" t="s">
        <v>21</v>
      </c>
      <c r="AO2" s="78">
        <f>COUNT(AO5:AO103)</f>
        <v>5</v>
      </c>
      <c r="AP2" s="82" t="s">
        <v>22</v>
      </c>
      <c r="AQ2" s="82" t="s">
        <v>21</v>
      </c>
      <c r="AR2" s="78">
        <f>COUNT(AR5:AR103)</f>
        <v>5</v>
      </c>
      <c r="AS2" s="82" t="s">
        <v>22</v>
      </c>
      <c r="AT2" s="82" t="s">
        <v>21</v>
      </c>
      <c r="AU2" s="78">
        <f>COUNT(AU5:AU103)</f>
        <v>0</v>
      </c>
      <c r="AV2" s="82" t="s">
        <v>22</v>
      </c>
      <c r="AW2" s="82" t="s">
        <v>21</v>
      </c>
      <c r="AX2" s="78">
        <f>COUNT(AX5:AX103)</f>
        <v>4</v>
      </c>
      <c r="AY2" s="82" t="s">
        <v>22</v>
      </c>
      <c r="AZ2" s="82" t="s">
        <v>21</v>
      </c>
      <c r="BA2" s="78">
        <f>COUNT(BA5:BA103)</f>
        <v>4</v>
      </c>
      <c r="BB2" s="82" t="s">
        <v>22</v>
      </c>
      <c r="BC2" s="82" t="s">
        <v>21</v>
      </c>
      <c r="BD2" s="78">
        <f>COUNT(BD5:BD103)</f>
        <v>3</v>
      </c>
      <c r="BE2" s="82" t="s">
        <v>22</v>
      </c>
      <c r="BF2" s="82" t="s">
        <v>21</v>
      </c>
      <c r="BG2" s="78">
        <f>COUNT(BG5:BG103)</f>
        <v>4</v>
      </c>
      <c r="BH2" s="82" t="s">
        <v>22</v>
      </c>
      <c r="BI2" s="82" t="s">
        <v>21</v>
      </c>
      <c r="BJ2" s="78">
        <f>COUNT(BJ5:BJ103)</f>
        <v>5</v>
      </c>
      <c r="BK2" s="82" t="s">
        <v>22</v>
      </c>
      <c r="BL2" s="82" t="s">
        <v>21</v>
      </c>
      <c r="BM2" s="78">
        <f>COUNT(BM5:BM103)</f>
        <v>5</v>
      </c>
      <c r="BN2" s="82" t="s">
        <v>22</v>
      </c>
      <c r="BO2" s="82" t="s">
        <v>21</v>
      </c>
      <c r="BP2" s="78">
        <f>COUNT(BP5:BP103)</f>
        <v>7</v>
      </c>
      <c r="BQ2" s="82" t="s">
        <v>22</v>
      </c>
      <c r="BR2" s="82" t="s">
        <v>21</v>
      </c>
      <c r="BS2" s="78">
        <f>COUNT(BS5:BS103)</f>
        <v>6</v>
      </c>
      <c r="BT2" s="82" t="s">
        <v>22</v>
      </c>
      <c r="BU2" s="82" t="s">
        <v>21</v>
      </c>
      <c r="BV2" s="78">
        <f>COUNT(BV5:BV103)</f>
        <v>7</v>
      </c>
      <c r="BW2" s="82" t="s">
        <v>22</v>
      </c>
      <c r="BX2" s="82" t="s">
        <v>21</v>
      </c>
      <c r="BY2" s="78">
        <f>COUNT(BY5:BY103)</f>
        <v>5</v>
      </c>
      <c r="BZ2" s="82" t="s">
        <v>22</v>
      </c>
      <c r="CA2" s="82" t="s">
        <v>21</v>
      </c>
      <c r="CB2" s="78">
        <f>COUNT(CB5:CB103)</f>
        <v>4</v>
      </c>
      <c r="CC2" s="82" t="s">
        <v>22</v>
      </c>
      <c r="CD2" s="82" t="s">
        <v>21</v>
      </c>
      <c r="CE2" s="78">
        <f>COUNT(CE5:CE103)</f>
        <v>0</v>
      </c>
      <c r="CF2" s="82" t="s">
        <v>22</v>
      </c>
      <c r="CG2" s="82" t="s">
        <v>21</v>
      </c>
      <c r="CH2" s="78">
        <f>COUNT(CH5:CH103)</f>
        <v>0</v>
      </c>
      <c r="CI2" s="82" t="s">
        <v>22</v>
      </c>
      <c r="CJ2" s="82" t="s">
        <v>21</v>
      </c>
      <c r="CK2" s="78">
        <f>COUNT(CK5:CK103)</f>
        <v>5</v>
      </c>
      <c r="CL2" s="82" t="s">
        <v>22</v>
      </c>
      <c r="CM2" s="82" t="s">
        <v>21</v>
      </c>
      <c r="CN2" s="78">
        <f>COUNT(CN5:CN103)</f>
        <v>5</v>
      </c>
      <c r="CO2" s="82" t="s">
        <v>22</v>
      </c>
      <c r="CP2" s="82" t="s">
        <v>21</v>
      </c>
      <c r="CQ2" s="78">
        <f>COUNT(CQ5:CQ103)</f>
        <v>6</v>
      </c>
      <c r="CR2" s="82" t="s">
        <v>22</v>
      </c>
      <c r="CS2" s="82" t="s">
        <v>21</v>
      </c>
      <c r="CT2" s="78">
        <f>COUNT(CT5:CT103)</f>
        <v>6</v>
      </c>
      <c r="CU2" s="82" t="s">
        <v>22</v>
      </c>
      <c r="CV2" s="82" t="s">
        <v>21</v>
      </c>
      <c r="CW2" s="78">
        <f>COUNT(CW5:CW103)</f>
        <v>5</v>
      </c>
      <c r="CX2" s="82" t="s">
        <v>22</v>
      </c>
      <c r="CY2" s="82" t="s">
        <v>21</v>
      </c>
      <c r="CZ2" s="78">
        <f>COUNT(CZ5:CZ103)</f>
        <v>5</v>
      </c>
      <c r="DA2" s="82" t="s">
        <v>22</v>
      </c>
      <c r="DB2" s="82" t="s">
        <v>21</v>
      </c>
      <c r="DC2" s="78">
        <f>COUNT(DC5:DC103)</f>
        <v>5</v>
      </c>
      <c r="DD2" s="82" t="s">
        <v>22</v>
      </c>
      <c r="DE2" s="82" t="s">
        <v>21</v>
      </c>
      <c r="DF2" s="78">
        <f>COUNT(DF5:DF103)</f>
        <v>5</v>
      </c>
      <c r="DG2" s="82" t="s">
        <v>22</v>
      </c>
      <c r="DH2" s="82" t="s">
        <v>21</v>
      </c>
      <c r="DI2" s="78">
        <f>COUNT(DI5:DI103)</f>
        <v>5</v>
      </c>
      <c r="DJ2" s="82" t="s">
        <v>22</v>
      </c>
      <c r="DK2" s="82" t="s">
        <v>21</v>
      </c>
      <c r="DL2" s="78">
        <f>COUNT(DL5:DL103)</f>
        <v>5</v>
      </c>
      <c r="DM2" s="82" t="s">
        <v>22</v>
      </c>
      <c r="DN2" s="82" t="s">
        <v>21</v>
      </c>
      <c r="DO2" s="78">
        <f>COUNT(DO5:DO103)</f>
        <v>5</v>
      </c>
      <c r="DP2" s="82" t="s">
        <v>22</v>
      </c>
      <c r="DQ2" s="82" t="s">
        <v>21</v>
      </c>
      <c r="DR2" s="78">
        <f>COUNT(DR5:DR103)</f>
        <v>5</v>
      </c>
      <c r="DS2" s="82" t="s">
        <v>22</v>
      </c>
      <c r="DT2" s="82" t="s">
        <v>21</v>
      </c>
      <c r="DU2" s="78">
        <f>COUNT(DU5:DU103)</f>
        <v>5</v>
      </c>
      <c r="DV2" s="82" t="s">
        <v>22</v>
      </c>
      <c r="DW2" s="82" t="s">
        <v>21</v>
      </c>
      <c r="DX2" s="78">
        <f>COUNT(DX5:DX103)</f>
        <v>5</v>
      </c>
      <c r="DY2" s="82" t="s">
        <v>22</v>
      </c>
      <c r="DZ2" s="82" t="s">
        <v>21</v>
      </c>
      <c r="EA2" s="78">
        <f>COUNT(EA5:EA103)</f>
        <v>5</v>
      </c>
      <c r="EB2" s="82" t="s">
        <v>22</v>
      </c>
      <c r="EC2" s="82" t="s">
        <v>21</v>
      </c>
      <c r="ED2" s="78">
        <f>COUNT(ED5:ED103)</f>
        <v>0</v>
      </c>
      <c r="EE2" s="82" t="s">
        <v>22</v>
      </c>
      <c r="EF2" s="82" t="s">
        <v>21</v>
      </c>
      <c r="EG2" s="78">
        <f>COUNT(EG5:EG103)</f>
        <v>5</v>
      </c>
      <c r="EH2" s="82" t="s">
        <v>22</v>
      </c>
      <c r="EI2" s="82" t="s">
        <v>21</v>
      </c>
      <c r="EJ2" s="78">
        <f>COUNT(EJ5:EJ103)</f>
        <v>5</v>
      </c>
      <c r="EK2" s="82" t="s">
        <v>22</v>
      </c>
      <c r="EL2" s="82" t="s">
        <v>21</v>
      </c>
      <c r="EM2" s="78">
        <f>COUNT(EM5:EM103)</f>
        <v>5</v>
      </c>
      <c r="EN2" s="82" t="s">
        <v>22</v>
      </c>
      <c r="EO2" s="82" t="s">
        <v>21</v>
      </c>
      <c r="EP2" s="78">
        <f>COUNT(EP5:EP103)</f>
        <v>5</v>
      </c>
      <c r="EQ2" s="82" t="s">
        <v>22</v>
      </c>
      <c r="ER2" s="82" t="s">
        <v>21</v>
      </c>
      <c r="ES2" s="78">
        <f>COUNT(ES5:ES103)</f>
        <v>7</v>
      </c>
      <c r="ET2" s="82" t="s">
        <v>22</v>
      </c>
      <c r="EU2" s="82" t="s">
        <v>21</v>
      </c>
      <c r="EV2" s="78">
        <f>COUNT(EV5:EV103)</f>
        <v>5</v>
      </c>
      <c r="EW2" s="82" t="s">
        <v>22</v>
      </c>
      <c r="EX2" s="82" t="s">
        <v>21</v>
      </c>
      <c r="EY2" s="78">
        <f>COUNT(EY5:EY103)</f>
        <v>7</v>
      </c>
      <c r="EZ2" s="82" t="s">
        <v>22</v>
      </c>
      <c r="FA2" s="82" t="s">
        <v>21</v>
      </c>
      <c r="FB2" s="78">
        <f>COUNT(FB5:FB103)</f>
        <v>4</v>
      </c>
      <c r="FC2" s="82" t="s">
        <v>22</v>
      </c>
      <c r="FD2" s="82" t="s">
        <v>21</v>
      </c>
      <c r="FE2" s="78">
        <f>COUNT(FE5:FE103)</f>
        <v>0</v>
      </c>
      <c r="FF2" s="82" t="s">
        <v>22</v>
      </c>
      <c r="FG2" s="82" t="s">
        <v>21</v>
      </c>
      <c r="FH2" s="78">
        <f>COUNT(FH5:FH103)</f>
        <v>4</v>
      </c>
      <c r="FI2" s="82" t="s">
        <v>22</v>
      </c>
      <c r="FJ2" s="82" t="s">
        <v>21</v>
      </c>
      <c r="FK2" s="78">
        <f>COUNT(FK5:FK103)</f>
        <v>5</v>
      </c>
      <c r="FL2" s="82" t="s">
        <v>22</v>
      </c>
      <c r="FM2" s="82" t="s">
        <v>21</v>
      </c>
      <c r="FN2" s="78">
        <f>COUNT(FN5:FN103)</f>
        <v>5</v>
      </c>
      <c r="FO2" s="82" t="s">
        <v>22</v>
      </c>
      <c r="FP2" s="82" t="s">
        <v>21</v>
      </c>
      <c r="FQ2" s="78">
        <f>COUNT(FQ5:FQ103)</f>
        <v>5</v>
      </c>
      <c r="FR2" s="82" t="s">
        <v>22</v>
      </c>
      <c r="FS2" s="82" t="s">
        <v>21</v>
      </c>
      <c r="FT2" s="78">
        <f>COUNT(FT5:FT103)</f>
        <v>5</v>
      </c>
      <c r="FU2" s="82" t="s">
        <v>22</v>
      </c>
      <c r="FV2" s="82" t="s">
        <v>21</v>
      </c>
      <c r="FW2" s="78">
        <f>COUNT(FW5:FW103)</f>
        <v>5</v>
      </c>
      <c r="FX2" s="82" t="s">
        <v>22</v>
      </c>
      <c r="FY2" s="82" t="s">
        <v>21</v>
      </c>
      <c r="FZ2" s="78">
        <f>COUNT(FZ5:FZ103)</f>
        <v>5</v>
      </c>
      <c r="GA2" s="82" t="s">
        <v>22</v>
      </c>
      <c r="GB2" s="82" t="s">
        <v>21</v>
      </c>
      <c r="GC2" s="78">
        <f>COUNT(GC5:GC103)</f>
        <v>5</v>
      </c>
      <c r="GD2" s="82" t="s">
        <v>22</v>
      </c>
      <c r="GE2" s="82" t="s">
        <v>21</v>
      </c>
      <c r="GF2" s="78">
        <f>COUNT(GF5:GF103)</f>
        <v>4</v>
      </c>
      <c r="GG2" s="82" t="s">
        <v>22</v>
      </c>
      <c r="GH2" s="82" t="s">
        <v>21</v>
      </c>
      <c r="GI2" s="78">
        <f>COUNT(GI5:GI103)</f>
        <v>5</v>
      </c>
      <c r="GJ2" s="82" t="s">
        <v>22</v>
      </c>
      <c r="GK2" s="82" t="s">
        <v>21</v>
      </c>
      <c r="GL2" s="78">
        <f>COUNT(GL5:GL103)</f>
        <v>4</v>
      </c>
      <c r="GM2" s="82" t="s">
        <v>22</v>
      </c>
      <c r="GN2" s="82" t="s">
        <v>21</v>
      </c>
      <c r="GO2" s="78">
        <f>COUNT(GO5:GO103)</f>
        <v>5</v>
      </c>
      <c r="GP2" s="82" t="s">
        <v>22</v>
      </c>
      <c r="GQ2" s="82" t="s">
        <v>21</v>
      </c>
      <c r="GR2" s="78">
        <f>COUNT(GR5:GR103)</f>
        <v>4</v>
      </c>
      <c r="GS2" s="82" t="s">
        <v>22</v>
      </c>
      <c r="GT2" s="82" t="s">
        <v>21</v>
      </c>
      <c r="GU2" s="78">
        <f>COUNT(GU5:GU103)</f>
        <v>5</v>
      </c>
      <c r="GV2" s="82" t="s">
        <v>22</v>
      </c>
      <c r="GW2" s="82" t="s">
        <v>21</v>
      </c>
      <c r="GX2" s="78">
        <f>COUNT(GX5:GX103)</f>
        <v>5</v>
      </c>
      <c r="GY2" s="82" t="s">
        <v>22</v>
      </c>
      <c r="GZ2" s="82" t="s">
        <v>21</v>
      </c>
      <c r="HA2" s="78">
        <f>COUNT(HA5:HA103)</f>
        <v>4</v>
      </c>
      <c r="HB2" s="82" t="s">
        <v>22</v>
      </c>
      <c r="HC2" s="82" t="s">
        <v>21</v>
      </c>
      <c r="HD2" s="78">
        <f>COUNT(HD5:HD103)</f>
        <v>5</v>
      </c>
      <c r="HE2" s="82" t="s">
        <v>22</v>
      </c>
      <c r="HF2" s="82" t="s">
        <v>21</v>
      </c>
      <c r="HG2" s="78">
        <f>COUNT(HG5:HG103)</f>
        <v>0</v>
      </c>
      <c r="HH2" s="82" t="s">
        <v>22</v>
      </c>
      <c r="HI2" s="82" t="s">
        <v>21</v>
      </c>
      <c r="HJ2" s="78">
        <f>COUNT(HJ5:HJ103)</f>
        <v>0</v>
      </c>
      <c r="HK2" s="82" t="s">
        <v>22</v>
      </c>
      <c r="HL2" s="82" t="s">
        <v>21</v>
      </c>
      <c r="HM2" s="78">
        <f>COUNT(HM5:HM103)</f>
        <v>0</v>
      </c>
      <c r="HN2" s="82" t="s">
        <v>22</v>
      </c>
      <c r="HO2" s="82" t="s">
        <v>21</v>
      </c>
      <c r="HP2" s="78">
        <f>COUNT(HP5:HP103)</f>
        <v>0</v>
      </c>
      <c r="HQ2" s="82" t="s">
        <v>22</v>
      </c>
      <c r="HR2" s="82" t="s">
        <v>21</v>
      </c>
      <c r="HS2" s="78">
        <f>COUNT(HS5:HS103)</f>
        <v>0</v>
      </c>
      <c r="HT2" s="82" t="s">
        <v>22</v>
      </c>
      <c r="HU2" s="82" t="s">
        <v>21</v>
      </c>
      <c r="HV2" s="78">
        <f>COUNT(HV5:HV103)</f>
        <v>0</v>
      </c>
      <c r="HW2" s="82" t="s">
        <v>22</v>
      </c>
      <c r="HX2" s="82" t="s">
        <v>21</v>
      </c>
      <c r="HY2" s="78">
        <f>COUNT(HY5:HY103)</f>
        <v>0</v>
      </c>
      <c r="HZ2" s="82" t="s">
        <v>22</v>
      </c>
      <c r="IA2" s="82" t="s">
        <v>21</v>
      </c>
      <c r="IB2" s="78">
        <f>COUNT(IB5:IB103)</f>
        <v>0</v>
      </c>
      <c r="IC2" s="82" t="s">
        <v>22</v>
      </c>
      <c r="ID2" s="82" t="s">
        <v>21</v>
      </c>
      <c r="IE2" s="78">
        <f>COUNT(IE5:IE103)</f>
        <v>0</v>
      </c>
      <c r="IF2" s="82" t="s">
        <v>22</v>
      </c>
      <c r="IG2" s="82" t="s">
        <v>21</v>
      </c>
      <c r="IH2" s="78">
        <f>COUNT(IH5:IH103)</f>
        <v>0</v>
      </c>
      <c r="II2" s="82" t="s">
        <v>22</v>
      </c>
      <c r="IJ2" s="82" t="s">
        <v>21</v>
      </c>
      <c r="IK2" s="78">
        <f>COUNT(IK5:IK103)</f>
        <v>0</v>
      </c>
      <c r="IL2" s="82" t="s">
        <v>22</v>
      </c>
      <c r="IM2" s="82" t="s">
        <v>21</v>
      </c>
      <c r="IN2" s="78">
        <f>COUNT(IN5:IN103)</f>
        <v>0</v>
      </c>
      <c r="IO2" s="82" t="s">
        <v>22</v>
      </c>
      <c r="IP2" s="82" t="s">
        <v>21</v>
      </c>
      <c r="IQ2" s="78">
        <f>COUNT(IQ5:IQ103)</f>
        <v>0</v>
      </c>
      <c r="IR2" s="82" t="s">
        <v>22</v>
      </c>
      <c r="IS2" s="82" t="s">
        <v>21</v>
      </c>
      <c r="IT2" s="78">
        <f>COUNT(IT5:IT103)</f>
        <v>0</v>
      </c>
      <c r="IU2" s="82" t="s">
        <v>22</v>
      </c>
      <c r="IV2" s="82" t="s">
        <v>21</v>
      </c>
      <c r="IW2" s="78">
        <f>COUNT(IW5:IW103)</f>
        <v>0</v>
      </c>
      <c r="IX2" s="82" t="s">
        <v>22</v>
      </c>
      <c r="IY2" s="82" t="s">
        <v>21</v>
      </c>
      <c r="IZ2" s="78">
        <f>COUNT(IZ5:IZ103)</f>
        <v>0</v>
      </c>
      <c r="JA2" s="82" t="s">
        <v>22</v>
      </c>
      <c r="JB2" s="82" t="s">
        <v>21</v>
      </c>
      <c r="JC2" s="78">
        <f>COUNT(JC5:JC103)</f>
        <v>0</v>
      </c>
      <c r="JD2" s="82" t="s">
        <v>22</v>
      </c>
      <c r="JE2" s="82" t="s">
        <v>21</v>
      </c>
      <c r="JF2" s="78">
        <f>COUNT(JF5:JF103)</f>
        <v>0</v>
      </c>
      <c r="JG2" s="82" t="s">
        <v>22</v>
      </c>
      <c r="JH2" s="82" t="s">
        <v>21</v>
      </c>
      <c r="JI2" s="78">
        <f>COUNT(JI5:JI103)</f>
        <v>0</v>
      </c>
      <c r="JJ2" s="82" t="s">
        <v>22</v>
      </c>
      <c r="JK2" s="82" t="s">
        <v>21</v>
      </c>
      <c r="JL2" s="78">
        <f>COUNT(JL5:JL103)</f>
        <v>0</v>
      </c>
      <c r="JM2" s="82" t="s">
        <v>22</v>
      </c>
      <c r="JN2" s="82" t="s">
        <v>21</v>
      </c>
      <c r="JO2" s="78">
        <f>COUNT(JO5:JO103)</f>
        <v>0</v>
      </c>
      <c r="JP2" s="82" t="s">
        <v>22</v>
      </c>
      <c r="JQ2" s="82" t="s">
        <v>21</v>
      </c>
      <c r="JR2" s="78">
        <f>COUNT(JR5:JR103)</f>
        <v>0</v>
      </c>
      <c r="JS2" s="82" t="s">
        <v>22</v>
      </c>
      <c r="JT2" s="82" t="s">
        <v>21</v>
      </c>
      <c r="JU2" s="78">
        <f>COUNT(JU5:JU103)</f>
        <v>0</v>
      </c>
      <c r="JV2" s="82" t="s">
        <v>22</v>
      </c>
      <c r="JW2" s="82" t="s">
        <v>21</v>
      </c>
      <c r="JX2" s="78">
        <f>COUNT(JX5:JX103)</f>
        <v>0</v>
      </c>
      <c r="JY2" s="82" t="s">
        <v>22</v>
      </c>
      <c r="JZ2" s="82" t="s">
        <v>21</v>
      </c>
      <c r="KA2" s="78">
        <f>COUNT(KA5:KA103)</f>
        <v>0</v>
      </c>
      <c r="KB2" s="82" t="s">
        <v>22</v>
      </c>
      <c r="KC2" s="82" t="s">
        <v>21</v>
      </c>
      <c r="KD2" s="78">
        <f>COUNT(KD5:KD103)</f>
        <v>0</v>
      </c>
      <c r="KE2" s="82" t="s">
        <v>22</v>
      </c>
      <c r="KF2" s="82" t="s">
        <v>21</v>
      </c>
      <c r="KG2" s="78">
        <f>COUNT(KG5:KG103)</f>
        <v>0</v>
      </c>
      <c r="KH2" s="82" t="s">
        <v>22</v>
      </c>
      <c r="KI2" s="82" t="s">
        <v>21</v>
      </c>
      <c r="KJ2" s="78">
        <f>COUNT(KJ5:KJ103)</f>
        <v>0</v>
      </c>
      <c r="KK2" s="82" t="s">
        <v>22</v>
      </c>
      <c r="KL2" s="82" t="s">
        <v>21</v>
      </c>
      <c r="KM2" s="78">
        <f>COUNT(KM5:KM103)</f>
        <v>0</v>
      </c>
      <c r="KN2" s="82" t="s">
        <v>22</v>
      </c>
      <c r="KO2" s="82" t="s">
        <v>21</v>
      </c>
      <c r="KP2" s="78">
        <f>COUNT(KP5:KP103)</f>
        <v>0</v>
      </c>
      <c r="KQ2" s="82" t="s">
        <v>22</v>
      </c>
      <c r="KR2" s="82" t="s">
        <v>21</v>
      </c>
      <c r="KS2" s="78">
        <f>COUNT(KS5:KS103)</f>
        <v>0</v>
      </c>
      <c r="KT2" s="82" t="s">
        <v>22</v>
      </c>
      <c r="KU2" s="82" t="s">
        <v>21</v>
      </c>
      <c r="KV2" s="78">
        <f>COUNT(KV5:KV103)</f>
        <v>0</v>
      </c>
      <c r="KW2" s="82" t="s">
        <v>22</v>
      </c>
      <c r="KX2" s="82" t="s">
        <v>21</v>
      </c>
      <c r="KY2" s="81">
        <f>COUNT(KY5:KY84)</f>
        <v>0</v>
      </c>
      <c r="KZ2" s="82" t="s">
        <v>22</v>
      </c>
      <c r="LA2" s="82" t="s">
        <v>21</v>
      </c>
      <c r="LL2" s="38"/>
    </row>
    <row r="3" spans="1:334" s="2" customFormat="1" ht="50.1" customHeight="1">
      <c r="A3" s="10" t="s">
        <v>16</v>
      </c>
      <c r="B3" s="10" t="s">
        <v>17</v>
      </c>
      <c r="C3" s="32" t="s">
        <v>34</v>
      </c>
      <c r="D3" s="27" t="s">
        <v>33</v>
      </c>
      <c r="E3" s="1" t="s">
        <v>42</v>
      </c>
      <c r="F3" s="1" t="s">
        <v>43</v>
      </c>
      <c r="G3" s="1" t="s">
        <v>44</v>
      </c>
      <c r="H3" s="1" t="s">
        <v>0</v>
      </c>
      <c r="I3" s="1" t="s">
        <v>46</v>
      </c>
      <c r="J3" s="1" t="s">
        <v>15</v>
      </c>
      <c r="K3" s="1" t="s">
        <v>1</v>
      </c>
      <c r="L3" s="1" t="s">
        <v>41</v>
      </c>
      <c r="M3" s="32" t="s">
        <v>35</v>
      </c>
      <c r="N3" s="123" t="s">
        <v>325</v>
      </c>
      <c r="O3" s="46" t="s">
        <v>326</v>
      </c>
      <c r="P3" s="46" t="s">
        <v>327</v>
      </c>
      <c r="Q3" s="125" t="s">
        <v>328</v>
      </c>
      <c r="R3" s="46" t="s">
        <v>329</v>
      </c>
      <c r="S3" s="46" t="s">
        <v>330</v>
      </c>
      <c r="T3" s="127" t="s">
        <v>331</v>
      </c>
      <c r="U3" s="49" t="s">
        <v>332</v>
      </c>
      <c r="V3" s="49" t="s">
        <v>333</v>
      </c>
      <c r="W3" s="129" t="s">
        <v>334</v>
      </c>
      <c r="X3" s="46" t="s">
        <v>335</v>
      </c>
      <c r="Y3" s="46" t="s">
        <v>336</v>
      </c>
      <c r="Z3" s="131" t="s">
        <v>337</v>
      </c>
      <c r="AA3" s="46" t="s">
        <v>338</v>
      </c>
      <c r="AB3" s="46" t="s">
        <v>339</v>
      </c>
      <c r="AC3" s="133" t="s">
        <v>340</v>
      </c>
      <c r="AD3" s="46" t="s">
        <v>341</v>
      </c>
      <c r="AE3" s="46" t="s">
        <v>342</v>
      </c>
      <c r="AF3" s="135" t="s">
        <v>343</v>
      </c>
      <c r="AG3" s="46" t="s">
        <v>344</v>
      </c>
      <c r="AH3" s="46" t="s">
        <v>345</v>
      </c>
      <c r="AI3" s="137" t="s">
        <v>346</v>
      </c>
      <c r="AJ3" s="46" t="s">
        <v>347</v>
      </c>
      <c r="AK3" s="46" t="s">
        <v>348</v>
      </c>
      <c r="AL3" s="139" t="s">
        <v>349</v>
      </c>
      <c r="AM3" s="46" t="s">
        <v>350</v>
      </c>
      <c r="AN3" s="46" t="s">
        <v>351</v>
      </c>
      <c r="AO3" s="141" t="s">
        <v>352</v>
      </c>
      <c r="AP3" s="46" t="s">
        <v>353</v>
      </c>
      <c r="AQ3" s="46" t="s">
        <v>354</v>
      </c>
      <c r="AR3" s="143" t="s">
        <v>355</v>
      </c>
      <c r="AS3" s="46" t="s">
        <v>356</v>
      </c>
      <c r="AT3" s="46" t="s">
        <v>357</v>
      </c>
      <c r="AU3" s="145" t="s">
        <v>358</v>
      </c>
      <c r="AV3" s="46" t="s">
        <v>359</v>
      </c>
      <c r="AW3" s="46" t="s">
        <v>360</v>
      </c>
      <c r="AX3" s="147" t="s">
        <v>361</v>
      </c>
      <c r="AY3" s="46" t="s">
        <v>362</v>
      </c>
      <c r="AZ3" s="46" t="s">
        <v>363</v>
      </c>
      <c r="BA3" s="149" t="s">
        <v>364</v>
      </c>
      <c r="BB3" s="46" t="s">
        <v>365</v>
      </c>
      <c r="BC3" s="46" t="s">
        <v>366</v>
      </c>
      <c r="BD3" s="151" t="s">
        <v>367</v>
      </c>
      <c r="BE3" s="46" t="s">
        <v>368</v>
      </c>
      <c r="BF3" s="46" t="s">
        <v>369</v>
      </c>
      <c r="BG3" s="153" t="s">
        <v>370</v>
      </c>
      <c r="BH3" s="46" t="s">
        <v>371</v>
      </c>
      <c r="BI3" s="46" t="s">
        <v>372</v>
      </c>
      <c r="BJ3" s="155" t="s">
        <v>373</v>
      </c>
      <c r="BK3" s="46" t="s">
        <v>374</v>
      </c>
      <c r="BL3" s="46" t="s">
        <v>375</v>
      </c>
      <c r="BM3" s="157" t="s">
        <v>376</v>
      </c>
      <c r="BN3" s="46" t="s">
        <v>377</v>
      </c>
      <c r="BO3" s="46" t="s">
        <v>378</v>
      </c>
      <c r="BP3" s="159" t="s">
        <v>379</v>
      </c>
      <c r="BQ3" s="46" t="s">
        <v>380</v>
      </c>
      <c r="BR3" s="46" t="s">
        <v>381</v>
      </c>
      <c r="BS3" s="161" t="s">
        <v>382</v>
      </c>
      <c r="BT3" s="46" t="s">
        <v>383</v>
      </c>
      <c r="BU3" s="46" t="s">
        <v>384</v>
      </c>
      <c r="BV3" s="163" t="s">
        <v>385</v>
      </c>
      <c r="BW3" s="46" t="s">
        <v>386</v>
      </c>
      <c r="BX3" s="46" t="s">
        <v>387</v>
      </c>
      <c r="BY3" s="165" t="s">
        <v>388</v>
      </c>
      <c r="BZ3" s="46" t="s">
        <v>389</v>
      </c>
      <c r="CA3" s="46" t="s">
        <v>390</v>
      </c>
      <c r="CB3" s="167" t="s">
        <v>391</v>
      </c>
      <c r="CC3" s="46" t="s">
        <v>392</v>
      </c>
      <c r="CD3" s="46" t="s">
        <v>393</v>
      </c>
      <c r="CE3" s="169" t="s">
        <v>394</v>
      </c>
      <c r="CF3" s="46" t="s">
        <v>395</v>
      </c>
      <c r="CG3" s="46" t="s">
        <v>396</v>
      </c>
      <c r="CH3" s="171" t="s">
        <v>397</v>
      </c>
      <c r="CI3" s="46" t="s">
        <v>398</v>
      </c>
      <c r="CJ3" s="46" t="s">
        <v>399</v>
      </c>
      <c r="CK3" s="173" t="s">
        <v>400</v>
      </c>
      <c r="CL3" s="46" t="s">
        <v>401</v>
      </c>
      <c r="CM3" s="46" t="s">
        <v>402</v>
      </c>
      <c r="CN3" s="175" t="s">
        <v>403</v>
      </c>
      <c r="CO3" s="46" t="s">
        <v>404</v>
      </c>
      <c r="CP3" s="46" t="s">
        <v>405</v>
      </c>
      <c r="CQ3" s="177" t="s">
        <v>406</v>
      </c>
      <c r="CR3" s="46" t="s">
        <v>407</v>
      </c>
      <c r="CS3" s="46" t="s">
        <v>408</v>
      </c>
      <c r="CT3" s="179" t="s">
        <v>409</v>
      </c>
      <c r="CU3" s="46" t="s">
        <v>410</v>
      </c>
      <c r="CV3" s="46" t="s">
        <v>411</v>
      </c>
      <c r="CW3" s="181" t="s">
        <v>412</v>
      </c>
      <c r="CX3" s="46" t="s">
        <v>413</v>
      </c>
      <c r="CY3" s="46" t="s">
        <v>414</v>
      </c>
      <c r="CZ3" s="183" t="s">
        <v>415</v>
      </c>
      <c r="DA3" s="46" t="s">
        <v>416</v>
      </c>
      <c r="DB3" s="46" t="s">
        <v>417</v>
      </c>
      <c r="DC3" s="185" t="s">
        <v>418</v>
      </c>
      <c r="DD3" s="46" t="s">
        <v>419</v>
      </c>
      <c r="DE3" s="46" t="s">
        <v>420</v>
      </c>
      <c r="DF3" s="187" t="s">
        <v>421</v>
      </c>
      <c r="DG3" s="46" t="s">
        <v>422</v>
      </c>
      <c r="DH3" s="46" t="s">
        <v>423</v>
      </c>
      <c r="DI3" s="189" t="s">
        <v>424</v>
      </c>
      <c r="DJ3" s="46" t="s">
        <v>425</v>
      </c>
      <c r="DK3" s="46" t="s">
        <v>426</v>
      </c>
      <c r="DL3" s="191" t="s">
        <v>427</v>
      </c>
      <c r="DM3" s="46" t="s">
        <v>428</v>
      </c>
      <c r="DN3" s="46" t="s">
        <v>429</v>
      </c>
      <c r="DO3" s="193" t="s">
        <v>430</v>
      </c>
      <c r="DP3" s="46" t="s">
        <v>431</v>
      </c>
      <c r="DQ3" s="46" t="s">
        <v>432</v>
      </c>
      <c r="DR3" s="195" t="s">
        <v>433</v>
      </c>
      <c r="DS3" s="46" t="s">
        <v>434</v>
      </c>
      <c r="DT3" s="46" t="s">
        <v>435</v>
      </c>
      <c r="DU3" s="253" t="s">
        <v>436</v>
      </c>
      <c r="DV3" s="46" t="s">
        <v>437</v>
      </c>
      <c r="DW3" s="46" t="s">
        <v>438</v>
      </c>
      <c r="DX3" s="197" t="s">
        <v>439</v>
      </c>
      <c r="DY3" s="46" t="s">
        <v>440</v>
      </c>
      <c r="DZ3" s="46" t="s">
        <v>441</v>
      </c>
      <c r="EA3" s="199" t="s">
        <v>442</v>
      </c>
      <c r="EB3" s="46" t="s">
        <v>443</v>
      </c>
      <c r="EC3" s="46" t="s">
        <v>444</v>
      </c>
      <c r="ED3" s="201" t="s">
        <v>445</v>
      </c>
      <c r="EE3" s="46" t="s">
        <v>446</v>
      </c>
      <c r="EF3" s="46" t="s">
        <v>447</v>
      </c>
      <c r="EG3" s="203" t="s">
        <v>448</v>
      </c>
      <c r="EH3" s="46" t="s">
        <v>449</v>
      </c>
      <c r="EI3" s="46" t="s">
        <v>450</v>
      </c>
      <c r="EJ3" s="205" t="s">
        <v>451</v>
      </c>
      <c r="EK3" s="46" t="s">
        <v>452</v>
      </c>
      <c r="EL3" s="46" t="s">
        <v>453</v>
      </c>
      <c r="EM3" s="207" t="s">
        <v>454</v>
      </c>
      <c r="EN3" s="46" t="s">
        <v>455</v>
      </c>
      <c r="EO3" s="46" t="s">
        <v>456</v>
      </c>
      <c r="EP3" s="209" t="s">
        <v>457</v>
      </c>
      <c r="EQ3" s="46" t="s">
        <v>458</v>
      </c>
      <c r="ER3" s="46" t="s">
        <v>459</v>
      </c>
      <c r="ES3" s="211" t="s">
        <v>460</v>
      </c>
      <c r="ET3" s="46" t="s">
        <v>461</v>
      </c>
      <c r="EU3" s="46" t="s">
        <v>462</v>
      </c>
      <c r="EV3" s="213" t="s">
        <v>463</v>
      </c>
      <c r="EW3" s="46" t="s">
        <v>464</v>
      </c>
      <c r="EX3" s="46" t="s">
        <v>465</v>
      </c>
      <c r="EY3" s="215" t="s">
        <v>466</v>
      </c>
      <c r="EZ3" s="46" t="s">
        <v>467</v>
      </c>
      <c r="FA3" s="46" t="s">
        <v>468</v>
      </c>
      <c r="FB3" s="217" t="s">
        <v>469</v>
      </c>
      <c r="FC3" s="46" t="s">
        <v>470</v>
      </c>
      <c r="FD3" s="46" t="s">
        <v>471</v>
      </c>
      <c r="FE3" s="219" t="s">
        <v>472</v>
      </c>
      <c r="FF3" s="46" t="s">
        <v>473</v>
      </c>
      <c r="FG3" s="46" t="s">
        <v>474</v>
      </c>
      <c r="FH3" s="221" t="s">
        <v>475</v>
      </c>
      <c r="FI3" s="46" t="s">
        <v>476</v>
      </c>
      <c r="FJ3" s="46" t="s">
        <v>477</v>
      </c>
      <c r="FK3" s="223" t="s">
        <v>478</v>
      </c>
      <c r="FL3" s="46" t="s">
        <v>479</v>
      </c>
      <c r="FM3" s="46" t="s">
        <v>480</v>
      </c>
      <c r="FN3" s="225" t="s">
        <v>481</v>
      </c>
      <c r="FO3" s="46" t="s">
        <v>482</v>
      </c>
      <c r="FP3" s="46" t="s">
        <v>483</v>
      </c>
      <c r="FQ3" s="227" t="s">
        <v>484</v>
      </c>
      <c r="FR3" s="46" t="s">
        <v>485</v>
      </c>
      <c r="FS3" s="46" t="s">
        <v>486</v>
      </c>
      <c r="FT3" s="229" t="s">
        <v>487</v>
      </c>
      <c r="FU3" s="46" t="s">
        <v>488</v>
      </c>
      <c r="FV3" s="46" t="s">
        <v>489</v>
      </c>
      <c r="FW3" s="231" t="s">
        <v>490</v>
      </c>
      <c r="FX3" s="46" t="s">
        <v>491</v>
      </c>
      <c r="FY3" s="46" t="s">
        <v>492</v>
      </c>
      <c r="FZ3" s="233" t="s">
        <v>493</v>
      </c>
      <c r="GA3" s="46" t="s">
        <v>494</v>
      </c>
      <c r="GB3" s="46" t="s">
        <v>495</v>
      </c>
      <c r="GC3" s="235" t="s">
        <v>496</v>
      </c>
      <c r="GD3" s="46" t="s">
        <v>497</v>
      </c>
      <c r="GE3" s="46" t="s">
        <v>498</v>
      </c>
      <c r="GF3" s="237" t="s">
        <v>499</v>
      </c>
      <c r="GG3" s="46" t="s">
        <v>500</v>
      </c>
      <c r="GH3" s="46" t="s">
        <v>501</v>
      </c>
      <c r="GI3" s="239" t="s">
        <v>502</v>
      </c>
      <c r="GJ3" s="46" t="s">
        <v>503</v>
      </c>
      <c r="GK3" s="46" t="s">
        <v>504</v>
      </c>
      <c r="GL3" s="241" t="s">
        <v>505</v>
      </c>
      <c r="GM3" s="46" t="s">
        <v>506</v>
      </c>
      <c r="GN3" s="46" t="s">
        <v>507</v>
      </c>
      <c r="GO3" s="243" t="s">
        <v>508</v>
      </c>
      <c r="GP3" s="46" t="s">
        <v>509</v>
      </c>
      <c r="GQ3" s="46" t="s">
        <v>510</v>
      </c>
      <c r="GR3" s="245" t="s">
        <v>511</v>
      </c>
      <c r="GS3" s="46" t="s">
        <v>512</v>
      </c>
      <c r="GT3" s="46" t="s">
        <v>513</v>
      </c>
      <c r="GU3" s="247" t="s">
        <v>514</v>
      </c>
      <c r="GV3" s="46" t="s">
        <v>515</v>
      </c>
      <c r="GW3" s="46" t="s">
        <v>516</v>
      </c>
      <c r="GX3" s="249" t="s">
        <v>517</v>
      </c>
      <c r="GY3" s="46" t="s">
        <v>518</v>
      </c>
      <c r="GZ3" s="46" t="s">
        <v>519</v>
      </c>
      <c r="HA3" s="251" t="s">
        <v>520</v>
      </c>
      <c r="HB3" s="46" t="s">
        <v>521</v>
      </c>
      <c r="HC3" s="46" t="s">
        <v>522</v>
      </c>
      <c r="HD3" s="253" t="s">
        <v>523</v>
      </c>
      <c r="HE3" s="46" t="s">
        <v>524</v>
      </c>
      <c r="HF3" s="46" t="s">
        <v>525</v>
      </c>
      <c r="HG3" s="47"/>
      <c r="HH3" s="46" t="str">
        <f>CONCATENATE("Z-",HG3)</f>
        <v>Z-</v>
      </c>
      <c r="HI3" s="46" t="str">
        <f>CONCATENATE("R-",HG3)</f>
        <v>R-</v>
      </c>
      <c r="HJ3" s="47"/>
      <c r="HK3" s="46" t="str">
        <f>CONCATENATE("Z-",HJ3)</f>
        <v>Z-</v>
      </c>
      <c r="HL3" s="46" t="str">
        <f>CONCATENATE("R-",HJ3)</f>
        <v>R-</v>
      </c>
      <c r="HM3" s="47"/>
      <c r="HN3" s="46" t="str">
        <f>CONCATENATE("Z-",HM3)</f>
        <v>Z-</v>
      </c>
      <c r="HO3" s="46" t="str">
        <f>CONCATENATE("R-",HM3)</f>
        <v>R-</v>
      </c>
      <c r="HP3" s="47"/>
      <c r="HQ3" s="46" t="str">
        <f>CONCATENATE("Z-",HP3)</f>
        <v>Z-</v>
      </c>
      <c r="HR3" s="46" t="str">
        <f>CONCATENATE("R-",HP3)</f>
        <v>R-</v>
      </c>
      <c r="HS3" s="47"/>
      <c r="HT3" s="46" t="str">
        <f>CONCATENATE("Z-",HS3)</f>
        <v>Z-</v>
      </c>
      <c r="HU3" s="46" t="str">
        <f>CONCATENATE("R-",HS3)</f>
        <v>R-</v>
      </c>
      <c r="HV3" s="47"/>
      <c r="HW3" s="46" t="str">
        <f>CONCATENATE("Z-",HV3)</f>
        <v>Z-</v>
      </c>
      <c r="HX3" s="46" t="str">
        <f>CONCATENATE("R-",HV3)</f>
        <v>R-</v>
      </c>
      <c r="HY3" s="46"/>
      <c r="HZ3" s="46" t="str">
        <f>CONCATENATE("Z-",HY3)</f>
        <v>Z-</v>
      </c>
      <c r="IA3" s="46" t="str">
        <f>CONCATENATE("R-",HY3)</f>
        <v>R-</v>
      </c>
      <c r="IB3" s="46"/>
      <c r="IC3" s="46" t="str">
        <f>CONCATENATE("Z-",IB3)</f>
        <v>Z-</v>
      </c>
      <c r="ID3" s="46" t="str">
        <f>CONCATENATE("R-",IB3)</f>
        <v>R-</v>
      </c>
      <c r="IE3" s="46"/>
      <c r="IF3" s="46" t="str">
        <f>CONCATENATE("Z-",IE3)</f>
        <v>Z-</v>
      </c>
      <c r="IG3" s="46" t="str">
        <f>CONCATENATE("R-",IE3)</f>
        <v>R-</v>
      </c>
      <c r="IH3" s="46"/>
      <c r="II3" s="46" t="str">
        <f>CONCATENATE("Z-",IH3)</f>
        <v>Z-</v>
      </c>
      <c r="IJ3" s="46" t="str">
        <f>CONCATENATE("R-",IH3)</f>
        <v>R-</v>
      </c>
      <c r="IK3" s="46"/>
      <c r="IL3" s="46" t="str">
        <f>CONCATENATE("Z-",IK3)</f>
        <v>Z-</v>
      </c>
      <c r="IM3" s="46" t="str">
        <f>CONCATENATE("R-",IK3)</f>
        <v>R-</v>
      </c>
      <c r="IN3" s="46"/>
      <c r="IO3" s="46" t="str">
        <f>CONCATENATE("Z-",IN3)</f>
        <v>Z-</v>
      </c>
      <c r="IP3" s="46" t="str">
        <f>CONCATENATE("R-",IN3)</f>
        <v>R-</v>
      </c>
      <c r="IQ3" s="46"/>
      <c r="IR3" s="46" t="str">
        <f>CONCATENATE("Z-",IQ3)</f>
        <v>Z-</v>
      </c>
      <c r="IS3" s="46" t="str">
        <f>CONCATENATE("R-",IQ3)</f>
        <v>R-</v>
      </c>
      <c r="IT3" s="46"/>
      <c r="IU3" s="46" t="str">
        <f>CONCATENATE("Z-",IT3)</f>
        <v>Z-</v>
      </c>
      <c r="IV3" s="46" t="str">
        <f>CONCATENATE("R-",IT3)</f>
        <v>R-</v>
      </c>
      <c r="IW3" s="46"/>
      <c r="IX3" s="46" t="str">
        <f>CONCATENATE("Z-",IW3)</f>
        <v>Z-</v>
      </c>
      <c r="IY3" s="46" t="str">
        <f>CONCATENATE("R-",IW3)</f>
        <v>R-</v>
      </c>
      <c r="IZ3" s="46"/>
      <c r="JA3" s="46" t="str">
        <f>CONCATENATE("Z-",IZ3)</f>
        <v>Z-</v>
      </c>
      <c r="JB3" s="46" t="str">
        <f>CONCATENATE("R-",IZ3)</f>
        <v>R-</v>
      </c>
      <c r="JC3" s="46"/>
      <c r="JD3" s="46" t="str">
        <f>CONCATENATE("Z-",JC3)</f>
        <v>Z-</v>
      </c>
      <c r="JE3" s="46" t="str">
        <f>CONCATENATE("R-",JC3)</f>
        <v>R-</v>
      </c>
      <c r="JF3" s="46"/>
      <c r="JG3" s="46" t="str">
        <f>CONCATENATE("Z-",JF3)</f>
        <v>Z-</v>
      </c>
      <c r="JH3" s="46" t="str">
        <f>CONCATENATE("R-",JF3)</f>
        <v>R-</v>
      </c>
      <c r="JI3" s="46"/>
      <c r="JJ3" s="46" t="str">
        <f>CONCATENATE("Z-",JI3)</f>
        <v>Z-</v>
      </c>
      <c r="JK3" s="46" t="str">
        <f>CONCATENATE("R-",JI3)</f>
        <v>R-</v>
      </c>
      <c r="JL3" s="46"/>
      <c r="JM3" s="46" t="str">
        <f>CONCATENATE("Z-",JL3)</f>
        <v>Z-</v>
      </c>
      <c r="JN3" s="46" t="str">
        <f>CONCATENATE("R-",JL3)</f>
        <v>R-</v>
      </c>
      <c r="JO3" s="46"/>
      <c r="JP3" s="46" t="str">
        <f>CONCATENATE("Z-",JO3)</f>
        <v>Z-</v>
      </c>
      <c r="JQ3" s="46" t="str">
        <f>CONCATENATE("R-",JO3)</f>
        <v>R-</v>
      </c>
      <c r="JR3" s="46"/>
      <c r="JS3" s="46" t="str">
        <f>CONCATENATE("Z-",JR3)</f>
        <v>Z-</v>
      </c>
      <c r="JT3" s="46" t="str">
        <f>CONCATENATE("R-",JR3)</f>
        <v>R-</v>
      </c>
      <c r="JU3" s="46"/>
      <c r="JV3" s="46" t="str">
        <f>CONCATENATE("Z-",JU3)</f>
        <v>Z-</v>
      </c>
      <c r="JW3" s="46" t="str">
        <f>CONCATENATE("R-",JU3)</f>
        <v>R-</v>
      </c>
      <c r="JX3" s="46"/>
      <c r="JY3" s="46" t="str">
        <f>CONCATENATE("Z-",JX3)</f>
        <v>Z-</v>
      </c>
      <c r="JZ3" s="46" t="str">
        <f>CONCATENATE("R-",JX3)</f>
        <v>R-</v>
      </c>
      <c r="KA3" s="46"/>
      <c r="KB3" s="46" t="str">
        <f>CONCATENATE("Z-",KA3)</f>
        <v>Z-</v>
      </c>
      <c r="KC3" s="46" t="str">
        <f>CONCATENATE("R-",KA3)</f>
        <v>R-</v>
      </c>
      <c r="KD3" s="46"/>
      <c r="KE3" s="46" t="str">
        <f>CONCATENATE("Z-",KD3)</f>
        <v>Z-</v>
      </c>
      <c r="KF3" s="46" t="str">
        <f>CONCATENATE("R-",KD3)</f>
        <v>R-</v>
      </c>
      <c r="KG3" s="46"/>
      <c r="KH3" s="46" t="str">
        <f>CONCATENATE("Z-",KG3)</f>
        <v>Z-</v>
      </c>
      <c r="KI3" s="46" t="str">
        <f>CONCATENATE("R-",KG3)</f>
        <v>R-</v>
      </c>
      <c r="KJ3" s="46"/>
      <c r="KK3" s="46" t="str">
        <f>CONCATENATE("Z-",KJ3)</f>
        <v>Z-</v>
      </c>
      <c r="KL3" s="46" t="str">
        <f>CONCATENATE("R-",KJ3)</f>
        <v>R-</v>
      </c>
      <c r="KM3" s="46"/>
      <c r="KN3" s="46" t="str">
        <f>CONCATENATE("Z-",KM3)</f>
        <v>Z-</v>
      </c>
      <c r="KO3" s="46" t="str">
        <f>CONCATENATE("R-",KM3)</f>
        <v>R-</v>
      </c>
      <c r="KP3" s="46"/>
      <c r="KQ3" s="46" t="str">
        <f>CONCATENATE("Z-",KP3)</f>
        <v>Z-</v>
      </c>
      <c r="KR3" s="46" t="str">
        <f>CONCATENATE("R-",KP3)</f>
        <v>R-</v>
      </c>
      <c r="KS3" s="46"/>
      <c r="KT3" s="46" t="str">
        <f>CONCATENATE("Z-",KS3)</f>
        <v>Z-</v>
      </c>
      <c r="KU3" s="46" t="str">
        <f>CONCATENATE("R-",KS3)</f>
        <v>R-</v>
      </c>
      <c r="KV3" s="46"/>
      <c r="KW3" s="46" t="str">
        <f>CONCATENATE("Z-",KV3)</f>
        <v>Z-</v>
      </c>
      <c r="KX3" s="46" t="str">
        <f>CONCATENATE("R-",KV3)</f>
        <v>R-</v>
      </c>
      <c r="KY3" s="46"/>
      <c r="KZ3" s="3" t="str">
        <f>CONCATENATE("Z-",KY3)</f>
        <v>Z-</v>
      </c>
      <c r="LA3" s="3" t="str">
        <f>CONCATENATE("R-",KY3)</f>
        <v>R-</v>
      </c>
      <c r="LB3" s="13"/>
      <c r="LC3" s="14"/>
      <c r="LD3" s="15"/>
      <c r="LE3" s="16"/>
      <c r="LF3" s="17"/>
      <c r="LG3" s="18"/>
      <c r="LH3" s="19"/>
      <c r="LI3" s="20"/>
      <c r="LJ3" s="19"/>
      <c r="LK3" s="20"/>
      <c r="LL3" s="39"/>
    </row>
    <row r="4" spans="1:334" s="2" customFormat="1" ht="50.1" customHeight="1">
      <c r="A4" s="10" t="s">
        <v>16</v>
      </c>
      <c r="B4" s="10" t="s">
        <v>17</v>
      </c>
      <c r="C4" s="32" t="s">
        <v>34</v>
      </c>
      <c r="D4" s="27" t="s">
        <v>45</v>
      </c>
      <c r="E4" s="1"/>
      <c r="F4" s="1"/>
      <c r="G4" s="1"/>
      <c r="H4" s="1"/>
      <c r="I4" s="1"/>
      <c r="J4" s="1"/>
      <c r="K4" s="1">
        <f>COUNTA(N3:HF3)/3</f>
        <v>67</v>
      </c>
      <c r="L4" s="1"/>
      <c r="M4" s="32" t="s">
        <v>35</v>
      </c>
      <c r="N4" s="122" t="s">
        <v>97</v>
      </c>
      <c r="O4" s="46" t="str">
        <f>CONCATENATE("Z-",N4)</f>
        <v>Z-AA027</v>
      </c>
      <c r="P4" s="46" t="str">
        <f>CONCATENATE("R-",N4)</f>
        <v>R-AA027</v>
      </c>
      <c r="Q4" s="124" t="s">
        <v>98</v>
      </c>
      <c r="R4" s="49" t="str">
        <f>CONCATENATE("Z-",Q4)</f>
        <v>Z-AB028</v>
      </c>
      <c r="S4" s="49" t="str">
        <f>CONCATENATE("R-",Q4)</f>
        <v>R-AB028</v>
      </c>
      <c r="T4" s="126" t="s">
        <v>99</v>
      </c>
      <c r="U4" s="46" t="str">
        <f>CONCATENATE("Z-",T4)</f>
        <v>Z-AC029</v>
      </c>
      <c r="V4" s="46" t="str">
        <f>CONCATENATE("R-",T4)</f>
        <v>R-AC029</v>
      </c>
      <c r="W4" s="128" t="s">
        <v>100</v>
      </c>
      <c r="X4" s="46" t="str">
        <f>CONCATENATE("Z-",W4)</f>
        <v>Z-AD030</v>
      </c>
      <c r="Y4" s="46" t="str">
        <f>CONCATENATE("R-",W4)</f>
        <v>R-AD030</v>
      </c>
      <c r="Z4" s="130" t="s">
        <v>101</v>
      </c>
      <c r="AA4" s="46" t="str">
        <f>CONCATENATE("Z-",Z4)</f>
        <v>Z-AE031</v>
      </c>
      <c r="AB4" s="46" t="str">
        <f>CONCATENATE("R-",Z4)</f>
        <v>R-AE031</v>
      </c>
      <c r="AC4" s="132" t="s">
        <v>47</v>
      </c>
      <c r="AD4" s="46" t="str">
        <f>CONCATENATE("Z-",AC4)</f>
        <v>Z-AF032</v>
      </c>
      <c r="AE4" s="46" t="str">
        <f>CONCATENATE("R-",AC4)</f>
        <v>R-AF032</v>
      </c>
      <c r="AF4" s="134" t="s">
        <v>48</v>
      </c>
      <c r="AG4" s="46" t="str">
        <f>CONCATENATE("Z-",AF4)</f>
        <v>Z-AG033</v>
      </c>
      <c r="AH4" s="46" t="str">
        <f>CONCATENATE("R-",AF4)</f>
        <v>R-AG033</v>
      </c>
      <c r="AI4" s="136" t="s">
        <v>49</v>
      </c>
      <c r="AJ4" s="46" t="str">
        <f>CONCATENATE("Z-",AI4)</f>
        <v>Z-AH034</v>
      </c>
      <c r="AK4" s="46" t="str">
        <f>CONCATENATE("R-",AI4)</f>
        <v>R-AH034</v>
      </c>
      <c r="AL4" s="138" t="s">
        <v>50</v>
      </c>
      <c r="AM4" s="46" t="str">
        <f>CONCATENATE("Z-",AL4)</f>
        <v>Z-AJ036</v>
      </c>
      <c r="AN4" s="46" t="str">
        <f>CONCATENATE("R-",AL4)</f>
        <v>R-AJ036</v>
      </c>
      <c r="AO4" s="140" t="s">
        <v>51</v>
      </c>
      <c r="AP4" s="46" t="str">
        <f>CONCATENATE("Z-",AO4)</f>
        <v>Z-AK037</v>
      </c>
      <c r="AQ4" s="46" t="str">
        <f>CONCATENATE("R-",AO4)</f>
        <v>R-AK037</v>
      </c>
      <c r="AR4" s="142" t="s">
        <v>310</v>
      </c>
      <c r="AS4" s="46" t="str">
        <f>CONCATENATE("Z-",AR4)</f>
        <v>Z-AL038</v>
      </c>
      <c r="AT4" s="46" t="str">
        <f>CONCATENATE("R-",AR4)</f>
        <v>R-AL038</v>
      </c>
      <c r="AU4" s="144" t="s">
        <v>52</v>
      </c>
      <c r="AV4" s="46" t="str">
        <f>CONCATENATE("Z-",AU4)</f>
        <v>Z-AM039</v>
      </c>
      <c r="AW4" s="46" t="str">
        <f>CONCATENATE("R-",AU4)</f>
        <v>R-AM039</v>
      </c>
      <c r="AX4" s="146" t="s">
        <v>102</v>
      </c>
      <c r="AY4" s="46" t="str">
        <f>CONCATENATE("Z-",AX4)</f>
        <v>Z-AN040</v>
      </c>
      <c r="AZ4" s="46" t="str">
        <f>CONCATENATE("R-",AX4)</f>
        <v>R-AN040</v>
      </c>
      <c r="BA4" s="148" t="s">
        <v>53</v>
      </c>
      <c r="BB4" s="46" t="str">
        <f>CONCATENATE("Z-",BA4)</f>
        <v>Z-AP042</v>
      </c>
      <c r="BC4" s="46" t="str">
        <f>CONCATENATE("R-",BA4)</f>
        <v>R-AP042</v>
      </c>
      <c r="BD4" s="150" t="s">
        <v>54</v>
      </c>
      <c r="BE4" s="46" t="str">
        <f>CONCATENATE("Z-",BD4)</f>
        <v>Z-AR044</v>
      </c>
      <c r="BF4" s="46" t="str">
        <f>CONCATENATE("R-",BD4)</f>
        <v>R-AR044</v>
      </c>
      <c r="BG4" s="152" t="s">
        <v>55</v>
      </c>
      <c r="BH4" s="46" t="str">
        <f>CONCATENATE("Z-",BG4)</f>
        <v>Z-AS045</v>
      </c>
      <c r="BI4" s="46" t="str">
        <f>CONCATENATE("R-",BG4)</f>
        <v>R-AS045</v>
      </c>
      <c r="BJ4" s="154" t="s">
        <v>56</v>
      </c>
      <c r="BK4" s="46" t="str">
        <f>CONCATENATE("Z-",BJ4)</f>
        <v>Z-AT046</v>
      </c>
      <c r="BL4" s="46" t="str">
        <f>CONCATENATE("R-",BJ4)</f>
        <v>R-AT046</v>
      </c>
      <c r="BM4" s="156" t="s">
        <v>57</v>
      </c>
      <c r="BN4" s="46" t="str">
        <f>CONCATENATE("Z-",BM4)</f>
        <v>Z-AU047</v>
      </c>
      <c r="BO4" s="46" t="str">
        <f>CONCATENATE("R-",BM4)</f>
        <v>R-AU047</v>
      </c>
      <c r="BP4" s="158" t="s">
        <v>58</v>
      </c>
      <c r="BQ4" s="46" t="str">
        <f>CONCATENATE("Z-",BP4)</f>
        <v>Z-AV048</v>
      </c>
      <c r="BR4" s="46" t="str">
        <f>CONCATENATE("R-",BP4)</f>
        <v>R-AV048</v>
      </c>
      <c r="BS4" s="160" t="s">
        <v>59</v>
      </c>
      <c r="BT4" s="46" t="str">
        <f>CONCATENATE("Z-",BS4)</f>
        <v>Z-AW049</v>
      </c>
      <c r="BU4" s="46" t="str">
        <f>CONCATENATE("R-",BS4)</f>
        <v>R-AW049</v>
      </c>
      <c r="BV4" s="162" t="s">
        <v>60</v>
      </c>
      <c r="BW4" s="46" t="str">
        <f>CONCATENATE("Z-",BV4)</f>
        <v>Z-AY051</v>
      </c>
      <c r="BX4" s="46" t="str">
        <f>CONCATENATE("R-",BV4)</f>
        <v>R-AY051</v>
      </c>
      <c r="BY4" s="164" t="s">
        <v>61</v>
      </c>
      <c r="BZ4" s="46" t="str">
        <f>CONCATENATE("Z-",BY4)</f>
        <v>Z-BA053</v>
      </c>
      <c r="CA4" s="46" t="str">
        <f>CONCATENATE("R-",BY4)</f>
        <v>R-BA053</v>
      </c>
      <c r="CB4" s="166" t="s">
        <v>62</v>
      </c>
      <c r="CC4" s="46" t="str">
        <f>CONCATENATE("Z-",CB4)</f>
        <v>Z-BB054</v>
      </c>
      <c r="CD4" s="46" t="str">
        <f>CONCATENATE("R-",CB4)</f>
        <v>R-BB054</v>
      </c>
      <c r="CE4" s="168" t="s">
        <v>63</v>
      </c>
      <c r="CF4" s="46" t="str">
        <f>CONCATENATE("Z-",CE4)</f>
        <v>Z-BC055</v>
      </c>
      <c r="CG4" s="46" t="str">
        <f>CONCATENATE("R-",CE4)</f>
        <v>R-BC055</v>
      </c>
      <c r="CH4" s="170" t="s">
        <v>64</v>
      </c>
      <c r="CI4" s="46" t="str">
        <f>CONCATENATE("Z-",CH4)</f>
        <v>Z-BD056</v>
      </c>
      <c r="CJ4" s="46" t="str">
        <f>CONCATENATE("R-",CH4)</f>
        <v>R-BD056</v>
      </c>
      <c r="CK4" s="172" t="s">
        <v>65</v>
      </c>
      <c r="CL4" s="46" t="str">
        <f>CONCATENATE("Z-",CK4)</f>
        <v>Z-BE057</v>
      </c>
      <c r="CM4" s="46" t="str">
        <f>CONCATENATE("R-",CK4)</f>
        <v>R-BE057</v>
      </c>
      <c r="CN4" s="174" t="s">
        <v>66</v>
      </c>
      <c r="CO4" s="46" t="str">
        <f>CONCATENATE("Z-",CN4)</f>
        <v>Z-BF058</v>
      </c>
      <c r="CP4" s="46" t="str">
        <f>CONCATENATE("R-",CN4)</f>
        <v>R-BF058</v>
      </c>
      <c r="CQ4" s="176" t="s">
        <v>67</v>
      </c>
      <c r="CR4" s="46" t="str">
        <f>CONCATENATE("Z-",CQ4)</f>
        <v>Z-BG059</v>
      </c>
      <c r="CS4" s="46" t="str">
        <f>CONCATENATE("R-",CQ4)</f>
        <v>R-BG059</v>
      </c>
      <c r="CT4" s="178" t="s">
        <v>68</v>
      </c>
      <c r="CU4" s="46" t="str">
        <f>CONCATENATE("Z-",CT4)</f>
        <v>Z-BH060</v>
      </c>
      <c r="CV4" s="46" t="str">
        <f>CONCATENATE("R-",CT4)</f>
        <v>R-BH060</v>
      </c>
      <c r="CW4" s="180" t="s">
        <v>69</v>
      </c>
      <c r="CX4" s="46" t="str">
        <f>CONCATENATE("Z-",CW4)</f>
        <v>Z-BJ062</v>
      </c>
      <c r="CY4" s="46" t="str">
        <f>CONCATENATE("R-",CW4)</f>
        <v>R-BJ062</v>
      </c>
      <c r="CZ4" s="182" t="s">
        <v>70</v>
      </c>
      <c r="DA4" s="46" t="str">
        <f>CONCATENATE("Z-",CZ4)</f>
        <v>Z-BK063</v>
      </c>
      <c r="DB4" s="46" t="str">
        <f>CONCATENATE("R-",CZ4)</f>
        <v>R-BK063</v>
      </c>
      <c r="DC4" s="184" t="s">
        <v>71</v>
      </c>
      <c r="DD4" s="46" t="str">
        <f>CONCATENATE("Z-",DC4)</f>
        <v>Z-BL064</v>
      </c>
      <c r="DE4" s="46" t="str">
        <f>CONCATENATE("R-",DC4)</f>
        <v>R-BL064</v>
      </c>
      <c r="DF4" s="186" t="s">
        <v>72</v>
      </c>
      <c r="DG4" s="46" t="str">
        <f>CONCATENATE("Z-",DF4)</f>
        <v>Z-BM065</v>
      </c>
      <c r="DH4" s="46" t="str">
        <f>CONCATENATE("R-",DF4)</f>
        <v>R-BM065</v>
      </c>
      <c r="DI4" s="188" t="s">
        <v>73</v>
      </c>
      <c r="DJ4" s="46" t="str">
        <f>CONCATENATE("Z-",DI4)</f>
        <v>Z-BN066</v>
      </c>
      <c r="DK4" s="46" t="str">
        <f>CONCATENATE("R-",DI4)</f>
        <v>R-BN066</v>
      </c>
      <c r="DL4" s="190" t="s">
        <v>74</v>
      </c>
      <c r="DM4" s="46" t="str">
        <f>CONCATENATE("Z-",DL4)</f>
        <v>Z-BP068</v>
      </c>
      <c r="DN4" s="46" t="str">
        <f>CONCATENATE("R-",DL4)</f>
        <v>R-BP068</v>
      </c>
      <c r="DO4" s="192" t="s">
        <v>75</v>
      </c>
      <c r="DP4" s="46" t="str">
        <f>CONCATENATE("Z-",DO4)</f>
        <v>Z-BR070</v>
      </c>
      <c r="DQ4" s="46" t="str">
        <f>CONCATENATE("R-",DO4)</f>
        <v>R-BR070</v>
      </c>
      <c r="DR4" s="194" t="s">
        <v>76</v>
      </c>
      <c r="DS4" s="46" t="str">
        <f>CONCATENATE("Z-",DR4)</f>
        <v>Z-BS071</v>
      </c>
      <c r="DT4" s="46" t="str">
        <f>CONCATENATE("R-",DR4)</f>
        <v>R-BS071</v>
      </c>
      <c r="DU4" s="285" t="s">
        <v>77</v>
      </c>
      <c r="DV4" s="46" t="str">
        <f>CONCATENATE("Z-",DU4)</f>
        <v>Z-BT072</v>
      </c>
      <c r="DW4" s="46" t="str">
        <f>CONCATENATE("R-",DU4)</f>
        <v>R-BT072</v>
      </c>
      <c r="DX4" s="196" t="s">
        <v>78</v>
      </c>
      <c r="DY4" s="46" t="str">
        <f>CONCATENATE("Z-",DX4)</f>
        <v>Z-BU073</v>
      </c>
      <c r="DZ4" s="46" t="str">
        <f>CONCATENATE("R-",DX4)</f>
        <v>R-BU073</v>
      </c>
      <c r="EA4" s="198" t="s">
        <v>79</v>
      </c>
      <c r="EB4" s="46" t="str">
        <f>CONCATENATE("Z-",EA4)</f>
        <v>Z-BV074</v>
      </c>
      <c r="EC4" s="46" t="str">
        <f>CONCATENATE("R-",EA4)</f>
        <v>R-BV074</v>
      </c>
      <c r="ED4" s="200" t="s">
        <v>80</v>
      </c>
      <c r="EE4" s="46" t="str">
        <f>CONCATENATE("Z-",ED4)</f>
        <v>Z-BW075</v>
      </c>
      <c r="EF4" s="46" t="str">
        <f>CONCATENATE("R-",ED4)</f>
        <v>R-BW075</v>
      </c>
      <c r="EG4" s="202" t="s">
        <v>81</v>
      </c>
      <c r="EH4" s="46" t="str">
        <f>CONCATENATE("Z-",EG4)</f>
        <v>Z-BY077</v>
      </c>
      <c r="EI4" s="46" t="str">
        <f>CONCATENATE("R-",EG4)</f>
        <v>R-BY077</v>
      </c>
      <c r="EJ4" s="204" t="s">
        <v>82</v>
      </c>
      <c r="EK4" s="46" t="str">
        <f>CONCATENATE("Z-",EJ4)</f>
        <v>Z-CA079</v>
      </c>
      <c r="EL4" s="46" t="str">
        <f>CONCATENATE("R-",EJ4)</f>
        <v>R-CA079</v>
      </c>
      <c r="EM4" s="206" t="s">
        <v>311</v>
      </c>
      <c r="EN4" s="46" t="str">
        <f>CONCATENATE("Z-",EM4)</f>
        <v>Z-CB080</v>
      </c>
      <c r="EO4" s="46" t="str">
        <f>CONCATENATE("R-",EM4)</f>
        <v>R-CB080</v>
      </c>
      <c r="EP4" s="208" t="s">
        <v>83</v>
      </c>
      <c r="EQ4" s="46" t="str">
        <f>CONCATENATE("Z-",EP4)</f>
        <v>Z-CC081</v>
      </c>
      <c r="ER4" s="46" t="str">
        <f>CONCATENATE("R-",EP4)</f>
        <v>R-CC081</v>
      </c>
      <c r="ES4" s="210" t="s">
        <v>84</v>
      </c>
      <c r="ET4" s="46" t="str">
        <f>CONCATENATE("Z-",ES4)</f>
        <v>Z-CD082</v>
      </c>
      <c r="EU4" s="46" t="str">
        <f>CONCATENATE("R-",ES4)</f>
        <v>R-CD082</v>
      </c>
      <c r="EV4" s="212" t="s">
        <v>85</v>
      </c>
      <c r="EW4" s="46" t="str">
        <f>CONCATENATE("Z-",EV4)</f>
        <v>Z-CE083</v>
      </c>
      <c r="EX4" s="46" t="str">
        <f>CONCATENATE("R-",EV4)</f>
        <v>R-CE083</v>
      </c>
      <c r="EY4" s="214" t="s">
        <v>86</v>
      </c>
      <c r="EZ4" s="46" t="str">
        <f>CONCATENATE("Z-",EY4)</f>
        <v>Z-CF084</v>
      </c>
      <c r="FA4" s="46" t="str">
        <f>CONCATENATE("R-",EY4)</f>
        <v>R-CF084</v>
      </c>
      <c r="FB4" s="216" t="s">
        <v>103</v>
      </c>
      <c r="FC4" s="46" t="str">
        <f>CONCATENATE("Z-",FB4)</f>
        <v>Z-CG085</v>
      </c>
      <c r="FD4" s="46" t="str">
        <f>CONCATENATE("R-",FB4)</f>
        <v>R-CG085</v>
      </c>
      <c r="FE4" s="218" t="s">
        <v>87</v>
      </c>
      <c r="FF4" s="46" t="str">
        <f>CONCATENATE("Z-",FE4)</f>
        <v>Z-CH086</v>
      </c>
      <c r="FG4" s="46" t="str">
        <f>CONCATENATE("R-",FE4)</f>
        <v>R-CH086</v>
      </c>
      <c r="FH4" s="220" t="s">
        <v>88</v>
      </c>
      <c r="FI4" s="46" t="str">
        <f>CONCATENATE("Z-",FH4)</f>
        <v>Z-CJ088</v>
      </c>
      <c r="FJ4" s="46" t="str">
        <f>CONCATENATE("R-",FH4)</f>
        <v>R-CJ088</v>
      </c>
      <c r="FK4" s="222" t="s">
        <v>89</v>
      </c>
      <c r="FL4" s="46" t="str">
        <f>CONCATENATE("Z-",FK4)</f>
        <v>Z-CK089</v>
      </c>
      <c r="FM4" s="46" t="str">
        <f>CONCATENATE("R-",FK4)</f>
        <v>R-CK089</v>
      </c>
      <c r="FN4" s="224" t="s">
        <v>90</v>
      </c>
      <c r="FO4" s="46" t="str">
        <f>CONCATENATE("Z-",FN4)</f>
        <v>Z-CL090</v>
      </c>
      <c r="FP4" s="46" t="str">
        <f>CONCATENATE("R-",FN4)</f>
        <v>R-CL090</v>
      </c>
      <c r="FQ4" s="226" t="s">
        <v>91</v>
      </c>
      <c r="FR4" s="46" t="str">
        <f>CONCATENATE("Z-",FQ4)</f>
        <v>Z-CM091</v>
      </c>
      <c r="FS4" s="46" t="str">
        <f>CONCATENATE("R-",FQ4)</f>
        <v>R-CM091</v>
      </c>
      <c r="FT4" s="228" t="s">
        <v>92</v>
      </c>
      <c r="FU4" s="46" t="str">
        <f>CONCATENATE("Z-",FT4)</f>
        <v>Z-CN092</v>
      </c>
      <c r="FV4" s="46" t="str">
        <f>CONCATENATE("R-",FT4)</f>
        <v>R-CN092</v>
      </c>
      <c r="FW4" s="230" t="s">
        <v>312</v>
      </c>
      <c r="FX4" s="46" t="str">
        <f>CONCATENATE("Z-",FW4)</f>
        <v>Z-CP094</v>
      </c>
      <c r="FY4" s="46" t="str">
        <f>CONCATENATE("R-",FW4)</f>
        <v>R-CP094</v>
      </c>
      <c r="FZ4" s="232" t="s">
        <v>104</v>
      </c>
      <c r="GA4" s="46" t="str">
        <f>CONCATENATE("Z-",FZ4)</f>
        <v>Z-CR096</v>
      </c>
      <c r="GB4" s="46" t="str">
        <f>CONCATENATE("R-",FZ4)</f>
        <v>R-CR096</v>
      </c>
      <c r="GC4" s="234" t="s">
        <v>105</v>
      </c>
      <c r="GD4" s="46" t="str">
        <f>CONCATENATE("Z-",GC4)</f>
        <v>Z-CS097</v>
      </c>
      <c r="GE4" s="46" t="str">
        <f>CONCATENATE("R-",GC4)</f>
        <v>R-CS097</v>
      </c>
      <c r="GF4" s="236" t="s">
        <v>106</v>
      </c>
      <c r="GG4" s="46" t="str">
        <f>CONCATENATE("Z-",GF4)</f>
        <v>Z-CT098</v>
      </c>
      <c r="GH4" s="46" t="str">
        <f>CONCATENATE("R-",GF4)</f>
        <v>R-CT098</v>
      </c>
      <c r="GI4" s="238" t="s">
        <v>107</v>
      </c>
      <c r="GJ4" s="46" t="str">
        <f>CONCATENATE("Z-",GI4)</f>
        <v>Z-CU099</v>
      </c>
      <c r="GK4" s="46" t="str">
        <f>CONCATENATE("R-",GI4)</f>
        <v>R-CU099</v>
      </c>
      <c r="GL4" s="240" t="s">
        <v>108</v>
      </c>
      <c r="GM4" s="46" t="str">
        <f>CONCATENATE("Z-",GL4)</f>
        <v>Z-CV100</v>
      </c>
      <c r="GN4" s="46" t="str">
        <f>CONCATENATE("R-",GL4)</f>
        <v>R-CV100</v>
      </c>
      <c r="GO4" s="242" t="s">
        <v>109</v>
      </c>
      <c r="GP4" s="46" t="str">
        <f>CONCATENATE("Z-",GO4)</f>
        <v>Z-CW101</v>
      </c>
      <c r="GQ4" s="46" t="str">
        <f>CONCATENATE("R-",GO4)</f>
        <v>R-CW101</v>
      </c>
      <c r="GR4" s="244" t="s">
        <v>313</v>
      </c>
      <c r="GS4" s="46" t="str">
        <f>CONCATENATE("Z-",GR4)</f>
        <v>Z-CY103</v>
      </c>
      <c r="GT4" s="46" t="str">
        <f>CONCATENATE("R-",GR4)</f>
        <v>R-CY103</v>
      </c>
      <c r="GU4" s="246" t="s">
        <v>314</v>
      </c>
      <c r="GV4" s="46" t="str">
        <f>CONCATENATE("Z-",GU4)</f>
        <v>Z-DA105</v>
      </c>
      <c r="GW4" s="46" t="str">
        <f>CONCATENATE("R-",GU4)</f>
        <v>R-DA105</v>
      </c>
      <c r="GX4" s="248" t="s">
        <v>315</v>
      </c>
      <c r="GY4" s="46" t="str">
        <f>CONCATENATE("Z-",GX4)</f>
        <v>Z-DB106</v>
      </c>
      <c r="GZ4" s="46" t="str">
        <f>CONCATENATE("R-",GX4)</f>
        <v>R-DB106</v>
      </c>
      <c r="HA4" s="250" t="s">
        <v>316</v>
      </c>
      <c r="HB4" s="46" t="str">
        <f>CONCATENATE("Z-",HA4)</f>
        <v>Z-DC107</v>
      </c>
      <c r="HC4" s="46" t="str">
        <f>CONCATENATE("R-",HA4)</f>
        <v>R-DC107</v>
      </c>
      <c r="HD4" s="252" t="s">
        <v>317</v>
      </c>
      <c r="HE4" s="46" t="str">
        <f>CONCATENATE("Z-",HD4)</f>
        <v>Z-DD108</v>
      </c>
      <c r="HF4" s="46" t="str">
        <f>CONCATENATE("R-",HD4)</f>
        <v>R-DD108</v>
      </c>
      <c r="HG4" s="48"/>
      <c r="HH4" s="46" t="str">
        <f>CONCATENATE("Z-",HG4)</f>
        <v>Z-</v>
      </c>
      <c r="HI4" s="46" t="str">
        <f>CONCATENATE("R-",HG4)</f>
        <v>R-</v>
      </c>
      <c r="HJ4" s="48"/>
      <c r="HK4" s="46" t="str">
        <f>CONCATENATE("Z-",HJ4)</f>
        <v>Z-</v>
      </c>
      <c r="HL4" s="46" t="str">
        <f>CONCATENATE("R-",HJ4)</f>
        <v>R-</v>
      </c>
      <c r="HM4" s="48"/>
      <c r="HN4" s="46" t="str">
        <f>CONCATENATE("Z-",HM4)</f>
        <v>Z-</v>
      </c>
      <c r="HO4" s="46" t="str">
        <f>CONCATENATE("R-",HM4)</f>
        <v>R-</v>
      </c>
      <c r="HP4" s="48"/>
      <c r="HQ4" s="46" t="str">
        <f>CONCATENATE("Z-",HP4)</f>
        <v>Z-</v>
      </c>
      <c r="HR4" s="46" t="str">
        <f>CONCATENATE("R-",HP4)</f>
        <v>R-</v>
      </c>
      <c r="HS4" s="48"/>
      <c r="HT4" s="46" t="str">
        <f>CONCATENATE("Z-",HS4)</f>
        <v>Z-</v>
      </c>
      <c r="HU4" s="46" t="str">
        <f>CONCATENATE("R-",HS4)</f>
        <v>R-</v>
      </c>
      <c r="HV4" s="48"/>
      <c r="HW4" s="46" t="str">
        <f>CONCATENATE("Z-",HV4)</f>
        <v>Z-</v>
      </c>
      <c r="HX4" s="46" t="str">
        <f>CONCATENATE("R-",HV4)</f>
        <v>R-</v>
      </c>
      <c r="HY4" s="48">
        <v>1</v>
      </c>
      <c r="HZ4" s="46" t="str">
        <f>CONCATENATE("Z-",HY4)</f>
        <v>Z-1</v>
      </c>
      <c r="IA4" s="46" t="str">
        <f>CONCATENATE("R-",HY4)</f>
        <v>R-1</v>
      </c>
      <c r="IB4" s="46">
        <v>1</v>
      </c>
      <c r="IC4" s="46" t="str">
        <f>CONCATENATE("Z-",IB4)</f>
        <v>Z-1</v>
      </c>
      <c r="ID4" s="46" t="str">
        <f>CONCATENATE("R-",IB4)</f>
        <v>R-1</v>
      </c>
      <c r="IE4" s="46">
        <v>1</v>
      </c>
      <c r="IF4" s="46" t="str">
        <f>CONCATENATE("Z-",IE4)</f>
        <v>Z-1</v>
      </c>
      <c r="IG4" s="46" t="str">
        <f>CONCATENATE("R-",IE4)</f>
        <v>R-1</v>
      </c>
      <c r="IH4" s="46">
        <v>1</v>
      </c>
      <c r="II4" s="46" t="str">
        <f>CONCATENATE("Z-",IH4)</f>
        <v>Z-1</v>
      </c>
      <c r="IJ4" s="46" t="str">
        <f>CONCATENATE("R-",IH4)</f>
        <v>R-1</v>
      </c>
      <c r="IK4" s="46">
        <v>1</v>
      </c>
      <c r="IL4" s="46" t="str">
        <f>CONCATENATE("Z-",IK4)</f>
        <v>Z-1</v>
      </c>
      <c r="IM4" s="46" t="str">
        <f>CONCATENATE("R-",IK4)</f>
        <v>R-1</v>
      </c>
      <c r="IN4" s="46">
        <v>1</v>
      </c>
      <c r="IO4" s="46" t="str">
        <f>CONCATENATE("Z-",IN4)</f>
        <v>Z-1</v>
      </c>
      <c r="IP4" s="46" t="str">
        <f>CONCATENATE("R-",IN4)</f>
        <v>R-1</v>
      </c>
      <c r="IQ4" s="46">
        <v>1</v>
      </c>
      <c r="IR4" s="46" t="str">
        <f>CONCATENATE("Z-",IQ4)</f>
        <v>Z-1</v>
      </c>
      <c r="IS4" s="46" t="str">
        <f>CONCATENATE("R-",IQ4)</f>
        <v>R-1</v>
      </c>
      <c r="IT4" s="48">
        <v>1</v>
      </c>
      <c r="IU4" s="46" t="str">
        <f>CONCATENATE("Z-",IT4)</f>
        <v>Z-1</v>
      </c>
      <c r="IV4" s="46" t="str">
        <f>CONCATENATE("R-",IT4)</f>
        <v>R-1</v>
      </c>
      <c r="IW4" s="46">
        <v>1</v>
      </c>
      <c r="IX4" s="46" t="str">
        <f>CONCATENATE("Z-",IW4)</f>
        <v>Z-1</v>
      </c>
      <c r="IY4" s="46" t="str">
        <f>CONCATENATE("R-",IW4)</f>
        <v>R-1</v>
      </c>
      <c r="IZ4" s="46">
        <v>1</v>
      </c>
      <c r="JA4" s="46" t="str">
        <f>CONCATENATE("Z-",IZ4)</f>
        <v>Z-1</v>
      </c>
      <c r="JB4" s="46" t="str">
        <f>CONCATENATE("R-",IZ4)</f>
        <v>R-1</v>
      </c>
      <c r="JC4" s="46">
        <v>1</v>
      </c>
      <c r="JD4" s="46" t="str">
        <f>CONCATENATE("Z-",JC4)</f>
        <v>Z-1</v>
      </c>
      <c r="JE4" s="46" t="str">
        <f>CONCATENATE("R-",JC4)</f>
        <v>R-1</v>
      </c>
      <c r="JF4" s="46">
        <v>1</v>
      </c>
      <c r="JG4" s="46" t="str">
        <f>CONCATENATE("Z-",JF4)</f>
        <v>Z-1</v>
      </c>
      <c r="JH4" s="46" t="str">
        <f>CONCATENATE("R-",JF4)</f>
        <v>R-1</v>
      </c>
      <c r="JI4" s="46">
        <v>1</v>
      </c>
      <c r="JJ4" s="46" t="str">
        <f>CONCATENATE("Z-",JI4)</f>
        <v>Z-1</v>
      </c>
      <c r="JK4" s="46" t="str">
        <f>CONCATENATE("R-",JI4)</f>
        <v>R-1</v>
      </c>
      <c r="JL4" s="46">
        <v>1</v>
      </c>
      <c r="JM4" s="46" t="str">
        <f>CONCATENATE("Z-",JL4)</f>
        <v>Z-1</v>
      </c>
      <c r="JN4" s="46" t="str">
        <f>CONCATENATE("R-",JL4)</f>
        <v>R-1</v>
      </c>
      <c r="JO4" s="46">
        <v>1</v>
      </c>
      <c r="JP4" s="46" t="str">
        <f>CONCATENATE("Z-",JO4)</f>
        <v>Z-1</v>
      </c>
      <c r="JQ4" s="46" t="str">
        <f>CONCATENATE("R-",JO4)</f>
        <v>R-1</v>
      </c>
      <c r="JR4" s="46">
        <v>1</v>
      </c>
      <c r="JS4" s="46" t="str">
        <f>CONCATENATE("Z-",JR4)</f>
        <v>Z-1</v>
      </c>
      <c r="JT4" s="46" t="str">
        <f>CONCATENATE("R-",JR4)</f>
        <v>R-1</v>
      </c>
      <c r="JU4" s="46">
        <v>1</v>
      </c>
      <c r="JV4" s="46" t="str">
        <f>CONCATENATE("Z-",JU4)</f>
        <v>Z-1</v>
      </c>
      <c r="JW4" s="46" t="str">
        <f>CONCATENATE("R-",JU4)</f>
        <v>R-1</v>
      </c>
      <c r="JX4" s="46">
        <v>1</v>
      </c>
      <c r="JY4" s="46" t="str">
        <f>CONCATENATE("Z-",JX4)</f>
        <v>Z-1</v>
      </c>
      <c r="JZ4" s="46" t="str">
        <f>CONCATENATE("R-",JX4)</f>
        <v>R-1</v>
      </c>
      <c r="KA4" s="48">
        <v>1</v>
      </c>
      <c r="KB4" s="46" t="str">
        <f>CONCATENATE("Z-",KA4)</f>
        <v>Z-1</v>
      </c>
      <c r="KC4" s="46" t="str">
        <f>CONCATENATE("R-",KA4)</f>
        <v>R-1</v>
      </c>
      <c r="KD4" s="46">
        <v>1</v>
      </c>
      <c r="KE4" s="46" t="str">
        <f>CONCATENATE("Z-",KD4)</f>
        <v>Z-1</v>
      </c>
      <c r="KF4" s="46" t="str">
        <f>CONCATENATE("R-",KD4)</f>
        <v>R-1</v>
      </c>
      <c r="KG4" s="46">
        <v>1</v>
      </c>
      <c r="KH4" s="46" t="str">
        <f>CONCATENATE("Z-",KG4)</f>
        <v>Z-1</v>
      </c>
      <c r="KI4" s="46" t="str">
        <f>CONCATENATE("R-",KG4)</f>
        <v>R-1</v>
      </c>
      <c r="KJ4" s="46">
        <v>1</v>
      </c>
      <c r="KK4" s="46" t="str">
        <f>CONCATENATE("Z-",KJ4)</f>
        <v>Z-1</v>
      </c>
      <c r="KL4" s="46" t="str">
        <f>CONCATENATE("R-",KJ4)</f>
        <v>R-1</v>
      </c>
      <c r="KM4" s="46">
        <v>1</v>
      </c>
      <c r="KN4" s="46" t="str">
        <f>CONCATENATE("Z-",KM4)</f>
        <v>Z-1</v>
      </c>
      <c r="KO4" s="46" t="str">
        <f>CONCATENATE("R-",KM4)</f>
        <v>R-1</v>
      </c>
      <c r="KP4" s="46">
        <v>1</v>
      </c>
      <c r="KQ4" s="46" t="str">
        <f>CONCATENATE("Z-",KP4)</f>
        <v>Z-1</v>
      </c>
      <c r="KR4" s="46" t="str">
        <f>CONCATENATE("R-",KP4)</f>
        <v>R-1</v>
      </c>
      <c r="KS4" s="46">
        <v>1</v>
      </c>
      <c r="KT4" s="46" t="str">
        <f>CONCATENATE("Z-",KS4)</f>
        <v>Z-1</v>
      </c>
      <c r="KU4" s="46" t="str">
        <f>CONCATENATE("R-",KS4)</f>
        <v>R-1</v>
      </c>
      <c r="KV4" s="48">
        <v>1</v>
      </c>
      <c r="KW4" s="46" t="str">
        <f>CONCATENATE("Z-",KV4)</f>
        <v>Z-1</v>
      </c>
      <c r="KX4" s="46" t="str">
        <f>CONCATENATE("R-",KV4)</f>
        <v>R-1</v>
      </c>
      <c r="KY4" s="46">
        <v>1</v>
      </c>
      <c r="KZ4" s="3" t="str">
        <f>CONCATENATE("Z-",KY4)</f>
        <v>Z-1</v>
      </c>
      <c r="LA4" s="3" t="str">
        <f>CONCATENATE("R-",KY4)</f>
        <v>R-1</v>
      </c>
      <c r="LB4" s="13" t="s">
        <v>23</v>
      </c>
      <c r="LC4" s="14"/>
      <c r="LD4" s="15" t="s">
        <v>24</v>
      </c>
      <c r="LE4" s="16"/>
      <c r="LF4" s="17" t="s">
        <v>25</v>
      </c>
      <c r="LG4" s="18"/>
      <c r="LH4" s="19" t="s">
        <v>26</v>
      </c>
      <c r="LI4" s="20" t="s">
        <v>27</v>
      </c>
      <c r="LJ4" s="19" t="s">
        <v>30</v>
      </c>
      <c r="LK4" s="20" t="s">
        <v>31</v>
      </c>
      <c r="LL4" s="20" t="s">
        <v>32</v>
      </c>
      <c r="LN4" s="42" t="s">
        <v>39</v>
      </c>
      <c r="LO4" s="42" t="s">
        <v>40</v>
      </c>
    </row>
    <row r="5" spans="1:334" s="63" customFormat="1" ht="15" customHeight="1">
      <c r="A5" s="50">
        <f>COUNTA($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B5" s="50">
        <f>COUNT($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C5" s="117">
        <v>68</v>
      </c>
      <c r="D5" s="118" t="s">
        <v>110</v>
      </c>
      <c r="E5" s="286" t="s">
        <v>592</v>
      </c>
      <c r="F5" s="289"/>
      <c r="G5" s="289"/>
      <c r="H5" s="119" t="s">
        <v>111</v>
      </c>
      <c r="I5" s="286" t="s">
        <v>526</v>
      </c>
      <c r="J5" s="119" t="s">
        <v>112</v>
      </c>
      <c r="K5" s="119" t="s">
        <v>9</v>
      </c>
      <c r="L5" s="53" t="s">
        <v>113</v>
      </c>
      <c r="M5" s="292" t="s">
        <v>35</v>
      </c>
      <c r="N5" s="270"/>
      <c r="O5" s="85" t="str">
        <f t="shared" ref="O5:O35" si="0">IF(COUNT(N5)=0,"",(N5-N$105)/N$106)</f>
        <v/>
      </c>
      <c r="P5" s="85" t="str">
        <f t="shared" ref="P5:P36" si="1">IFERROR((N$107-RANK(N5,(N$5:N$103),0))/(N$107-1),"")</f>
        <v/>
      </c>
      <c r="Q5" s="84"/>
      <c r="R5" s="85" t="str">
        <f t="shared" ref="R5:R35" si="2">IF(COUNT(Q5)=0,"",(Q5-Q$105)/Q$106)</f>
        <v/>
      </c>
      <c r="S5" s="85" t="str">
        <f t="shared" ref="S5:S36" si="3">IFERROR((Q$107-RANK(Q5,(Q$5:Q$103),0))/(Q$107-1),"")</f>
        <v/>
      </c>
      <c r="T5" s="270"/>
      <c r="U5" s="85" t="str">
        <f t="shared" ref="U5:U35" si="4">IF(COUNT(T5)=0,"",(T5-T$105)/T$106)</f>
        <v/>
      </c>
      <c r="V5" s="85" t="str">
        <f t="shared" ref="V5:V36" si="5">IFERROR((T$107-RANK(T5,(T$5:T$103),0))/(T$107-1),"")</f>
        <v/>
      </c>
      <c r="W5" s="270"/>
      <c r="X5" s="85" t="str">
        <f t="shared" ref="X5:X35" si="6">IF(COUNT(W5)=0,"",(W5-W$105)/W$106)</f>
        <v/>
      </c>
      <c r="Y5" s="85" t="str">
        <f t="shared" ref="Y5:Y36" si="7">IFERROR((W$107-RANK(W5,(W$5:W$103),0))/(W$107-1),"")</f>
        <v/>
      </c>
      <c r="Z5" s="84">
        <v>85</v>
      </c>
      <c r="AA5" s="85">
        <f t="shared" ref="AA5:AA35" si="8">IF(COUNT(Z5)=0,"",(Z5-Z$105)/Z$106)</f>
        <v>0.49699954427398407</v>
      </c>
      <c r="AB5" s="85">
        <f t="shared" ref="AB5:AB36" si="9">IFERROR((Z$107-RANK(Z5,(Z$5:Z$103),0))/(Z$107-1),"")</f>
        <v>0.75</v>
      </c>
      <c r="AC5" s="84"/>
      <c r="AD5" s="85" t="str">
        <f t="shared" ref="AD5:AD35" si="10">IF(COUNT(AC5)=0,"",(AC5-AC$105)/AC$106)</f>
        <v/>
      </c>
      <c r="AE5" s="85" t="str">
        <f t="shared" ref="AE5:AE36" si="11">IFERROR((AC$107-RANK(AC5,(AC$5:AC$103),0))/(AC$107-1),"")</f>
        <v/>
      </c>
      <c r="AF5" s="84"/>
      <c r="AG5" s="85" t="str">
        <f t="shared" ref="AG5:AG35" si="12">IF(COUNT(AF5)=0,"",(AF5-AF$105)/AF$106)</f>
        <v/>
      </c>
      <c r="AH5" s="85" t="str">
        <f t="shared" ref="AH5:AH36" si="13">IFERROR((AF$107-RANK(AF5,(AF$5:AF$103),0))/(AF$107-1),"")</f>
        <v/>
      </c>
      <c r="AI5" s="84"/>
      <c r="AJ5" s="85" t="str">
        <f t="shared" ref="AJ5:AJ35" si="14">IF(COUNT(AI5)=0,"",(AI5-AI$105)/AI$106)</f>
        <v/>
      </c>
      <c r="AK5" s="85" t="str">
        <f t="shared" ref="AK5:AK36" si="15">IFERROR((AI$107-RANK(AI5,(AI$5:AI$103),0))/(AI$107-1),"")</f>
        <v/>
      </c>
      <c r="AL5" s="84"/>
      <c r="AM5" s="85" t="str">
        <f t="shared" ref="AM5:AM35" si="16">IF(COUNT(AL5)=0,"",(AL5-AL$105)/AL$106)</f>
        <v/>
      </c>
      <c r="AN5" s="85" t="str">
        <f t="shared" ref="AN5:AN36" si="17">IFERROR((AL$107-RANK(AL5,(AL$5:AL$103),0))/(AL$107-1),"")</f>
        <v/>
      </c>
      <c r="AO5" s="86">
        <v>84</v>
      </c>
      <c r="AP5" s="85">
        <f t="shared" ref="AP5:AP35" si="18">IF(COUNT(AO5)=0,"",(AO5-AO$105)/AO$106)</f>
        <v>5.8470534620469444E-2</v>
      </c>
      <c r="AQ5" s="85">
        <f t="shared" ref="AQ5:AQ36" si="19">IFERROR((AO$107-RANK(AO5,(AO$5:AO$103),0))/(AO$107-1),"")</f>
        <v>0.5</v>
      </c>
      <c r="AR5" s="84"/>
      <c r="AS5" s="85" t="str">
        <f t="shared" ref="AS5:AS35" si="20">IF(COUNT(AR5)=0,"",(AR5-AR$105)/AR$106)</f>
        <v/>
      </c>
      <c r="AT5" s="85" t="str">
        <f t="shared" ref="AT5:AT36" si="21">IFERROR((AR$107-RANK(AR5,(AR$5:AR$103),0))/(AR$107-1),"")</f>
        <v/>
      </c>
      <c r="AU5" s="84"/>
      <c r="AV5" s="85" t="str">
        <f t="shared" ref="AV5:AV35" si="22">IF(COUNT(AU5)=0,"",(AU5-AU$105)/AU$106)</f>
        <v/>
      </c>
      <c r="AW5" s="85" t="str">
        <f t="shared" ref="AW5:AW36" si="23">IFERROR((AU$107-RANK(AU5,(AU$5:AU$103),0))/(AU$107-1),"")</f>
        <v/>
      </c>
      <c r="AX5" s="84"/>
      <c r="AY5" s="85" t="str">
        <f t="shared" ref="AY5:AY35" si="24">IF(COUNT(AX5)=0,"",(AX5-AX$105)/AX$106)</f>
        <v/>
      </c>
      <c r="AZ5" s="85" t="str">
        <f t="shared" ref="AZ5:AZ36" si="25">IFERROR((AX$107-RANK(AX5,(AX$5:AX$103),0))/(AX$107-1),"")</f>
        <v/>
      </c>
      <c r="BA5" s="84"/>
      <c r="BB5" s="85" t="str">
        <f t="shared" ref="BB5:BB35" si="26">IF(COUNT(BA5)=0,"",(BA5-BA$105)/BA$106)</f>
        <v/>
      </c>
      <c r="BC5" s="85" t="str">
        <f t="shared" ref="BC5:BC36" si="27">IFERROR((BA$107-RANK(BA5,(BA$5:BA$103),0))/(BA$107-1),"")</f>
        <v/>
      </c>
      <c r="BD5" s="84"/>
      <c r="BE5" s="85" t="str">
        <f t="shared" ref="BE5:BE35" si="28">IF(COUNT(BD5)=0,"",(BD5-BD$105)/BD$106)</f>
        <v/>
      </c>
      <c r="BF5" s="85" t="str">
        <f t="shared" ref="BF5:BF36" si="29">IFERROR((BD$107-RANK(BD5,(BD$5:BD$103),0))/(BD$107-1),"")</f>
        <v/>
      </c>
      <c r="BG5" s="84"/>
      <c r="BH5" s="85" t="str">
        <f t="shared" ref="BH5:BH35" si="30">IF(COUNT(BG5)=0,"",(BG5-BG$105)/BG$106)</f>
        <v/>
      </c>
      <c r="BI5" s="85" t="str">
        <f t="shared" ref="BI5:BI36" si="31">IFERROR((BG$107-RANK(BG5,(BG$5:BG$103),0))/(BG$107-1),"")</f>
        <v/>
      </c>
      <c r="BJ5" s="84"/>
      <c r="BK5" s="85" t="str">
        <f t="shared" ref="BK5:BK35" si="32">IF(COUNT(BJ5)=0,"",(BJ5-BJ$105)/BJ$106)</f>
        <v/>
      </c>
      <c r="BL5" s="85" t="str">
        <f t="shared" ref="BL5:BL36" si="33">IFERROR((BJ$107-RANK(BJ5,(BJ$5:BJ$103),0))/(BJ$107-1),"")</f>
        <v/>
      </c>
      <c r="BM5" s="84"/>
      <c r="BN5" s="85" t="str">
        <f t="shared" ref="BN5:BN35" si="34">IF(COUNT(BM5)=0,"",(BM5-BM$105)/BM$106)</f>
        <v/>
      </c>
      <c r="BO5" s="85" t="str">
        <f t="shared" ref="BO5:BO36" si="35">IFERROR((BM$107-RANK(BM5,(BM$5:BM$103),0))/(BM$107-1),"")</f>
        <v/>
      </c>
      <c r="BP5" s="87"/>
      <c r="BQ5" s="85" t="str">
        <f t="shared" ref="BQ5:BQ35" si="36">IF(COUNT(BP5)=0,"",(BP5-BP$105)/BP$106)</f>
        <v/>
      </c>
      <c r="BR5" s="85" t="str">
        <f t="shared" ref="BR5:BR36" si="37">IFERROR((BP$107-RANK(BP5,(BP$5:BP$103),0))/(BP$107-1),"")</f>
        <v/>
      </c>
      <c r="BS5" s="84"/>
      <c r="BT5" s="85" t="str">
        <f t="shared" ref="BT5:BT35" si="38">IF(COUNT(BS5)=0,"",(BS5-BS$105)/BS$106)</f>
        <v/>
      </c>
      <c r="BU5" s="85" t="str">
        <f t="shared" ref="BU5:BU36" si="39">IFERROR((BS$107-RANK(BS5,(BS$5:BS$103),0))/(BS$107-1),"")</f>
        <v/>
      </c>
      <c r="BV5" s="56"/>
      <c r="BW5" s="85" t="str">
        <f t="shared" ref="BW5:BW35" si="40">IF(COUNT(BV5)=0,"",(BV5-BV$105)/BV$106)</f>
        <v/>
      </c>
      <c r="BX5" s="85" t="str">
        <f t="shared" ref="BX5:BX36" si="41">IFERROR((BV$107-RANK(BV5,(BV$5:BV$103),0))/(BV$107-1),"")</f>
        <v/>
      </c>
      <c r="BY5" s="84"/>
      <c r="BZ5" s="85" t="str">
        <f t="shared" ref="BZ5:BZ35" si="42">IF(COUNT(BY5)=0,"",(BY5-BY$105)/BY$106)</f>
        <v/>
      </c>
      <c r="CA5" s="85" t="str">
        <f t="shared" ref="CA5:CA36" si="43">IFERROR((BY$107-RANK(BY5,(BY$5:BY$103),0))/(BY$107-1),"")</f>
        <v/>
      </c>
      <c r="CB5" s="84"/>
      <c r="CC5" s="85" t="str">
        <f t="shared" ref="CC5:CC35" si="44">IF(COUNT(CB5)=0,"",(CB5-CB$105)/CB$106)</f>
        <v/>
      </c>
      <c r="CD5" s="85" t="str">
        <f t="shared" ref="CD5:CD36" si="45">IFERROR((CB$107-RANK(CB5,(CB$5:CB$103),0))/(CB$107-1),"")</f>
        <v/>
      </c>
      <c r="CE5" s="89"/>
      <c r="CF5" s="85" t="str">
        <f t="shared" ref="CF5:CF35" si="46">IF(COUNT(CE5)=0,"",(CE5-CE$105)/CE$106)</f>
        <v/>
      </c>
      <c r="CG5" s="85" t="str">
        <f t="shared" ref="CG5:CG36" si="47">IFERROR((CE$107-RANK(CE5,(CE$5:CE$103),0))/(CE$107-1),"")</f>
        <v/>
      </c>
      <c r="CH5" s="84"/>
      <c r="CI5" s="85" t="str">
        <f t="shared" ref="CI5:CI35" si="48">IF(COUNT(CH5)=0,"",(CH5-CH$105)/CH$106)</f>
        <v/>
      </c>
      <c r="CJ5" s="85" t="str">
        <f t="shared" ref="CJ5:CJ36" si="49">IFERROR((CH$107-RANK(CH5,(CH$5:CH$103),0))/(CH$107-1),"")</f>
        <v/>
      </c>
      <c r="CK5" s="90"/>
      <c r="CL5" s="85" t="str">
        <f t="shared" ref="CL5:CL35" si="50">IF(COUNT(CK5)=0,"",(CK5-CK$105)/CK$106)</f>
        <v/>
      </c>
      <c r="CM5" s="85" t="str">
        <f t="shared" ref="CM5:CM36" si="51">IFERROR((CK$107-RANK(CK5,(CK$5:CK$103),0))/(CK$107-1),"")</f>
        <v/>
      </c>
      <c r="CN5" s="86"/>
      <c r="CO5" s="85" t="str">
        <f t="shared" ref="CO5:CO35" si="52">IF(COUNT(CN5)=0,"",(CN5-CN$105)/CN$106)</f>
        <v/>
      </c>
      <c r="CP5" s="85" t="str">
        <f t="shared" ref="CP5:CP36" si="53">IFERROR((CN$107-RANK(CN5,(CN$5:CN$103),0))/(CN$107-1),"")</f>
        <v/>
      </c>
      <c r="CQ5" s="88"/>
      <c r="CR5" s="85" t="str">
        <f t="shared" ref="CR5:CR35" si="54">IF(COUNT(CQ5)=0,"",(CQ5-CQ$105)/CQ$106)</f>
        <v/>
      </c>
      <c r="CS5" s="85" t="str">
        <f t="shared" ref="CS5:CS36" si="55">IFERROR((CQ$107-RANK(CQ5,(CQ$5:CQ$103),0))/(CQ$107-1),"")</f>
        <v/>
      </c>
      <c r="CT5" s="86">
        <v>85</v>
      </c>
      <c r="CU5" s="85">
        <f t="shared" ref="CU5:CU35" si="56">IF(COUNT(CT5)=0,"",(CT5-CT$105)/CT$106)</f>
        <v>0.13733412557601687</v>
      </c>
      <c r="CV5" s="85">
        <f t="shared" ref="CV5:CV36" si="57">IFERROR((CT$107-RANK(CT5,(CT$5:CT$103),0))/(CT$107-1),"")</f>
        <v>0.6</v>
      </c>
      <c r="CW5" s="84"/>
      <c r="CX5" s="85" t="str">
        <f t="shared" ref="CX5:CX35" si="58">IF(COUNT(CW5)=0,"",(CW5-CW$105)/CW$106)</f>
        <v/>
      </c>
      <c r="CY5" s="85" t="str">
        <f t="shared" ref="CY5:CY36" si="59">IFERROR((CW$107-RANK(CW5,(CW$5:CW$103),0))/(CW$107-1),"")</f>
        <v/>
      </c>
      <c r="CZ5" s="84"/>
      <c r="DA5" s="85" t="str">
        <f t="shared" ref="DA5:DA35" si="60">IF(COUNT(CZ5)=0,"",(CZ5-CZ$105)/CZ$106)</f>
        <v/>
      </c>
      <c r="DB5" s="85" t="str">
        <f t="shared" ref="DB5:DB36" si="61">IFERROR((CZ$107-RANK(CZ5,(CZ$5:CZ$103),0))/(CZ$107-1),"")</f>
        <v/>
      </c>
      <c r="DC5" s="84"/>
      <c r="DD5" s="85" t="str">
        <f t="shared" ref="DD5:DD35" si="62">IF(COUNT(DC5)=0,"",(DC5-DC$105)/DC$106)</f>
        <v/>
      </c>
      <c r="DE5" s="85" t="str">
        <f t="shared" ref="DE5:DE36" si="63">IFERROR((DC$107-RANK(DC5,(DC$5:DC$103),0))/(DC$107-1),"")</f>
        <v/>
      </c>
      <c r="DF5" s="56"/>
      <c r="DG5" s="85"/>
      <c r="DH5" s="85" t="str">
        <f t="shared" ref="DH5:DH36" si="64">IFERROR((DF$107-RANK(DF5,(DF$5:DF$103),0))/(DF$107-1),"")</f>
        <v/>
      </c>
      <c r="DI5" s="88"/>
      <c r="DJ5" s="85" t="str">
        <f t="shared" ref="DJ5:DJ35" si="65">IF(COUNT(DI5)=0,"",(DI5-DI$105)/DI$106)</f>
        <v/>
      </c>
      <c r="DK5" s="85" t="str">
        <f t="shared" ref="DK5:DK36" si="66">IFERROR((DI$107-RANK(DI5,(DI$5:DI$103),0))/(DI$107-1),"")</f>
        <v/>
      </c>
      <c r="DL5" s="84"/>
      <c r="DM5" s="85" t="str">
        <f t="shared" ref="DM5:DM35" si="67">IF(COUNT(DL5)=0,"",(DL5-DL$105)/DL$106)</f>
        <v/>
      </c>
      <c r="DN5" s="85" t="str">
        <f t="shared" ref="DN5:DN36" si="68">IFERROR((DL$107-RANK(DL5,(DL$5:DL$103),0))/(DL$107-1),"")</f>
        <v/>
      </c>
      <c r="DO5" s="84"/>
      <c r="DP5" s="85" t="str">
        <f t="shared" ref="DP5:DP35" si="69">IF(COUNT(DO5)=0,"",(DO5-DO$105)/DO$106)</f>
        <v/>
      </c>
      <c r="DQ5" s="85" t="str">
        <f t="shared" ref="DQ5:DQ36" si="70">IFERROR((DO$107-RANK(DO5,(DO$5:DO$103),0))/(DO$107-1),"")</f>
        <v/>
      </c>
      <c r="DR5" s="271">
        <v>71</v>
      </c>
      <c r="DS5" s="85">
        <f t="shared" ref="DS5:DS35" si="71">IF(COUNT(DR5)=0,"",(DR5-DR$105)/DR$106)</f>
        <v>0.61699760039249996</v>
      </c>
      <c r="DT5" s="85">
        <f t="shared" ref="DT5:DT36" si="72">IFERROR((DR$107-RANK(DR5,(DR$5:DR$103),0))/(DR$107-1),"")</f>
        <v>0.75</v>
      </c>
      <c r="DU5" s="84"/>
      <c r="DV5" s="85" t="str">
        <f t="shared" ref="DV5:DV35" si="73">IF(COUNT(DU5)=0,"",(DU5-DU$105)/DU$106)</f>
        <v/>
      </c>
      <c r="DW5" s="85" t="str">
        <f t="shared" ref="DW5:DW36" si="74">IFERROR((DU$107-RANK(DU5,(DU$5:DU$103),0))/(DU$107-1),"")</f>
        <v/>
      </c>
      <c r="DX5" s="84"/>
      <c r="DY5" s="85" t="str">
        <f t="shared" ref="DY5:DY35" si="75">IF(COUNT(DX5)=0,"",(DX5-DX$105)/DX$106)</f>
        <v/>
      </c>
      <c r="DZ5" s="85" t="str">
        <f t="shared" ref="DZ5:DZ36" si="76">IFERROR((DX$107-RANK(DX5,(DX$5:DX$103),0))/(DX$107-1),"")</f>
        <v/>
      </c>
      <c r="EA5" s="84"/>
      <c r="EB5" s="85" t="str">
        <f t="shared" ref="EB5:EB35" si="77">IF(COUNT(EA5)=0,"",(EA5-EA$105)/EA$106)</f>
        <v/>
      </c>
      <c r="EC5" s="85" t="str">
        <f t="shared" ref="EC5:EC36" si="78">IFERROR((EA$107-RANK(EA5,(EA$5:EA$103),0))/(EA$107-1),"")</f>
        <v/>
      </c>
      <c r="ED5" s="84"/>
      <c r="EE5" s="85" t="str">
        <f t="shared" ref="EE5:EE35" si="79">IF(COUNT(ED5)=0,"",(ED5-ED$105)/ED$106)</f>
        <v/>
      </c>
      <c r="EF5" s="85" t="str">
        <f t="shared" ref="EF5:EF36" si="80">IFERROR((ED$107-RANK(ED5,(ED$5:ED$103),0))/(ED$107-1),"")</f>
        <v/>
      </c>
      <c r="EG5" s="88"/>
      <c r="EH5" s="85" t="str">
        <f t="shared" ref="EH5:EH35" si="81">IF(COUNT(EG5)=0,"",(EG5-EG$105)/EG$106)</f>
        <v/>
      </c>
      <c r="EI5" s="85" t="str">
        <f t="shared" ref="EI5:EI36" si="82">IFERROR((EG$107-RANK(EG5,(EG$5:EG$103),0))/(EG$107-1),"")</f>
        <v/>
      </c>
      <c r="EJ5" s="84"/>
      <c r="EK5" s="85" t="str">
        <f t="shared" ref="EK5:EK35" si="83">IF(COUNT(EJ5)=0,"",(EJ5-EJ$105)/EJ$106)</f>
        <v/>
      </c>
      <c r="EL5" s="85" t="str">
        <f t="shared" ref="EL5:EL36" si="84">IFERROR((EJ$107-RANK(EJ5,(EJ$5:EJ$103),0))/(EJ$107-1),"")</f>
        <v/>
      </c>
      <c r="EM5" s="84"/>
      <c r="EN5" s="85" t="str">
        <f t="shared" ref="EN5:EN35" si="85">IF(COUNT(EM5)=0,"",(EM5-EM$105)/EM$106)</f>
        <v/>
      </c>
      <c r="EO5" s="85" t="str">
        <f t="shared" ref="EO5:EO36" si="86">IFERROR((EM$107-RANK(EM5,(EM$5:EM$103),0))/(EM$107-1),"")</f>
        <v/>
      </c>
      <c r="EP5" s="84"/>
      <c r="EQ5" s="85" t="str">
        <f t="shared" ref="EQ5:EQ35" si="87">IF(COUNT(EP5)=0,"",(EP5-EP$105)/EP$106)</f>
        <v/>
      </c>
      <c r="ER5" s="85" t="str">
        <f t="shared" ref="ER5:ER36" si="88">IFERROR((EP$107-RANK(EP5,(EP$5:EP$103),0))/(EP$107-1),"")</f>
        <v/>
      </c>
      <c r="ES5" s="87"/>
      <c r="ET5" s="85" t="str">
        <f t="shared" ref="ET5:ET35" si="89">IF(COUNT(ES5)=0,"",(ES5-ES$105)/ES$106)</f>
        <v/>
      </c>
      <c r="EU5" s="85" t="str">
        <f t="shared" ref="EU5:EU36" si="90">IFERROR((ES$107-RANK(ES5,(ES$5:ES$103),0))/(ES$107-1),"")</f>
        <v/>
      </c>
      <c r="EV5" s="84"/>
      <c r="EW5" s="85" t="str">
        <f t="shared" ref="EW5:EW35" si="91">IF(COUNT(EV5)=0,"",(EV5-EV$105)/EV$106)</f>
        <v/>
      </c>
      <c r="EX5" s="85" t="str">
        <f t="shared" ref="EX5:EX36" si="92">IFERROR((EV$107-RANK(EV5,(EV$5:EV$103),0))/(EV$107-1),"")</f>
        <v/>
      </c>
      <c r="EY5" s="84"/>
      <c r="EZ5" s="85" t="str">
        <f t="shared" ref="EZ5:EZ35" si="93">IF(COUNT(EY5)=0,"",(EY5-EY$105)/EY$106)</f>
        <v/>
      </c>
      <c r="FA5" s="85" t="str">
        <f t="shared" ref="FA5:FA36" si="94">IFERROR((EY$107-RANK(EY5,(EY$5:EY$103),0))/(EY$107-1),"")</f>
        <v/>
      </c>
      <c r="FB5" s="84"/>
      <c r="FC5" s="85" t="str">
        <f t="shared" ref="FC5:FC35" si="95">IF(COUNT(FB5)=0,"",(FB5-FB$105)/FB$106)</f>
        <v/>
      </c>
      <c r="FD5" s="85" t="str">
        <f t="shared" ref="FD5:FD36" si="96">IFERROR((FB$107-RANK(FB5,(FB$5:FB$103),0))/(FB$107-1),"")</f>
        <v/>
      </c>
      <c r="FE5" s="56"/>
      <c r="FF5" s="85" t="str">
        <f t="shared" ref="FF5:FF35" si="97">IF(COUNT(FE5)=0,"",(FE5-FE$105)/FE$106)</f>
        <v/>
      </c>
      <c r="FG5" s="85" t="str">
        <f t="shared" ref="FG5:FG36" si="98">IFERROR((FE$107-RANK(FE5,(FE$5:FE$103),0))/(FE$107-1),"")</f>
        <v/>
      </c>
      <c r="FH5" s="84"/>
      <c r="FI5" s="85" t="str">
        <f t="shared" ref="FI5:FI35" si="99">IF(COUNT(FH5)=0,"",(FH5-FH$105)/FH$106)</f>
        <v/>
      </c>
      <c r="FJ5" s="85" t="str">
        <f t="shared" ref="FJ5:FJ36" si="100">IFERROR((FH$107-RANK(FH5,(FH$5:FH$103),0))/(FH$107-1),"")</f>
        <v/>
      </c>
      <c r="FK5" s="56">
        <v>92</v>
      </c>
      <c r="FL5" s="85">
        <f t="shared" ref="FL5:FL35" si="101">IF(COUNT(FK5)=0,"",(FK5-FK$105)/FK$106)</f>
        <v>0.20671228876486686</v>
      </c>
      <c r="FM5" s="85">
        <f t="shared" ref="FM5:FM36" si="102">IFERROR((FK$107-RANK(FK5,(FK$5:FK$103),0))/(FK$107-1),"")</f>
        <v>0.75</v>
      </c>
      <c r="FN5" s="84"/>
      <c r="FO5" s="85" t="str">
        <f t="shared" ref="FO5:FO35" si="103">IF(COUNT(FN5)=0,"",(FN5-FN$105)/FN$106)</f>
        <v/>
      </c>
      <c r="FP5" s="85" t="str">
        <f t="shared" ref="FP5:FP36" si="104">IFERROR((FN$107-RANK(FN5,(FN$5:FN$103),0))/(FN$107-1),"")</f>
        <v/>
      </c>
      <c r="FQ5" s="84"/>
      <c r="FR5" s="85" t="str">
        <f t="shared" ref="FR5:FR35" si="105">IF(COUNT(FQ5)=0,"",(FQ5-FQ$105)/FQ$106)</f>
        <v/>
      </c>
      <c r="FS5" s="85" t="str">
        <f t="shared" ref="FS5:FS36" si="106">IFERROR((FQ$107-RANK(FQ5,(FQ$5:FQ$103),0))/(FQ$107-1),"")</f>
        <v/>
      </c>
      <c r="FT5" s="90"/>
      <c r="FU5" s="85" t="str">
        <f t="shared" ref="FU5:FU35" si="107">IF(COUNT(FT5)=0,"",(FT5-FT$105)/FT$106)</f>
        <v/>
      </c>
      <c r="FV5" s="85" t="str">
        <f t="shared" ref="FV5:FV36" si="108">IFERROR((FT$107-RANK(FT5,(FT$5:FT$103),0))/(FT$107-1),"")</f>
        <v/>
      </c>
      <c r="FW5" s="90"/>
      <c r="FX5" s="85" t="str">
        <f t="shared" ref="FX5:FX35" si="109">IF(COUNT(FW5)=0,"",(FW5-FW$105)/FW$106)</f>
        <v/>
      </c>
      <c r="FY5" s="85" t="str">
        <f t="shared" ref="FY5:FY36" si="110">IFERROR((FW$107-RANK(FW5,(FW$5:FW$103),0))/(FW$107-1),"")</f>
        <v/>
      </c>
      <c r="FZ5" s="90"/>
      <c r="GA5" s="85" t="str">
        <f t="shared" ref="GA5:GA35" si="111">IF(COUNT(FZ5)=0,"",(FZ5-FZ$105)/FZ$106)</f>
        <v/>
      </c>
      <c r="GB5" s="85" t="str">
        <f t="shared" ref="GB5:GB36" si="112">IFERROR((FZ$107-RANK(FZ5,(FZ$5:FZ$103),0))/(FZ$107-1),"")</f>
        <v/>
      </c>
      <c r="GC5" s="84"/>
      <c r="GD5" s="85" t="str">
        <f t="shared" ref="GD5:GD35" si="113">IF(COUNT(GC5)=0,"",(GC5-GC$105)/GC$106)</f>
        <v/>
      </c>
      <c r="GE5" s="85" t="str">
        <f t="shared" ref="GE5:GE36" si="114">IFERROR((GC$107-RANK(GC5,(GC$5:GC$103),0))/(GC$107-1),"")</f>
        <v/>
      </c>
      <c r="GF5" s="56"/>
      <c r="GG5" s="85" t="str">
        <f t="shared" ref="GG5:GG35" si="115">IF(COUNT(GF5)=0,"",(GF5-GF$105)/GF$106)</f>
        <v/>
      </c>
      <c r="GH5" s="85" t="str">
        <f t="shared" ref="GH5:GH36" si="116">IFERROR((GF$107-RANK(GF5,(GF$5:GF$103),0))/(GF$107-1),"")</f>
        <v/>
      </c>
      <c r="GI5" s="84"/>
      <c r="GJ5" s="85" t="str">
        <f t="shared" ref="GJ5:GJ35" si="117">IF(COUNT(GI5)=0,"",(GI5-GI$105)/GI$106)</f>
        <v/>
      </c>
      <c r="GK5" s="85" t="str">
        <f t="shared" ref="GK5:GK36" si="118">IFERROR((GI$107-RANK(GI5,(GI$5:GI$103),0))/(GI$107-1),"")</f>
        <v/>
      </c>
      <c r="GL5" s="56"/>
      <c r="GM5" s="85" t="str">
        <f t="shared" ref="GM5:GM35" si="119">IF(COUNT(GL5)=0,"",(GL5-GL$105)/GL$106)</f>
        <v/>
      </c>
      <c r="GN5" s="85" t="str">
        <f t="shared" ref="GN5:GN36" si="120">IFERROR((GL$107-RANK(GL5,(GL$5:GL$103),0))/(GL$107-1),"")</f>
        <v/>
      </c>
      <c r="GO5" s="84"/>
      <c r="GP5" s="85" t="str">
        <f t="shared" ref="GP5:GP35" si="121">IF(COUNT(GO5)=0,"",(GO5-GO$105)/GO$106)</f>
        <v/>
      </c>
      <c r="GQ5" s="85" t="str">
        <f t="shared" ref="GQ5:GQ36" si="122">IFERROR((GO$107-RANK(GO5,(GO$5:GO$103),0))/(GO$107-1),"")</f>
        <v/>
      </c>
      <c r="GR5" s="84"/>
      <c r="GS5" s="85" t="str">
        <f t="shared" ref="GS5:GS35" si="123">IF(COUNT(GR5)=0,"",(GR5-GR$105)/GR$106)</f>
        <v/>
      </c>
      <c r="GT5" s="85" t="str">
        <f t="shared" ref="GT5:GT36" si="124">IFERROR((GR$107-RANK(GR5,(GR$5:GR$103),0))/(GR$107-1),"")</f>
        <v/>
      </c>
      <c r="GU5" s="84"/>
      <c r="GV5" s="85" t="str">
        <f t="shared" ref="GV5:GV35" si="125">IF(COUNT(GU5)=0,"",(GU5-GU$105)/GU$106)</f>
        <v/>
      </c>
      <c r="GW5" s="85" t="str">
        <f t="shared" ref="GW5:GW36" si="126">IFERROR((GU$107-RANK(GU5,(GU$5:GU$103),0))/(GU$107-1),"")</f>
        <v/>
      </c>
      <c r="GX5" s="84"/>
      <c r="GY5" s="85" t="str">
        <f t="shared" ref="GY5:GY35" si="127">IF(COUNT(GX5)=0,"",(GX5-GX$105)/GX$106)</f>
        <v/>
      </c>
      <c r="GZ5" s="85" t="str">
        <f t="shared" ref="GZ5:GZ36" si="128">IFERROR((GX$107-RANK(GX5,(GX$5:GX$103),0))/(GX$107-1),"")</f>
        <v/>
      </c>
      <c r="HA5" s="84"/>
      <c r="HB5" s="85" t="str">
        <f t="shared" ref="HB5:HB35" si="129">IF(COUNT(HA5)=0,"",(HA5-HA$105)/HA$106)</f>
        <v/>
      </c>
      <c r="HC5" s="85" t="str">
        <f t="shared" ref="HC5:HC36" si="130">IFERROR((HA$107-RANK(HA5,(HA$5:HA$103),0))/(HA$107-1),"")</f>
        <v/>
      </c>
      <c r="HD5" s="84"/>
      <c r="HE5" s="85" t="str">
        <f t="shared" ref="HE5:HE35" si="131">IF(COUNT(HD5)=0,"",(HD5-HD$105)/HD$106)</f>
        <v/>
      </c>
      <c r="HF5" s="85" t="str">
        <f t="shared" ref="HF5:HF36" si="132">IFERROR((HD$107-RANK(HD5,(HD$5:HD$103),0))/(HD$107-1),"")</f>
        <v/>
      </c>
      <c r="HG5" s="84"/>
      <c r="HH5" s="85" t="str">
        <f t="shared" ref="HH5:HH35" si="133">IF(COUNT(HG5)=0,"",(HG5-HG$105)/HG$106)</f>
        <v/>
      </c>
      <c r="HI5" s="85" t="str">
        <f t="shared" ref="HI5:HI36" si="134">IFERROR((HG$107-RANK(HG5,(HG$5:HG$103),0))/(HG$107-1),"")</f>
        <v/>
      </c>
      <c r="HJ5" s="84"/>
      <c r="HK5" s="85" t="str">
        <f t="shared" ref="HK5:HK35" si="135">IF(COUNT(HJ5)=0,"",(HJ5-HJ$105)/HJ$106)</f>
        <v/>
      </c>
      <c r="HL5" s="85" t="str">
        <f t="shared" ref="HL5:HL36" si="136">IFERROR((HJ$107-RANK(HJ5,(HJ$5:HJ$103),0))/(HJ$107-1),"")</f>
        <v/>
      </c>
      <c r="HM5" s="84"/>
      <c r="HN5" s="85" t="str">
        <f t="shared" ref="HN5:HN35" si="137">IF(COUNT(HM5)=0,"",(HM5-HM$105)/HM$106)</f>
        <v/>
      </c>
      <c r="HO5" s="85" t="str">
        <f t="shared" ref="HO5:HO36" si="138">IFERROR((HM$107-RANK(HM5,(HM$5:HM$103),0))/(HM$107-1),"")</f>
        <v/>
      </c>
      <c r="HP5" s="84"/>
      <c r="HQ5" s="85" t="str">
        <f t="shared" ref="HQ5:HQ35" si="139">IF(COUNT(HP5)=0,"",(HP5-HP$105)/HP$106)</f>
        <v/>
      </c>
      <c r="HR5" s="85" t="str">
        <f t="shared" ref="HR5:HR36" si="140">IFERROR((HP$107-RANK(HP5,(HP$5:HP$103),0))/(HP$107-1),"")</f>
        <v/>
      </c>
      <c r="HS5" s="84"/>
      <c r="HT5" s="85" t="str">
        <f t="shared" ref="HT5:HT35" si="141">IF(COUNT(HS5)=0,"",(HS5-HS$105)/HS$106)</f>
        <v/>
      </c>
      <c r="HU5" s="85" t="str">
        <f t="shared" ref="HU5:HU36" si="142">IFERROR((HS$107-RANK(HS5,(HS$5:HS$103),0))/(HS$107-1),"")</f>
        <v/>
      </c>
      <c r="HV5" s="84"/>
      <c r="HW5" s="85" t="str">
        <f t="shared" ref="HW5:HW35" si="143">IF(COUNT(HV5)=0,"",(HV5-HV$105)/HV$106)</f>
        <v/>
      </c>
      <c r="HX5" s="85" t="str">
        <f t="shared" ref="HX5:HX36" si="144">IFERROR((HV$107-RANK(HV5,(HV$5:HV$103),0))/(HV$107-1),"")</f>
        <v/>
      </c>
      <c r="HY5" s="84"/>
      <c r="HZ5" s="85" t="str">
        <f t="shared" ref="HZ5:HZ35" si="145">IF(COUNT(HY5)=0,"",(HY5-HY$105)/HY$106)</f>
        <v/>
      </c>
      <c r="IA5" s="85" t="str">
        <f t="shared" ref="IA5:IA36" si="146">IFERROR((HY$107-RANK(HY5,(HY$5:HY$103),0))/(HY$107-1),"")</f>
        <v/>
      </c>
      <c r="IB5" s="84"/>
      <c r="IC5" s="85" t="str">
        <f t="shared" ref="IC5:IC35" si="147">IF(COUNT(IB5)=0,"",(IB5-IB$105)/IB$106)</f>
        <v/>
      </c>
      <c r="ID5" s="85" t="str">
        <f t="shared" ref="ID5:ID36" si="148">IFERROR((IB$107-RANK(IB5,(IB$5:IB$103),0))/(IB$107-1),"")</f>
        <v/>
      </c>
      <c r="IE5" s="84"/>
      <c r="IF5" s="85" t="str">
        <f t="shared" ref="IF5:IF35" si="149">IF(COUNT(IE5)=0,"",(IE5-IE$105)/IE$106)</f>
        <v/>
      </c>
      <c r="IG5" s="85" t="str">
        <f t="shared" ref="IG5:IG36" si="150">IFERROR((IE$107-RANK(IE5,(IE$5:IE$103),0))/(IE$107-1),"")</f>
        <v/>
      </c>
      <c r="IH5" s="84"/>
      <c r="II5" s="85" t="str">
        <f t="shared" ref="II5:II35" si="151">IF(COUNT(IH5)=0,"",(IH5-IH$105)/IH$106)</f>
        <v/>
      </c>
      <c r="IJ5" s="85" t="str">
        <f t="shared" ref="IJ5:IJ36" si="152">IFERROR((IH$107-RANK(IH5,(IH$5:IH$103),0))/(IH$107-1),"")</f>
        <v/>
      </c>
      <c r="IK5" s="84"/>
      <c r="IL5" s="85" t="str">
        <f t="shared" ref="IL5:IL35" si="153">IF(COUNT(IK5)=0,"",(IK5-IK$105)/IK$106)</f>
        <v/>
      </c>
      <c r="IM5" s="85" t="str">
        <f t="shared" ref="IM5:IM36" si="154">IFERROR((IK$107-RANK(IK5,(IK$5:IK$103),0))/(IK$107-1),"")</f>
        <v/>
      </c>
      <c r="IN5" s="84"/>
      <c r="IO5" s="85" t="str">
        <f t="shared" ref="IO5:IO35" si="155">IF(COUNT(IN5)=0,"",(IN5-IN$105)/IN$106)</f>
        <v/>
      </c>
      <c r="IP5" s="85" t="str">
        <f t="shared" ref="IP5:IP36" si="156">IFERROR((IN$107-RANK(IN5,(IN$5:IN$103),0))/(IN$107-1),"")</f>
        <v/>
      </c>
      <c r="IQ5" s="84"/>
      <c r="IR5" s="85" t="str">
        <f t="shared" ref="IR5:IR35" si="157">IF(COUNT(IQ5)=0,"",(IQ5-IQ$105)/IQ$106)</f>
        <v/>
      </c>
      <c r="IS5" s="85" t="str">
        <f t="shared" ref="IS5:IS36" si="158">IFERROR((IQ$107-RANK(IQ5,(IQ$5:IQ$103),0))/(IQ$107-1),"")</f>
        <v/>
      </c>
      <c r="IT5" s="84"/>
      <c r="IU5" s="85" t="str">
        <f t="shared" ref="IU5:IU35" si="159">IF(COUNT(IT5)=0,"",(IT5-IT$105)/IT$106)</f>
        <v/>
      </c>
      <c r="IV5" s="85" t="str">
        <f t="shared" ref="IV5:IV36" si="160">IFERROR((IT$107-RANK(IT5,(IT$5:IT$103),0))/(IT$107-1),"")</f>
        <v/>
      </c>
      <c r="IW5" s="84"/>
      <c r="IX5" s="85" t="str">
        <f t="shared" ref="IX5:IX35" si="161">IF(COUNT(IW5)=0,"",(IW5-IW$105)/IW$106)</f>
        <v/>
      </c>
      <c r="IY5" s="85" t="str">
        <f t="shared" ref="IY5:IY36" si="162">IFERROR((IW$107-RANK(IW5,(IW$5:IW$103),0))/(IW$107-1),"")</f>
        <v/>
      </c>
      <c r="IZ5" s="84"/>
      <c r="JA5" s="85" t="str">
        <f t="shared" ref="JA5:JA35" si="163">IF(COUNT(IZ5)=0,"",(IZ5-IZ$105)/IZ$106)</f>
        <v/>
      </c>
      <c r="JB5" s="85" t="str">
        <f t="shared" ref="JB5:JB36" si="164">IFERROR((IZ$107-RANK(IZ5,(IZ$5:IZ$103),0))/(IZ$107-1),"")</f>
        <v/>
      </c>
      <c r="JC5" s="84"/>
      <c r="JD5" s="85" t="str">
        <f t="shared" ref="JD5:JD35" si="165">IF(COUNT(JC5)=0,"",(JC5-JC$105)/JC$106)</f>
        <v/>
      </c>
      <c r="JE5" s="85" t="str">
        <f t="shared" ref="JE5:JE36" si="166">IFERROR((JC$107-RANK(JC5,(JC$5:JC$103),0))/(JC$107-1),"")</f>
        <v/>
      </c>
      <c r="JF5" s="84"/>
      <c r="JG5" s="85" t="str">
        <f t="shared" ref="JG5:JG35" si="167">IF(COUNT(JF5)=0,"",(JF5-JF$105)/JF$106)</f>
        <v/>
      </c>
      <c r="JH5" s="85" t="str">
        <f t="shared" ref="JH5:JH36" si="168">IFERROR((JF$107-RANK(JF5,(JF$5:JF$103),0))/(JF$107-1),"")</f>
        <v/>
      </c>
      <c r="JI5" s="84"/>
      <c r="JJ5" s="85" t="str">
        <f t="shared" ref="JJ5:JJ35" si="169">IF(COUNT(JI5)=0,"",(JI5-JI$105)/JI$106)</f>
        <v/>
      </c>
      <c r="JK5" s="85" t="str">
        <f t="shared" ref="JK5:JK36" si="170">IFERROR((JI$107-RANK(JI5,(JI$5:JI$103),0))/(JI$107-1),"")</f>
        <v/>
      </c>
      <c r="JL5" s="84"/>
      <c r="JM5" s="85" t="str">
        <f t="shared" ref="JM5:JM35" si="171">IF(COUNT(JL5)=0,"",(JL5-JL$105)/JL$106)</f>
        <v/>
      </c>
      <c r="JN5" s="85" t="str">
        <f t="shared" ref="JN5:JN36" si="172">IFERROR((JL$107-RANK(JL5,(JL$5:JL$103),0))/(JL$107-1),"")</f>
        <v/>
      </c>
      <c r="JO5" s="84"/>
      <c r="JP5" s="85" t="str">
        <f t="shared" ref="JP5:JP35" si="173">IF(COUNT(JO5)=0,"",(JO5-JO$105)/JO$106)</f>
        <v/>
      </c>
      <c r="JQ5" s="85" t="str">
        <f t="shared" ref="JQ5:JQ36" si="174">IFERROR((JO$107-RANK(JO5,(JO$5:JO$103),0))/(JO$107-1),"")</f>
        <v/>
      </c>
      <c r="JR5" s="84"/>
      <c r="JS5" s="85" t="str">
        <f t="shared" ref="JS5:JS35" si="175">IF(COUNT(JR5)=0,"",(JR5-JR$105)/JR$106)</f>
        <v/>
      </c>
      <c r="JT5" s="85" t="str">
        <f t="shared" ref="JT5:JT36" si="176">IFERROR((JR$107-RANK(JR5,(JR$5:JR$103),0))/(JR$107-1),"")</f>
        <v/>
      </c>
      <c r="JU5" s="84"/>
      <c r="JV5" s="85" t="str">
        <f t="shared" ref="JV5:JV35" si="177">IF(COUNT(JU5)=0,"",(JU5-JU$105)/JU$106)</f>
        <v/>
      </c>
      <c r="JW5" s="85" t="str">
        <f t="shared" ref="JW5:JW36" si="178">IFERROR((JU$107-RANK(JU5,(JU$5:JU$103),0))/(JU$107-1),"")</f>
        <v/>
      </c>
      <c r="JX5" s="84"/>
      <c r="JY5" s="85" t="str">
        <f t="shared" ref="JY5:JY35" si="179">IF(COUNT(JX5)=0,"",(JX5-JX$105)/JX$106)</f>
        <v/>
      </c>
      <c r="JZ5" s="85" t="str">
        <f t="shared" ref="JZ5:JZ36" si="180">IFERROR((JX$107-RANK(JX5,(JX$5:JX$103),0))/(JX$107-1),"")</f>
        <v/>
      </c>
      <c r="KA5" s="84"/>
      <c r="KB5" s="85" t="str">
        <f t="shared" ref="KB5:KB35" si="181">IF(COUNT(KA5)=0,"",(KA5-KA$105)/KA$106)</f>
        <v/>
      </c>
      <c r="KC5" s="85" t="str">
        <f t="shared" ref="KC5:KC36" si="182">IFERROR((KA$107-RANK(KA5,(KA$5:KA$103),0))/(KA$107-1),"")</f>
        <v/>
      </c>
      <c r="KD5" s="84"/>
      <c r="KE5" s="85" t="str">
        <f t="shared" ref="KE5:KE35" si="183">IF(COUNT(KD5)=0,"",(KD5-KD$105)/KD$106)</f>
        <v/>
      </c>
      <c r="KF5" s="85" t="str">
        <f t="shared" ref="KF5:KF36" si="184">IFERROR((KD$107-RANK(KD5,(KD$5:KD$103),0))/(KD$107-1),"")</f>
        <v/>
      </c>
      <c r="KG5" s="84"/>
      <c r="KH5" s="85" t="str">
        <f t="shared" ref="KH5:KH35" si="185">IF(COUNT(KG5)=0,"",(KG5-KG$105)/KG$106)</f>
        <v/>
      </c>
      <c r="KI5" s="85" t="str">
        <f t="shared" ref="KI5:KI36" si="186">IFERROR((KG$107-RANK(KG5,(KG$5:KG$103),0))/(KG$107-1),"")</f>
        <v/>
      </c>
      <c r="KJ5" s="84"/>
      <c r="KK5" s="85" t="str">
        <f t="shared" ref="KK5:KK35" si="187">IF(COUNT(KJ5)=0,"",(KJ5-KJ$105)/KJ$106)</f>
        <v/>
      </c>
      <c r="KL5" s="85" t="str">
        <f t="shared" ref="KL5:KL36" si="188">IFERROR((KJ$107-RANK(KJ5,(KJ$5:KJ$103),0))/(KJ$107-1),"")</f>
        <v/>
      </c>
      <c r="KM5" s="84"/>
      <c r="KN5" s="85" t="str">
        <f t="shared" ref="KN5:KN35" si="189">IF(COUNT(KM5)=0,"",(KM5-KM$105)/KM$106)</f>
        <v/>
      </c>
      <c r="KO5" s="85" t="str">
        <f t="shared" ref="KO5:KO36" si="190">IFERROR((KM$107-RANK(KM5,(KM$5:KM$103),0))/(KM$107-1),"")</f>
        <v/>
      </c>
      <c r="KP5" s="84"/>
      <c r="KQ5" s="85" t="str">
        <f t="shared" ref="KQ5:KQ35" si="191">IF(COUNT(KP5)=0,"",(KP5-KP$105)/KP$106)</f>
        <v/>
      </c>
      <c r="KR5" s="85" t="str">
        <f t="shared" ref="KR5:KR36" si="192">IFERROR((KP$107-RANK(KP5,(KP$5:KP$103),0))/(KP$107-1),"")</f>
        <v/>
      </c>
      <c r="KS5" s="84"/>
      <c r="KT5" s="85" t="str">
        <f t="shared" ref="KT5:KT35" si="193">IF(COUNT(KS5)=0,"",(KS5-KS$105)/KS$106)</f>
        <v/>
      </c>
      <c r="KU5" s="85" t="str">
        <f t="shared" ref="KU5:KU36" si="194">IFERROR((KS$107-RANK(KS5,(KS$5:KS$103),0))/(KS$107-1),"")</f>
        <v/>
      </c>
      <c r="KV5" s="84"/>
      <c r="KW5" s="85" t="str">
        <f t="shared" ref="KW5:KW35" si="195">IF(COUNT(KV5)=0,"",(KV5-KV$105)/KV$106)</f>
        <v/>
      </c>
      <c r="KX5" s="85" t="str">
        <f t="shared" ref="KX5:KX36" si="196">IFERROR((KV$107-RANK(KV5,(KV$5:KV$103),0))/(KV$107-1),"")</f>
        <v/>
      </c>
      <c r="KY5" s="90"/>
      <c r="KZ5" s="85" t="str">
        <f t="shared" ref="KZ5:KZ35" si="197">IF(COUNT(KY5)=0,"",(KY5-KY$105)/KY$106)</f>
        <v/>
      </c>
      <c r="LA5" s="85" t="str">
        <f t="shared" ref="LA5:LA36" si="198">IFERROR((KY$107-RANK(KY5,(KY$5:KY$103),0))/(KY$107-1),"")</f>
        <v/>
      </c>
      <c r="LB5" s="50">
        <f>IFERROR(AVERAGE($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83.4</v>
      </c>
      <c r="LC5" s="57">
        <f t="shared" ref="LC5:LC36" si="199">IFERROR(RANK(LB5,(LB$5:LB$103),0),"")</f>
        <v>39</v>
      </c>
      <c r="LD5" s="50">
        <f>IFERROR(AVERAGE($O5,$R5,$U5,$X5,$AA5,$AD5,$AG5,$AJ5,$AM5,$AP5,$AS5,$AV5,$AY5,$BB5,$BE5,$BH5,$BK5,$BN5,$BQ5,$BT5,$BW5,$BZ5,$CC5,$CF5,$CI5,$CL5,$CO5,$CR5,$CU5,$CX5,$DA5,$DD5,$DG5,$DJ5,$DM5,$DP5,$DS5,$DV5,$DY5,$EB5,$EE5,$EH5,$EK5,$EN5,$EQ5,$ET5,$EW5,$EZ5,$FC5,$FF5,$FI5,$FL5,$FO5,$FR5,$FU5,$FX5,$GA5,$GD5,$GG5,$GJ5,$GM5,$GP5,$GS5,$GV5,$GY5,$HB5,$HE5,$HH5,$HK5,$HN5,$HQ5,$HT5,$HW5,$HZ5,$IC5,$IF5,$II5,$IL5,$IO5,$IR5,$IU5,$IX5,$JA5,$JD5,$JG5,$JJ5,$JM5,$JP5,$JS5,$JV5,$JY5,$KB5,$KE5,$KH5,$KK5,$KN5,$KQ5,$KT5,$KW5,$KZ5),"")</f>
        <v>0.30330281872556741</v>
      </c>
      <c r="LE5" s="57">
        <f t="shared" ref="LE5:LE36" si="200">IFERROR(RANK(LD5,(LD$5:LD$103),0),"")</f>
        <v>25</v>
      </c>
      <c r="LF5" s="50">
        <f>IFERROR(AVERAGE($P5,$S5,$V5,$Y5,$AB5,$AE5,$AH5,$AK5,$AN5,$AQ5,$AT5,$AW5,$AZ5,$BC5,$BF5,$BI5,$BL5,$BO5,$BR5,$BU5,$BX5,$CA5,$CD5,$CG5,$CJ5,$CM5,$CP5,$CS5,$CV5,$CY5,$DB5,$DE5,$DH5,$DK5,$DN5,$DQ5,$DT5,$DW5,$DZ5,$EC5,$EF5,$EI5,$EL5,$EO5,$ER5,$EU5,$EX5,$FA5,$FD5,$FG5,$FJ5,$FM5,$FP5,$FS5,$FV5,$FY5,$GB5,$GE5,$GH5,$GK5,$GN5,$GQ5,$GT5,$GW5,$GZ5,$HC5,$HF5,$HI5,$HL5,$HO5,$HR5,$HU5,$HX5,$IA5,$ID5,$IG5,$IJ5,$IM5,$IP5,$IS5,$IV5,$IY5,$JB5,$JE5,$JH5,$JK5,$JN5,$JQ5,$JT5,$JW5,$JZ5,$KC5,$KF5,$KI5,$KL5,$KO5,$KR5,$KU5,$KX5,$LA5),"")</f>
        <v>0.67</v>
      </c>
      <c r="LG5" s="57">
        <f t="shared" ref="LG5:LG36" si="201">IFERROR(RANK(LF5,(LF$5:LF$103),0),"")</f>
        <v>22</v>
      </c>
      <c r="LH5" s="58">
        <f t="shared" ref="LH5:LH35" si="202">IFERROR((((LB5-LB$105)/LB$107)*25+25),"")</f>
        <v>41.995614035087726</v>
      </c>
      <c r="LI5" s="58">
        <f t="shared" ref="LI5:LI35" si="203">IFERROR((((LD5-LD$105)/LD$107)*25+25),"")</f>
        <v>42.68023532051275</v>
      </c>
      <c r="LJ5" s="58">
        <f t="shared" ref="LJ5:LJ35" si="204">IFERROR((((LF5-LF$105)/LF$107)*25+25),"")</f>
        <v>41.75</v>
      </c>
      <c r="LK5" s="58">
        <f t="shared" ref="LK5:LK36" si="205">IFERROR(LH5+LI5+LJ5-50,"")</f>
        <v>76.425849355600477</v>
      </c>
      <c r="LL5" s="60">
        <f t="shared" ref="LL5:LL36" si="206">IFERROR(RANK(LK5,(LK$5:LK$103),0),"")</f>
        <v>28</v>
      </c>
      <c r="LM5" s="55"/>
      <c r="LN5" s="61">
        <f>IFERROR(RANK(LK5,(LK$5:LK$14),0),"")</f>
        <v>4</v>
      </c>
      <c r="LO5" s="61">
        <f>LL5</f>
        <v>28</v>
      </c>
      <c r="LP5" s="55"/>
      <c r="LQ5" s="55"/>
      <c r="LR5" s="55"/>
      <c r="LS5" s="62"/>
      <c r="LT5" s="62"/>
    </row>
    <row r="6" spans="1:334" s="62" customFormat="1" ht="15" customHeight="1">
      <c r="A6" s="50">
        <f>COUNTA($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B6" s="50">
        <f>COUNT($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C6" s="117">
        <v>19</v>
      </c>
      <c r="D6" s="118" t="s">
        <v>114</v>
      </c>
      <c r="E6" s="286" t="s">
        <v>593</v>
      </c>
      <c r="F6" s="286" t="s">
        <v>594</v>
      </c>
      <c r="G6" s="289"/>
      <c r="H6" s="119" t="s">
        <v>94</v>
      </c>
      <c r="I6" s="286" t="s">
        <v>527</v>
      </c>
      <c r="J6" s="119" t="s">
        <v>115</v>
      </c>
      <c r="K6" s="119" t="s">
        <v>9</v>
      </c>
      <c r="L6" s="53" t="s">
        <v>116</v>
      </c>
      <c r="M6" s="292" t="s">
        <v>35</v>
      </c>
      <c r="N6" s="86"/>
      <c r="O6" s="91" t="str">
        <f t="shared" si="0"/>
        <v/>
      </c>
      <c r="P6" s="85" t="str">
        <f t="shared" si="1"/>
        <v/>
      </c>
      <c r="Q6" s="86"/>
      <c r="R6" s="91" t="str">
        <f t="shared" si="2"/>
        <v/>
      </c>
      <c r="S6" s="85" t="str">
        <f t="shared" si="3"/>
        <v/>
      </c>
      <c r="T6" s="86"/>
      <c r="U6" s="91" t="str">
        <f t="shared" si="4"/>
        <v/>
      </c>
      <c r="V6" s="85" t="str">
        <f t="shared" si="5"/>
        <v/>
      </c>
      <c r="W6" s="86"/>
      <c r="X6" s="91" t="str">
        <f t="shared" si="6"/>
        <v/>
      </c>
      <c r="Y6" s="85" t="str">
        <f t="shared" si="7"/>
        <v/>
      </c>
      <c r="Z6" s="86"/>
      <c r="AA6" s="91" t="str">
        <f t="shared" si="8"/>
        <v/>
      </c>
      <c r="AB6" s="85" t="str">
        <f t="shared" si="9"/>
        <v/>
      </c>
      <c r="AC6" s="271">
        <v>72</v>
      </c>
      <c r="AD6" s="91">
        <f t="shared" si="10"/>
        <v>-1.0587339485784295</v>
      </c>
      <c r="AE6" s="85">
        <f t="shared" si="11"/>
        <v>0</v>
      </c>
      <c r="AF6" s="86"/>
      <c r="AG6" s="91" t="str">
        <f t="shared" si="12"/>
        <v/>
      </c>
      <c r="AH6" s="85" t="str">
        <f t="shared" si="13"/>
        <v/>
      </c>
      <c r="AI6" s="86"/>
      <c r="AJ6" s="91" t="str">
        <f t="shared" si="14"/>
        <v/>
      </c>
      <c r="AK6" s="85" t="str">
        <f t="shared" si="15"/>
        <v/>
      </c>
      <c r="AL6" s="86"/>
      <c r="AM6" s="91" t="str">
        <f t="shared" si="16"/>
        <v/>
      </c>
      <c r="AN6" s="85" t="str">
        <f t="shared" si="17"/>
        <v/>
      </c>
      <c r="AO6" s="86">
        <v>74</v>
      </c>
      <c r="AP6" s="91">
        <f t="shared" si="18"/>
        <v>-1.403292830891246</v>
      </c>
      <c r="AQ6" s="85">
        <f t="shared" si="19"/>
        <v>0</v>
      </c>
      <c r="AR6" s="86"/>
      <c r="AS6" s="91" t="str">
        <f t="shared" si="20"/>
        <v/>
      </c>
      <c r="AT6" s="85" t="str">
        <f t="shared" si="21"/>
        <v/>
      </c>
      <c r="AU6" s="86"/>
      <c r="AV6" s="91" t="str">
        <f t="shared" si="22"/>
        <v/>
      </c>
      <c r="AW6" s="85" t="str">
        <f t="shared" si="23"/>
        <v/>
      </c>
      <c r="AX6" s="86"/>
      <c r="AY6" s="91" t="str">
        <f t="shared" si="24"/>
        <v/>
      </c>
      <c r="AZ6" s="85" t="str">
        <f t="shared" si="25"/>
        <v/>
      </c>
      <c r="BA6" s="86"/>
      <c r="BB6" s="91" t="str">
        <f t="shared" si="26"/>
        <v/>
      </c>
      <c r="BC6" s="85" t="str">
        <f t="shared" si="27"/>
        <v/>
      </c>
      <c r="BD6" s="86"/>
      <c r="BE6" s="91" t="str">
        <f t="shared" si="28"/>
        <v/>
      </c>
      <c r="BF6" s="85" t="str">
        <f t="shared" si="29"/>
        <v/>
      </c>
      <c r="BG6" s="86"/>
      <c r="BH6" s="91" t="str">
        <f t="shared" si="30"/>
        <v/>
      </c>
      <c r="BI6" s="85" t="str">
        <f t="shared" si="31"/>
        <v/>
      </c>
      <c r="BJ6" s="86"/>
      <c r="BK6" s="91" t="str">
        <f t="shared" si="32"/>
        <v/>
      </c>
      <c r="BL6" s="85" t="str">
        <f t="shared" si="33"/>
        <v/>
      </c>
      <c r="BM6" s="86"/>
      <c r="BN6" s="91" t="str">
        <f t="shared" si="34"/>
        <v/>
      </c>
      <c r="BO6" s="85" t="str">
        <f t="shared" si="35"/>
        <v/>
      </c>
      <c r="BP6" s="51"/>
      <c r="BQ6" s="91" t="str">
        <f t="shared" si="36"/>
        <v/>
      </c>
      <c r="BR6" s="85" t="str">
        <f t="shared" si="37"/>
        <v/>
      </c>
      <c r="BS6" s="86"/>
      <c r="BT6" s="91" t="str">
        <f t="shared" si="38"/>
        <v/>
      </c>
      <c r="BU6" s="85" t="str">
        <f t="shared" si="39"/>
        <v/>
      </c>
      <c r="BV6" s="56"/>
      <c r="BW6" s="91" t="str">
        <f t="shared" si="40"/>
        <v/>
      </c>
      <c r="BX6" s="85" t="str">
        <f t="shared" si="41"/>
        <v/>
      </c>
      <c r="BY6" s="86"/>
      <c r="BZ6" s="91" t="str">
        <f t="shared" si="42"/>
        <v/>
      </c>
      <c r="CA6" s="85" t="str">
        <f t="shared" si="43"/>
        <v/>
      </c>
      <c r="CB6" s="86"/>
      <c r="CC6" s="91" t="str">
        <f t="shared" si="44"/>
        <v/>
      </c>
      <c r="CD6" s="85" t="str">
        <f t="shared" si="45"/>
        <v/>
      </c>
      <c r="CE6" s="89"/>
      <c r="CF6" s="91" t="str">
        <f t="shared" si="46"/>
        <v/>
      </c>
      <c r="CG6" s="85" t="str">
        <f t="shared" si="47"/>
        <v/>
      </c>
      <c r="CH6" s="86"/>
      <c r="CI6" s="91" t="str">
        <f t="shared" si="48"/>
        <v/>
      </c>
      <c r="CJ6" s="85" t="str">
        <f t="shared" si="49"/>
        <v/>
      </c>
      <c r="CK6" s="86"/>
      <c r="CL6" s="91" t="str">
        <f t="shared" si="50"/>
        <v/>
      </c>
      <c r="CM6" s="85" t="str">
        <f t="shared" si="51"/>
        <v/>
      </c>
      <c r="CN6" s="86"/>
      <c r="CO6" s="91" t="str">
        <f t="shared" si="52"/>
        <v/>
      </c>
      <c r="CP6" s="85" t="str">
        <f t="shared" si="53"/>
        <v/>
      </c>
      <c r="CQ6" s="89"/>
      <c r="CR6" s="91" t="str">
        <f t="shared" si="54"/>
        <v/>
      </c>
      <c r="CS6" s="85" t="str">
        <f t="shared" si="55"/>
        <v/>
      </c>
      <c r="CT6" s="86"/>
      <c r="CU6" s="91" t="str">
        <f t="shared" si="56"/>
        <v/>
      </c>
      <c r="CV6" s="85" t="str">
        <f t="shared" si="57"/>
        <v/>
      </c>
      <c r="CW6" s="86"/>
      <c r="CX6" s="91" t="str">
        <f t="shared" si="58"/>
        <v/>
      </c>
      <c r="CY6" s="85" t="str">
        <f t="shared" si="59"/>
        <v/>
      </c>
      <c r="CZ6" s="86"/>
      <c r="DA6" s="91" t="str">
        <f t="shared" si="60"/>
        <v/>
      </c>
      <c r="DB6" s="85" t="str">
        <f t="shared" si="61"/>
        <v/>
      </c>
      <c r="DC6" s="86"/>
      <c r="DD6" s="91" t="str">
        <f t="shared" si="62"/>
        <v/>
      </c>
      <c r="DE6" s="85" t="str">
        <f t="shared" si="63"/>
        <v/>
      </c>
      <c r="DF6" s="86"/>
      <c r="DG6" s="91"/>
      <c r="DH6" s="85" t="str">
        <f t="shared" si="64"/>
        <v/>
      </c>
      <c r="DI6" s="89"/>
      <c r="DJ6" s="91" t="str">
        <f t="shared" si="65"/>
        <v/>
      </c>
      <c r="DK6" s="85" t="str">
        <f t="shared" si="66"/>
        <v/>
      </c>
      <c r="DL6" s="86"/>
      <c r="DM6" s="91" t="str">
        <f t="shared" si="67"/>
        <v/>
      </c>
      <c r="DN6" s="85" t="str">
        <f t="shared" si="68"/>
        <v/>
      </c>
      <c r="DO6" s="86"/>
      <c r="DP6" s="91" t="str">
        <f t="shared" si="69"/>
        <v/>
      </c>
      <c r="DQ6" s="85" t="str">
        <f t="shared" si="70"/>
        <v/>
      </c>
      <c r="DR6" s="271">
        <v>35</v>
      </c>
      <c r="DS6" s="91">
        <f t="shared" si="71"/>
        <v>-1.0657231279506814</v>
      </c>
      <c r="DT6" s="85">
        <f t="shared" si="72"/>
        <v>0</v>
      </c>
      <c r="DU6" s="92"/>
      <c r="DV6" s="91" t="str">
        <f t="shared" si="73"/>
        <v/>
      </c>
      <c r="DW6" s="85" t="str">
        <f t="shared" si="74"/>
        <v/>
      </c>
      <c r="DX6" s="92"/>
      <c r="DY6" s="91" t="str">
        <f t="shared" si="75"/>
        <v/>
      </c>
      <c r="DZ6" s="85" t="str">
        <f t="shared" si="76"/>
        <v/>
      </c>
      <c r="EA6" s="86"/>
      <c r="EB6" s="91" t="str">
        <f t="shared" si="77"/>
        <v/>
      </c>
      <c r="EC6" s="85" t="str">
        <f t="shared" si="78"/>
        <v/>
      </c>
      <c r="ED6" s="86"/>
      <c r="EE6" s="91" t="str">
        <f t="shared" si="79"/>
        <v/>
      </c>
      <c r="EF6" s="85" t="str">
        <f t="shared" si="80"/>
        <v/>
      </c>
      <c r="EG6" s="89"/>
      <c r="EH6" s="91" t="str">
        <f t="shared" si="81"/>
        <v/>
      </c>
      <c r="EI6" s="85" t="str">
        <f t="shared" si="82"/>
        <v/>
      </c>
      <c r="EJ6" s="86"/>
      <c r="EK6" s="91" t="str">
        <f t="shared" si="83"/>
        <v/>
      </c>
      <c r="EL6" s="85" t="str">
        <f t="shared" si="84"/>
        <v/>
      </c>
      <c r="EM6" s="86"/>
      <c r="EN6" s="91" t="str">
        <f t="shared" si="85"/>
        <v/>
      </c>
      <c r="EO6" s="85" t="str">
        <f t="shared" si="86"/>
        <v/>
      </c>
      <c r="EP6" s="86"/>
      <c r="EQ6" s="91" t="str">
        <f t="shared" si="87"/>
        <v/>
      </c>
      <c r="ER6" s="85" t="str">
        <f t="shared" si="88"/>
        <v/>
      </c>
      <c r="ES6" s="56"/>
      <c r="ET6" s="91" t="str">
        <f t="shared" si="89"/>
        <v/>
      </c>
      <c r="EU6" s="85" t="str">
        <f t="shared" si="90"/>
        <v/>
      </c>
      <c r="EV6" s="86"/>
      <c r="EW6" s="91" t="str">
        <f t="shared" si="91"/>
        <v/>
      </c>
      <c r="EX6" s="85" t="str">
        <f t="shared" si="92"/>
        <v/>
      </c>
      <c r="EY6" s="86">
        <v>69</v>
      </c>
      <c r="EZ6" s="91">
        <f t="shared" si="93"/>
        <v>-1.4900845059933732</v>
      </c>
      <c r="FA6" s="85">
        <f t="shared" si="94"/>
        <v>0</v>
      </c>
      <c r="FB6" s="86">
        <v>63</v>
      </c>
      <c r="FC6" s="91">
        <f t="shared" si="95"/>
        <v>-1.450784110682571</v>
      </c>
      <c r="FD6" s="85">
        <f t="shared" si="96"/>
        <v>0</v>
      </c>
      <c r="FE6" s="86"/>
      <c r="FF6" s="91" t="str">
        <f t="shared" si="97"/>
        <v/>
      </c>
      <c r="FG6" s="85" t="str">
        <f t="shared" si="98"/>
        <v/>
      </c>
      <c r="FH6" s="56"/>
      <c r="FI6" s="91" t="str">
        <f t="shared" si="99"/>
        <v/>
      </c>
      <c r="FJ6" s="85" t="str">
        <f t="shared" si="100"/>
        <v/>
      </c>
      <c r="FK6" s="56"/>
      <c r="FL6" s="91" t="str">
        <f t="shared" si="101"/>
        <v/>
      </c>
      <c r="FM6" s="85" t="str">
        <f t="shared" si="102"/>
        <v/>
      </c>
      <c r="FN6" s="86"/>
      <c r="FO6" s="91" t="str">
        <f t="shared" si="103"/>
        <v/>
      </c>
      <c r="FP6" s="85" t="str">
        <f t="shared" si="104"/>
        <v/>
      </c>
      <c r="FQ6" s="86"/>
      <c r="FR6" s="91" t="str">
        <f t="shared" si="105"/>
        <v/>
      </c>
      <c r="FS6" s="85" t="str">
        <f t="shared" si="106"/>
        <v/>
      </c>
      <c r="FT6" s="56"/>
      <c r="FU6" s="91" t="str">
        <f t="shared" si="107"/>
        <v/>
      </c>
      <c r="FV6" s="85" t="str">
        <f t="shared" si="108"/>
        <v/>
      </c>
      <c r="FW6" s="92"/>
      <c r="FX6" s="91" t="str">
        <f t="shared" si="109"/>
        <v/>
      </c>
      <c r="FY6" s="85" t="str">
        <f t="shared" si="110"/>
        <v/>
      </c>
      <c r="FZ6" s="86"/>
      <c r="GA6" s="91" t="str">
        <f t="shared" si="111"/>
        <v/>
      </c>
      <c r="GB6" s="85" t="str">
        <f t="shared" si="112"/>
        <v/>
      </c>
      <c r="GC6" s="56"/>
      <c r="GD6" s="91" t="str">
        <f t="shared" si="113"/>
        <v/>
      </c>
      <c r="GE6" s="85" t="str">
        <f t="shared" si="114"/>
        <v/>
      </c>
      <c r="GF6" s="86"/>
      <c r="GG6" s="91" t="str">
        <f t="shared" si="115"/>
        <v/>
      </c>
      <c r="GH6" s="85" t="str">
        <f t="shared" si="116"/>
        <v/>
      </c>
      <c r="GI6" s="86"/>
      <c r="GJ6" s="91" t="str">
        <f t="shared" si="117"/>
        <v/>
      </c>
      <c r="GK6" s="85" t="str">
        <f t="shared" si="118"/>
        <v/>
      </c>
      <c r="GL6" s="86"/>
      <c r="GM6" s="91" t="str">
        <f t="shared" si="119"/>
        <v/>
      </c>
      <c r="GN6" s="85" t="str">
        <f t="shared" si="120"/>
        <v/>
      </c>
      <c r="GO6" s="86"/>
      <c r="GP6" s="91" t="str">
        <f t="shared" si="121"/>
        <v/>
      </c>
      <c r="GQ6" s="85" t="str">
        <f t="shared" si="122"/>
        <v/>
      </c>
      <c r="GR6" s="92"/>
      <c r="GS6" s="91" t="str">
        <f t="shared" si="123"/>
        <v/>
      </c>
      <c r="GT6" s="85" t="str">
        <f t="shared" si="124"/>
        <v/>
      </c>
      <c r="GU6" s="86"/>
      <c r="GV6" s="91" t="str">
        <f t="shared" si="125"/>
        <v/>
      </c>
      <c r="GW6" s="85" t="str">
        <f t="shared" si="126"/>
        <v/>
      </c>
      <c r="GX6" s="86"/>
      <c r="GY6" s="91" t="str">
        <f t="shared" si="127"/>
        <v/>
      </c>
      <c r="GZ6" s="85" t="str">
        <f t="shared" si="128"/>
        <v/>
      </c>
      <c r="HA6" s="86"/>
      <c r="HB6" s="91" t="str">
        <f t="shared" si="129"/>
        <v/>
      </c>
      <c r="HC6" s="85" t="str">
        <f t="shared" si="130"/>
        <v/>
      </c>
      <c r="HD6" s="86"/>
      <c r="HE6" s="91" t="str">
        <f t="shared" si="131"/>
        <v/>
      </c>
      <c r="HF6" s="85" t="str">
        <f t="shared" si="132"/>
        <v/>
      </c>
      <c r="HG6" s="86"/>
      <c r="HH6" s="91" t="str">
        <f t="shared" si="133"/>
        <v/>
      </c>
      <c r="HI6" s="85" t="str">
        <f t="shared" si="134"/>
        <v/>
      </c>
      <c r="HJ6" s="86"/>
      <c r="HK6" s="91" t="str">
        <f t="shared" si="135"/>
        <v/>
      </c>
      <c r="HL6" s="85" t="str">
        <f t="shared" si="136"/>
        <v/>
      </c>
      <c r="HM6" s="86"/>
      <c r="HN6" s="91" t="str">
        <f t="shared" si="137"/>
        <v/>
      </c>
      <c r="HO6" s="85" t="str">
        <f t="shared" si="138"/>
        <v/>
      </c>
      <c r="HP6" s="86"/>
      <c r="HQ6" s="91" t="str">
        <f t="shared" si="139"/>
        <v/>
      </c>
      <c r="HR6" s="85" t="str">
        <f t="shared" si="140"/>
        <v/>
      </c>
      <c r="HS6" s="86"/>
      <c r="HT6" s="91" t="str">
        <f t="shared" si="141"/>
        <v/>
      </c>
      <c r="HU6" s="85" t="str">
        <f t="shared" si="142"/>
        <v/>
      </c>
      <c r="HV6" s="86"/>
      <c r="HW6" s="91" t="str">
        <f t="shared" si="143"/>
        <v/>
      </c>
      <c r="HX6" s="85" t="str">
        <f t="shared" si="144"/>
        <v/>
      </c>
      <c r="HY6" s="86"/>
      <c r="HZ6" s="91" t="str">
        <f t="shared" si="145"/>
        <v/>
      </c>
      <c r="IA6" s="85" t="str">
        <f t="shared" si="146"/>
        <v/>
      </c>
      <c r="IB6" s="86"/>
      <c r="IC6" s="91" t="str">
        <f t="shared" si="147"/>
        <v/>
      </c>
      <c r="ID6" s="85" t="str">
        <f t="shared" si="148"/>
        <v/>
      </c>
      <c r="IE6" s="86"/>
      <c r="IF6" s="91" t="str">
        <f t="shared" si="149"/>
        <v/>
      </c>
      <c r="IG6" s="85" t="str">
        <f t="shared" si="150"/>
        <v/>
      </c>
      <c r="IH6" s="86"/>
      <c r="II6" s="91" t="str">
        <f t="shared" si="151"/>
        <v/>
      </c>
      <c r="IJ6" s="85" t="str">
        <f t="shared" si="152"/>
        <v/>
      </c>
      <c r="IK6" s="86"/>
      <c r="IL6" s="91" t="str">
        <f t="shared" si="153"/>
        <v/>
      </c>
      <c r="IM6" s="85" t="str">
        <f t="shared" si="154"/>
        <v/>
      </c>
      <c r="IN6" s="86"/>
      <c r="IO6" s="91" t="str">
        <f t="shared" si="155"/>
        <v/>
      </c>
      <c r="IP6" s="85" t="str">
        <f t="shared" si="156"/>
        <v/>
      </c>
      <c r="IQ6" s="86"/>
      <c r="IR6" s="91" t="str">
        <f t="shared" si="157"/>
        <v/>
      </c>
      <c r="IS6" s="85" t="str">
        <f t="shared" si="158"/>
        <v/>
      </c>
      <c r="IT6" s="86"/>
      <c r="IU6" s="91" t="str">
        <f t="shared" si="159"/>
        <v/>
      </c>
      <c r="IV6" s="85" t="str">
        <f t="shared" si="160"/>
        <v/>
      </c>
      <c r="IW6" s="86"/>
      <c r="IX6" s="91" t="str">
        <f t="shared" si="161"/>
        <v/>
      </c>
      <c r="IY6" s="85" t="str">
        <f t="shared" si="162"/>
        <v/>
      </c>
      <c r="IZ6" s="86"/>
      <c r="JA6" s="91" t="str">
        <f t="shared" si="163"/>
        <v/>
      </c>
      <c r="JB6" s="85" t="str">
        <f t="shared" si="164"/>
        <v/>
      </c>
      <c r="JC6" s="86"/>
      <c r="JD6" s="91" t="str">
        <f t="shared" si="165"/>
        <v/>
      </c>
      <c r="JE6" s="85" t="str">
        <f t="shared" si="166"/>
        <v/>
      </c>
      <c r="JF6" s="86"/>
      <c r="JG6" s="91" t="str">
        <f t="shared" si="167"/>
        <v/>
      </c>
      <c r="JH6" s="85" t="str">
        <f t="shared" si="168"/>
        <v/>
      </c>
      <c r="JI6" s="86"/>
      <c r="JJ6" s="91" t="str">
        <f t="shared" si="169"/>
        <v/>
      </c>
      <c r="JK6" s="85" t="str">
        <f t="shared" si="170"/>
        <v/>
      </c>
      <c r="JL6" s="86"/>
      <c r="JM6" s="91" t="str">
        <f t="shared" si="171"/>
        <v/>
      </c>
      <c r="JN6" s="85" t="str">
        <f t="shared" si="172"/>
        <v/>
      </c>
      <c r="JO6" s="86"/>
      <c r="JP6" s="91" t="str">
        <f t="shared" si="173"/>
        <v/>
      </c>
      <c r="JQ6" s="85" t="str">
        <f t="shared" si="174"/>
        <v/>
      </c>
      <c r="JR6" s="86"/>
      <c r="JS6" s="91" t="str">
        <f t="shared" si="175"/>
        <v/>
      </c>
      <c r="JT6" s="85" t="str">
        <f t="shared" si="176"/>
        <v/>
      </c>
      <c r="JU6" s="86"/>
      <c r="JV6" s="91" t="str">
        <f t="shared" si="177"/>
        <v/>
      </c>
      <c r="JW6" s="85" t="str">
        <f t="shared" si="178"/>
        <v/>
      </c>
      <c r="JX6" s="86"/>
      <c r="JY6" s="91" t="str">
        <f t="shared" si="179"/>
        <v/>
      </c>
      <c r="JZ6" s="85" t="str">
        <f t="shared" si="180"/>
        <v/>
      </c>
      <c r="KA6" s="86"/>
      <c r="KB6" s="91" t="str">
        <f t="shared" si="181"/>
        <v/>
      </c>
      <c r="KC6" s="85" t="str">
        <f t="shared" si="182"/>
        <v/>
      </c>
      <c r="KD6" s="86"/>
      <c r="KE6" s="91" t="str">
        <f t="shared" si="183"/>
        <v/>
      </c>
      <c r="KF6" s="85" t="str">
        <f t="shared" si="184"/>
        <v/>
      </c>
      <c r="KG6" s="86"/>
      <c r="KH6" s="91" t="str">
        <f t="shared" si="185"/>
        <v/>
      </c>
      <c r="KI6" s="85" t="str">
        <f t="shared" si="186"/>
        <v/>
      </c>
      <c r="KJ6" s="86"/>
      <c r="KK6" s="91" t="str">
        <f t="shared" si="187"/>
        <v/>
      </c>
      <c r="KL6" s="85" t="str">
        <f t="shared" si="188"/>
        <v/>
      </c>
      <c r="KM6" s="86"/>
      <c r="KN6" s="91" t="str">
        <f t="shared" si="189"/>
        <v/>
      </c>
      <c r="KO6" s="85" t="str">
        <f t="shared" si="190"/>
        <v/>
      </c>
      <c r="KP6" s="86"/>
      <c r="KQ6" s="91" t="str">
        <f t="shared" si="191"/>
        <v/>
      </c>
      <c r="KR6" s="85" t="str">
        <f t="shared" si="192"/>
        <v/>
      </c>
      <c r="KS6" s="86"/>
      <c r="KT6" s="91" t="str">
        <f t="shared" si="193"/>
        <v/>
      </c>
      <c r="KU6" s="85" t="str">
        <f t="shared" si="194"/>
        <v/>
      </c>
      <c r="KV6" s="86"/>
      <c r="KW6" s="91" t="str">
        <f t="shared" si="195"/>
        <v/>
      </c>
      <c r="KX6" s="85" t="str">
        <f t="shared" si="196"/>
        <v/>
      </c>
      <c r="KY6" s="92"/>
      <c r="KZ6" s="91" t="str">
        <f t="shared" si="197"/>
        <v/>
      </c>
      <c r="LA6" s="85" t="str">
        <f t="shared" si="198"/>
        <v/>
      </c>
      <c r="LB6" s="50">
        <f>IFERROR(AVERAGE($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62.6</v>
      </c>
      <c r="LC6" s="57">
        <f t="shared" si="199"/>
        <v>61</v>
      </c>
      <c r="LD6" s="50">
        <f t="shared" ref="LD6:LD68" si="207">IFERROR(AVERAGE($O6,$R6,$U6,$X6,$AA6,$AD6,$AG6,$AJ6,$AM6,$AP6,$AS6,$AV6,$AY6,$BB6,$BE6,$BH6,$BK6,$BN6,$BQ6,$BT6,$BW6,$BZ6,$CC6,$CF6,$CI6,$CL6,$CO6,$CR6,$CU6,$CX6,$DA6,$DD6,$DG6,$DJ6,$DM6,$DP6,$DS6,$DV6,$DY6,$EB6,$EE6,$EH6,$EK6,$EN6,$EQ6,$ET6,$EW6,$EZ6,$FC6,$FF6,$FI6,$FL6,$FO6,$FR6,$FU6,$FX6,$GA6,$GD6,$GG6,$GJ6,$GM6,$GP6,$GS6,$GV6,$GY6,$HB6,$HE6,$HH6,$HK6,$HN6,$HQ6,$HT6,$HW6,$HZ6,$IC6,$IF6,$II6,$IL6,$IO6,$IR6,$IU6,$IX6,$JA6,$JD6,$JG6,$JJ6,$JM6,$JP6,$JS6,$JV6,$JY6,$KB6,$KE6,$KH6,$KK6,$KN6,$KQ6,$KT6,$KW6,$KZ6),"")</f>
        <v>-1.2937237048192602</v>
      </c>
      <c r="LE6" s="57">
        <f t="shared" si="200"/>
        <v>60</v>
      </c>
      <c r="LF6" s="50">
        <f t="shared" ref="LF6:LF68" si="208">IFERROR(AVERAGE($P6,$S6,$V6,$Y6,$AB6,$AE6,$AH6,$AK6,$AN6,$AQ6,$AT6,$AW6,$AZ6,$BC6,$BF6,$BI6,$BL6,$BO6,$BR6,$BU6,$BX6,$CA6,$CD6,$CG6,$CJ6,$CM6,$CP6,$CS6,$CV6,$CY6,$DB6,$DE6,$DH6,$DK6,$DN6,$DQ6,$DT6,$DW6,$DZ6,$EC6,$EF6,$EI6,$EL6,$EO6,$ER6,$EU6,$EX6,$FA6,$FD6,$FG6,$FJ6,$FM6,$FP6,$FS6,$FV6,$FY6,$GB6,$GE6,$GH6,$GK6,$GN6,$GQ6,$GT6,$GW6,$GZ6,$HC6,$HF6,$HI6,$HL6,$HO6,$HR6,$HU6,$HX6,$IA6,$ID6,$IG6,$IJ6,$IM6,$IP6,$IS6,$IV6,$IY6,$JB6,$JE6,$JH6,$JK6,$JN6,$JQ6,$JT6,$JW6,$JZ6,$KC6,$KF6,$KI6,$KL6,$KO6,$KR6,$KU6,$KX6,$LA6),"")</f>
        <v>0</v>
      </c>
      <c r="LG6" s="57">
        <f t="shared" si="201"/>
        <v>60</v>
      </c>
      <c r="LH6" s="58">
        <f t="shared" si="202"/>
        <v>30.592105263157897</v>
      </c>
      <c r="LI6" s="58">
        <f t="shared" si="203"/>
        <v>27.771112212625098</v>
      </c>
      <c r="LJ6" s="58">
        <f t="shared" si="204"/>
        <v>25</v>
      </c>
      <c r="LK6" s="58">
        <f t="shared" si="205"/>
        <v>33.363217475782989</v>
      </c>
      <c r="LL6" s="60">
        <f t="shared" si="206"/>
        <v>61</v>
      </c>
      <c r="LM6" s="55"/>
      <c r="LN6" s="61">
        <f t="shared" ref="LN6:LN14" si="209">IFERROR(RANK(LK6,(LK$5:LK$14),0),"")</f>
        <v>9</v>
      </c>
      <c r="LO6" s="61">
        <f t="shared" ref="LO6:LO15" si="210">LL6</f>
        <v>61</v>
      </c>
      <c r="LP6" s="64"/>
      <c r="LQ6" s="64"/>
      <c r="LR6" s="64"/>
    </row>
    <row r="7" spans="1:334" s="62" customFormat="1" ht="15" customHeight="1">
      <c r="A7" s="50">
        <f t="shared" ref="A7:A69" si="211">COUNTA($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B7" s="50">
        <f t="shared" ref="B7:B69" si="212">COUNT($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C7" s="117">
        <v>4</v>
      </c>
      <c r="D7" s="118" t="s">
        <v>117</v>
      </c>
      <c r="E7" s="286" t="s">
        <v>595</v>
      </c>
      <c r="F7" s="286" t="s">
        <v>596</v>
      </c>
      <c r="G7" s="286" t="s">
        <v>597</v>
      </c>
      <c r="H7" s="119" t="s">
        <v>94</v>
      </c>
      <c r="I7" s="286" t="s">
        <v>528</v>
      </c>
      <c r="J7" s="119" t="s">
        <v>118</v>
      </c>
      <c r="K7" s="119" t="s">
        <v>9</v>
      </c>
      <c r="L7" s="53" t="s">
        <v>119</v>
      </c>
      <c r="M7" s="292" t="s">
        <v>35</v>
      </c>
      <c r="N7" s="86"/>
      <c r="O7" s="91" t="str">
        <f t="shared" si="0"/>
        <v/>
      </c>
      <c r="P7" s="85" t="str">
        <f t="shared" si="1"/>
        <v/>
      </c>
      <c r="Q7" s="86"/>
      <c r="R7" s="91" t="str">
        <f t="shared" si="2"/>
        <v/>
      </c>
      <c r="S7" s="85" t="str">
        <f t="shared" si="3"/>
        <v/>
      </c>
      <c r="T7" s="86"/>
      <c r="U7" s="91" t="str">
        <f t="shared" si="4"/>
        <v/>
      </c>
      <c r="V7" s="85" t="str">
        <f t="shared" si="5"/>
        <v/>
      </c>
      <c r="W7" s="86"/>
      <c r="X7" s="91" t="str">
        <f t="shared" si="6"/>
        <v/>
      </c>
      <c r="Y7" s="85" t="str">
        <f t="shared" si="7"/>
        <v/>
      </c>
      <c r="Z7" s="56"/>
      <c r="AA7" s="91" t="str">
        <f t="shared" si="8"/>
        <v/>
      </c>
      <c r="AB7" s="85" t="str">
        <f t="shared" si="9"/>
        <v/>
      </c>
      <c r="AC7" s="271"/>
      <c r="AD7" s="91" t="str">
        <f t="shared" si="10"/>
        <v/>
      </c>
      <c r="AE7" s="85" t="str">
        <f t="shared" si="11"/>
        <v/>
      </c>
      <c r="AF7" s="86"/>
      <c r="AG7" s="91" t="str">
        <f t="shared" si="12"/>
        <v/>
      </c>
      <c r="AH7" s="85" t="str">
        <f t="shared" si="13"/>
        <v/>
      </c>
      <c r="AI7" s="86"/>
      <c r="AJ7" s="91" t="str">
        <f t="shared" si="14"/>
        <v/>
      </c>
      <c r="AK7" s="85" t="str">
        <f t="shared" si="15"/>
        <v/>
      </c>
      <c r="AL7" s="86"/>
      <c r="AM7" s="91" t="str">
        <f t="shared" si="16"/>
        <v/>
      </c>
      <c r="AN7" s="85" t="str">
        <f t="shared" si="17"/>
        <v/>
      </c>
      <c r="AO7" s="86"/>
      <c r="AP7" s="91" t="str">
        <f t="shared" si="18"/>
        <v/>
      </c>
      <c r="AQ7" s="85" t="str">
        <f t="shared" si="19"/>
        <v/>
      </c>
      <c r="AR7" s="86"/>
      <c r="AS7" s="91" t="str">
        <f t="shared" si="20"/>
        <v/>
      </c>
      <c r="AT7" s="85" t="str">
        <f t="shared" si="21"/>
        <v/>
      </c>
      <c r="AU7" s="86"/>
      <c r="AV7" s="91" t="str">
        <f t="shared" si="22"/>
        <v/>
      </c>
      <c r="AW7" s="85" t="str">
        <f t="shared" si="23"/>
        <v/>
      </c>
      <c r="AX7" s="86"/>
      <c r="AY7" s="91" t="str">
        <f t="shared" si="24"/>
        <v/>
      </c>
      <c r="AZ7" s="85" t="str">
        <f t="shared" si="25"/>
        <v/>
      </c>
      <c r="BA7" s="86"/>
      <c r="BB7" s="91" t="str">
        <f t="shared" si="26"/>
        <v/>
      </c>
      <c r="BC7" s="85" t="str">
        <f t="shared" si="27"/>
        <v/>
      </c>
      <c r="BD7" s="86"/>
      <c r="BE7" s="91" t="str">
        <f t="shared" si="28"/>
        <v/>
      </c>
      <c r="BF7" s="85" t="str">
        <f t="shared" si="29"/>
        <v/>
      </c>
      <c r="BG7" s="86">
        <v>80</v>
      </c>
      <c r="BH7" s="91">
        <f t="shared" si="30"/>
        <v>-1.3174650984805196</v>
      </c>
      <c r="BI7" s="85">
        <f t="shared" si="31"/>
        <v>0</v>
      </c>
      <c r="BJ7" s="86"/>
      <c r="BK7" s="91" t="str">
        <f t="shared" si="32"/>
        <v/>
      </c>
      <c r="BL7" s="85" t="str">
        <f t="shared" si="33"/>
        <v/>
      </c>
      <c r="BM7" s="86"/>
      <c r="BN7" s="91" t="str">
        <f t="shared" si="34"/>
        <v/>
      </c>
      <c r="BO7" s="85" t="str">
        <f t="shared" si="35"/>
        <v/>
      </c>
      <c r="BP7" s="91"/>
      <c r="BQ7" s="91" t="str">
        <f t="shared" si="36"/>
        <v/>
      </c>
      <c r="BR7" s="85" t="str">
        <f t="shared" si="37"/>
        <v/>
      </c>
      <c r="BS7" s="86"/>
      <c r="BT7" s="91" t="str">
        <f t="shared" si="38"/>
        <v/>
      </c>
      <c r="BU7" s="85" t="str">
        <f t="shared" si="39"/>
        <v/>
      </c>
      <c r="BV7" s="56"/>
      <c r="BW7" s="91" t="str">
        <f t="shared" si="40"/>
        <v/>
      </c>
      <c r="BX7" s="85" t="str">
        <f t="shared" si="41"/>
        <v/>
      </c>
      <c r="BY7" s="86"/>
      <c r="BZ7" s="91" t="str">
        <f t="shared" si="42"/>
        <v/>
      </c>
      <c r="CA7" s="85" t="str">
        <f t="shared" si="43"/>
        <v/>
      </c>
      <c r="CB7" s="86"/>
      <c r="CC7" s="91" t="str">
        <f t="shared" si="44"/>
        <v/>
      </c>
      <c r="CD7" s="85" t="str">
        <f t="shared" si="45"/>
        <v/>
      </c>
      <c r="CE7" s="89"/>
      <c r="CF7" s="91" t="str">
        <f t="shared" si="46"/>
        <v/>
      </c>
      <c r="CG7" s="85" t="str">
        <f t="shared" si="47"/>
        <v/>
      </c>
      <c r="CH7" s="86"/>
      <c r="CI7" s="91" t="str">
        <f t="shared" si="48"/>
        <v/>
      </c>
      <c r="CJ7" s="85" t="str">
        <f t="shared" si="49"/>
        <v/>
      </c>
      <c r="CK7" s="86"/>
      <c r="CL7" s="91" t="str">
        <f t="shared" si="50"/>
        <v/>
      </c>
      <c r="CM7" s="85" t="str">
        <f t="shared" si="51"/>
        <v/>
      </c>
      <c r="CN7" s="86"/>
      <c r="CO7" s="91" t="str">
        <f t="shared" si="52"/>
        <v/>
      </c>
      <c r="CP7" s="85" t="str">
        <f t="shared" si="53"/>
        <v/>
      </c>
      <c r="CQ7" s="89"/>
      <c r="CR7" s="91" t="str">
        <f t="shared" si="54"/>
        <v/>
      </c>
      <c r="CS7" s="85" t="str">
        <f t="shared" si="55"/>
        <v/>
      </c>
      <c r="CT7" s="86">
        <v>75</v>
      </c>
      <c r="CU7" s="91">
        <f t="shared" si="56"/>
        <v>-1.0398155222184087</v>
      </c>
      <c r="CV7" s="85">
        <f t="shared" si="57"/>
        <v>0.2</v>
      </c>
      <c r="CW7" s="86"/>
      <c r="CX7" s="91" t="str">
        <f t="shared" si="58"/>
        <v/>
      </c>
      <c r="CY7" s="85" t="str">
        <f t="shared" si="59"/>
        <v/>
      </c>
      <c r="CZ7" s="86"/>
      <c r="DA7" s="91" t="str">
        <f t="shared" si="60"/>
        <v/>
      </c>
      <c r="DB7" s="85" t="str">
        <f t="shared" si="61"/>
        <v/>
      </c>
      <c r="DC7" s="86"/>
      <c r="DD7" s="91" t="str">
        <f t="shared" si="62"/>
        <v/>
      </c>
      <c r="DE7" s="85" t="str">
        <f t="shared" si="63"/>
        <v/>
      </c>
      <c r="DF7" s="86"/>
      <c r="DG7" s="91"/>
      <c r="DH7" s="85" t="str">
        <f t="shared" si="64"/>
        <v/>
      </c>
      <c r="DI7" s="89"/>
      <c r="DJ7" s="91" t="str">
        <f t="shared" si="65"/>
        <v/>
      </c>
      <c r="DK7" s="85" t="str">
        <f t="shared" si="66"/>
        <v/>
      </c>
      <c r="DL7" s="86"/>
      <c r="DM7" s="91" t="str">
        <f t="shared" si="67"/>
        <v/>
      </c>
      <c r="DN7" s="85" t="str">
        <f t="shared" si="68"/>
        <v/>
      </c>
      <c r="DO7" s="92"/>
      <c r="DP7" s="91" t="str">
        <f t="shared" si="69"/>
        <v/>
      </c>
      <c r="DQ7" s="85" t="str">
        <f t="shared" si="70"/>
        <v/>
      </c>
      <c r="DR7" s="86"/>
      <c r="DS7" s="91" t="str">
        <f t="shared" si="71"/>
        <v/>
      </c>
      <c r="DT7" s="85" t="str">
        <f t="shared" si="72"/>
        <v/>
      </c>
      <c r="DU7" s="92"/>
      <c r="DV7" s="91" t="str">
        <f t="shared" si="73"/>
        <v/>
      </c>
      <c r="DW7" s="85" t="str">
        <f t="shared" si="74"/>
        <v/>
      </c>
      <c r="DX7" s="86"/>
      <c r="DY7" s="91" t="str">
        <f t="shared" si="75"/>
        <v/>
      </c>
      <c r="DZ7" s="85" t="str">
        <f t="shared" si="76"/>
        <v/>
      </c>
      <c r="EA7" s="86"/>
      <c r="EB7" s="91" t="str">
        <f t="shared" si="77"/>
        <v/>
      </c>
      <c r="EC7" s="85" t="str">
        <f t="shared" si="78"/>
        <v/>
      </c>
      <c r="ED7" s="86"/>
      <c r="EE7" s="91" t="str">
        <f t="shared" si="79"/>
        <v/>
      </c>
      <c r="EF7" s="85" t="str">
        <f t="shared" si="80"/>
        <v/>
      </c>
      <c r="EG7" s="89"/>
      <c r="EH7" s="91" t="str">
        <f t="shared" si="81"/>
        <v/>
      </c>
      <c r="EI7" s="85" t="str">
        <f t="shared" si="82"/>
        <v/>
      </c>
      <c r="EJ7" s="86"/>
      <c r="EK7" s="91" t="str">
        <f t="shared" si="83"/>
        <v/>
      </c>
      <c r="EL7" s="85" t="str">
        <f t="shared" si="84"/>
        <v/>
      </c>
      <c r="EM7" s="86"/>
      <c r="EN7" s="91" t="str">
        <f t="shared" si="85"/>
        <v/>
      </c>
      <c r="EO7" s="85" t="str">
        <f t="shared" si="86"/>
        <v/>
      </c>
      <c r="EP7" s="86"/>
      <c r="EQ7" s="91" t="str">
        <f t="shared" si="87"/>
        <v/>
      </c>
      <c r="ER7" s="85" t="str">
        <f t="shared" si="88"/>
        <v/>
      </c>
      <c r="ES7" s="56"/>
      <c r="ET7" s="91" t="str">
        <f t="shared" si="89"/>
        <v/>
      </c>
      <c r="EU7" s="85" t="str">
        <f t="shared" si="90"/>
        <v/>
      </c>
      <c r="EV7" s="86"/>
      <c r="EW7" s="91" t="str">
        <f t="shared" si="91"/>
        <v/>
      </c>
      <c r="EX7" s="85" t="str">
        <f t="shared" si="92"/>
        <v/>
      </c>
      <c r="EY7" s="86">
        <v>73</v>
      </c>
      <c r="EZ7" s="91">
        <f t="shared" si="93"/>
        <v>-1.1452715624577168</v>
      </c>
      <c r="FA7" s="85">
        <f t="shared" si="94"/>
        <v>0.16666666666666666</v>
      </c>
      <c r="FB7" s="86"/>
      <c r="FC7" s="91" t="str">
        <f t="shared" si="95"/>
        <v/>
      </c>
      <c r="FD7" s="85" t="str">
        <f t="shared" si="96"/>
        <v/>
      </c>
      <c r="FE7" s="86"/>
      <c r="FF7" s="91" t="str">
        <f t="shared" si="97"/>
        <v/>
      </c>
      <c r="FG7" s="85" t="str">
        <f t="shared" si="98"/>
        <v/>
      </c>
      <c r="FH7" s="86"/>
      <c r="FI7" s="91" t="str">
        <f t="shared" si="99"/>
        <v/>
      </c>
      <c r="FJ7" s="85" t="str">
        <f t="shared" si="100"/>
        <v/>
      </c>
      <c r="FK7" s="56">
        <v>87</v>
      </c>
      <c r="FL7" s="91">
        <f t="shared" si="101"/>
        <v>-0.65458891442207634</v>
      </c>
      <c r="FM7" s="85">
        <f t="shared" si="102"/>
        <v>0.25</v>
      </c>
      <c r="FN7" s="86"/>
      <c r="FO7" s="91" t="str">
        <f t="shared" si="103"/>
        <v/>
      </c>
      <c r="FP7" s="85" t="str">
        <f t="shared" si="104"/>
        <v/>
      </c>
      <c r="FQ7" s="86"/>
      <c r="FR7" s="91" t="str">
        <f t="shared" si="105"/>
        <v/>
      </c>
      <c r="FS7" s="85" t="str">
        <f t="shared" si="106"/>
        <v/>
      </c>
      <c r="FT7" s="86"/>
      <c r="FU7" s="91" t="str">
        <f t="shared" si="107"/>
        <v/>
      </c>
      <c r="FV7" s="85" t="str">
        <f t="shared" si="108"/>
        <v/>
      </c>
      <c r="FW7" s="92"/>
      <c r="FX7" s="91" t="str">
        <f t="shared" si="109"/>
        <v/>
      </c>
      <c r="FY7" s="85" t="str">
        <f t="shared" si="110"/>
        <v/>
      </c>
      <c r="FZ7" s="86"/>
      <c r="GA7" s="91" t="str">
        <f t="shared" si="111"/>
        <v/>
      </c>
      <c r="GB7" s="85" t="str">
        <f t="shared" si="112"/>
        <v/>
      </c>
      <c r="GC7" s="86"/>
      <c r="GD7" s="91" t="str">
        <f t="shared" si="113"/>
        <v/>
      </c>
      <c r="GE7" s="85" t="str">
        <f t="shared" si="114"/>
        <v/>
      </c>
      <c r="GF7" s="56"/>
      <c r="GG7" s="91" t="str">
        <f t="shared" si="115"/>
        <v/>
      </c>
      <c r="GH7" s="85" t="str">
        <f t="shared" si="116"/>
        <v/>
      </c>
      <c r="GI7" s="86"/>
      <c r="GJ7" s="91" t="str">
        <f t="shared" si="117"/>
        <v/>
      </c>
      <c r="GK7" s="85" t="str">
        <f t="shared" si="118"/>
        <v/>
      </c>
      <c r="GL7" s="86"/>
      <c r="GM7" s="91" t="str">
        <f t="shared" si="119"/>
        <v/>
      </c>
      <c r="GN7" s="85" t="str">
        <f t="shared" si="120"/>
        <v/>
      </c>
      <c r="GO7" s="86">
        <v>66</v>
      </c>
      <c r="GP7" s="91">
        <f t="shared" si="121"/>
        <v>-0.9592954702031401</v>
      </c>
      <c r="GQ7" s="85">
        <f t="shared" si="122"/>
        <v>0.25</v>
      </c>
      <c r="GR7" s="86"/>
      <c r="GS7" s="91" t="str">
        <f t="shared" si="123"/>
        <v/>
      </c>
      <c r="GT7" s="85" t="str">
        <f t="shared" si="124"/>
        <v/>
      </c>
      <c r="GU7" s="86"/>
      <c r="GV7" s="91" t="str">
        <f t="shared" si="125"/>
        <v/>
      </c>
      <c r="GW7" s="85" t="str">
        <f t="shared" si="126"/>
        <v/>
      </c>
      <c r="GX7" s="86"/>
      <c r="GY7" s="91" t="str">
        <f t="shared" si="127"/>
        <v/>
      </c>
      <c r="GZ7" s="85" t="str">
        <f t="shared" si="128"/>
        <v/>
      </c>
      <c r="HA7" s="86"/>
      <c r="HB7" s="91" t="str">
        <f t="shared" si="129"/>
        <v/>
      </c>
      <c r="HC7" s="85" t="str">
        <f t="shared" si="130"/>
        <v/>
      </c>
      <c r="HD7" s="86"/>
      <c r="HE7" s="91" t="str">
        <f t="shared" si="131"/>
        <v/>
      </c>
      <c r="HF7" s="85" t="str">
        <f t="shared" si="132"/>
        <v/>
      </c>
      <c r="HG7" s="86"/>
      <c r="HH7" s="91" t="str">
        <f t="shared" si="133"/>
        <v/>
      </c>
      <c r="HI7" s="85" t="str">
        <f t="shared" si="134"/>
        <v/>
      </c>
      <c r="HJ7" s="86"/>
      <c r="HK7" s="91" t="str">
        <f t="shared" si="135"/>
        <v/>
      </c>
      <c r="HL7" s="85" t="str">
        <f t="shared" si="136"/>
        <v/>
      </c>
      <c r="HM7" s="86"/>
      <c r="HN7" s="91" t="str">
        <f t="shared" si="137"/>
        <v/>
      </c>
      <c r="HO7" s="85" t="str">
        <f t="shared" si="138"/>
        <v/>
      </c>
      <c r="HP7" s="86"/>
      <c r="HQ7" s="91" t="str">
        <f t="shared" si="139"/>
        <v/>
      </c>
      <c r="HR7" s="85" t="str">
        <f t="shared" si="140"/>
        <v/>
      </c>
      <c r="HS7" s="86"/>
      <c r="HT7" s="91" t="str">
        <f t="shared" si="141"/>
        <v/>
      </c>
      <c r="HU7" s="85" t="str">
        <f t="shared" si="142"/>
        <v/>
      </c>
      <c r="HV7" s="86"/>
      <c r="HW7" s="91" t="str">
        <f t="shared" si="143"/>
        <v/>
      </c>
      <c r="HX7" s="85" t="str">
        <f t="shared" si="144"/>
        <v/>
      </c>
      <c r="HY7" s="86"/>
      <c r="HZ7" s="91" t="str">
        <f t="shared" si="145"/>
        <v/>
      </c>
      <c r="IA7" s="85" t="str">
        <f t="shared" si="146"/>
        <v/>
      </c>
      <c r="IB7" s="86"/>
      <c r="IC7" s="91" t="str">
        <f t="shared" si="147"/>
        <v/>
      </c>
      <c r="ID7" s="85" t="str">
        <f t="shared" si="148"/>
        <v/>
      </c>
      <c r="IE7" s="86"/>
      <c r="IF7" s="91" t="str">
        <f t="shared" si="149"/>
        <v/>
      </c>
      <c r="IG7" s="85" t="str">
        <f t="shared" si="150"/>
        <v/>
      </c>
      <c r="IH7" s="86"/>
      <c r="II7" s="91" t="str">
        <f t="shared" si="151"/>
        <v/>
      </c>
      <c r="IJ7" s="85" t="str">
        <f t="shared" si="152"/>
        <v/>
      </c>
      <c r="IK7" s="86"/>
      <c r="IL7" s="91" t="str">
        <f t="shared" si="153"/>
        <v/>
      </c>
      <c r="IM7" s="85" t="str">
        <f t="shared" si="154"/>
        <v/>
      </c>
      <c r="IN7" s="86"/>
      <c r="IO7" s="91" t="str">
        <f t="shared" si="155"/>
        <v/>
      </c>
      <c r="IP7" s="85" t="str">
        <f t="shared" si="156"/>
        <v/>
      </c>
      <c r="IQ7" s="86"/>
      <c r="IR7" s="91" t="str">
        <f t="shared" si="157"/>
        <v/>
      </c>
      <c r="IS7" s="85" t="str">
        <f t="shared" si="158"/>
        <v/>
      </c>
      <c r="IT7" s="86"/>
      <c r="IU7" s="91" t="str">
        <f t="shared" si="159"/>
        <v/>
      </c>
      <c r="IV7" s="85" t="str">
        <f t="shared" si="160"/>
        <v/>
      </c>
      <c r="IW7" s="86"/>
      <c r="IX7" s="91" t="str">
        <f t="shared" si="161"/>
        <v/>
      </c>
      <c r="IY7" s="85" t="str">
        <f t="shared" si="162"/>
        <v/>
      </c>
      <c r="IZ7" s="86"/>
      <c r="JA7" s="91" t="str">
        <f t="shared" si="163"/>
        <v/>
      </c>
      <c r="JB7" s="85" t="str">
        <f t="shared" si="164"/>
        <v/>
      </c>
      <c r="JC7" s="86"/>
      <c r="JD7" s="91" t="str">
        <f t="shared" si="165"/>
        <v/>
      </c>
      <c r="JE7" s="85" t="str">
        <f t="shared" si="166"/>
        <v/>
      </c>
      <c r="JF7" s="86"/>
      <c r="JG7" s="91" t="str">
        <f t="shared" si="167"/>
        <v/>
      </c>
      <c r="JH7" s="85" t="str">
        <f t="shared" si="168"/>
        <v/>
      </c>
      <c r="JI7" s="86"/>
      <c r="JJ7" s="91" t="str">
        <f t="shared" si="169"/>
        <v/>
      </c>
      <c r="JK7" s="85" t="str">
        <f t="shared" si="170"/>
        <v/>
      </c>
      <c r="JL7" s="86"/>
      <c r="JM7" s="91" t="str">
        <f t="shared" si="171"/>
        <v/>
      </c>
      <c r="JN7" s="85" t="str">
        <f t="shared" si="172"/>
        <v/>
      </c>
      <c r="JO7" s="86"/>
      <c r="JP7" s="91" t="str">
        <f t="shared" si="173"/>
        <v/>
      </c>
      <c r="JQ7" s="85" t="str">
        <f t="shared" si="174"/>
        <v/>
      </c>
      <c r="JR7" s="86"/>
      <c r="JS7" s="91" t="str">
        <f t="shared" si="175"/>
        <v/>
      </c>
      <c r="JT7" s="85" t="str">
        <f t="shared" si="176"/>
        <v/>
      </c>
      <c r="JU7" s="86"/>
      <c r="JV7" s="91" t="str">
        <f t="shared" si="177"/>
        <v/>
      </c>
      <c r="JW7" s="85" t="str">
        <f t="shared" si="178"/>
        <v/>
      </c>
      <c r="JX7" s="86"/>
      <c r="JY7" s="91" t="str">
        <f t="shared" si="179"/>
        <v/>
      </c>
      <c r="JZ7" s="85" t="str">
        <f t="shared" si="180"/>
        <v/>
      </c>
      <c r="KA7" s="86"/>
      <c r="KB7" s="91" t="str">
        <f t="shared" si="181"/>
        <v/>
      </c>
      <c r="KC7" s="85" t="str">
        <f t="shared" si="182"/>
        <v/>
      </c>
      <c r="KD7" s="86"/>
      <c r="KE7" s="91" t="str">
        <f t="shared" si="183"/>
        <v/>
      </c>
      <c r="KF7" s="85" t="str">
        <f t="shared" si="184"/>
        <v/>
      </c>
      <c r="KG7" s="86"/>
      <c r="KH7" s="91" t="str">
        <f t="shared" si="185"/>
        <v/>
      </c>
      <c r="KI7" s="85" t="str">
        <f t="shared" si="186"/>
        <v/>
      </c>
      <c r="KJ7" s="86"/>
      <c r="KK7" s="91" t="str">
        <f t="shared" si="187"/>
        <v/>
      </c>
      <c r="KL7" s="85" t="str">
        <f t="shared" si="188"/>
        <v/>
      </c>
      <c r="KM7" s="86"/>
      <c r="KN7" s="91" t="str">
        <f t="shared" si="189"/>
        <v/>
      </c>
      <c r="KO7" s="85" t="str">
        <f t="shared" si="190"/>
        <v/>
      </c>
      <c r="KP7" s="86"/>
      <c r="KQ7" s="91" t="str">
        <f t="shared" si="191"/>
        <v/>
      </c>
      <c r="KR7" s="85" t="str">
        <f t="shared" si="192"/>
        <v/>
      </c>
      <c r="KS7" s="86"/>
      <c r="KT7" s="91" t="str">
        <f t="shared" si="193"/>
        <v/>
      </c>
      <c r="KU7" s="85" t="str">
        <f t="shared" si="194"/>
        <v/>
      </c>
      <c r="KV7" s="86"/>
      <c r="KW7" s="91" t="str">
        <f t="shared" si="195"/>
        <v/>
      </c>
      <c r="KX7" s="85" t="str">
        <f t="shared" si="196"/>
        <v/>
      </c>
      <c r="KY7" s="92"/>
      <c r="KZ7" s="91" t="str">
        <f t="shared" si="197"/>
        <v/>
      </c>
      <c r="LA7" s="85" t="str">
        <f t="shared" si="198"/>
        <v/>
      </c>
      <c r="LB7" s="50">
        <f>IFERROR(AVERAGE($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76.2</v>
      </c>
      <c r="LC7" s="57">
        <f t="shared" si="199"/>
        <v>51</v>
      </c>
      <c r="LD7" s="50">
        <f t="shared" si="207"/>
        <v>-1.0232873135563723</v>
      </c>
      <c r="LE7" s="57">
        <f t="shared" si="200"/>
        <v>56</v>
      </c>
      <c r="LF7" s="50">
        <f t="shared" si="208"/>
        <v>0.17333333333333334</v>
      </c>
      <c r="LG7" s="57">
        <f t="shared" si="201"/>
        <v>52</v>
      </c>
      <c r="LH7" s="58">
        <f t="shared" si="202"/>
        <v>38.048245614035089</v>
      </c>
      <c r="LI7" s="58">
        <f t="shared" si="203"/>
        <v>30.295785028478988</v>
      </c>
      <c r="LJ7" s="58">
        <f t="shared" si="204"/>
        <v>29.333333333333336</v>
      </c>
      <c r="LK7" s="58">
        <f t="shared" si="205"/>
        <v>47.677363975847413</v>
      </c>
      <c r="LL7" s="60">
        <f t="shared" si="206"/>
        <v>51</v>
      </c>
      <c r="LM7" s="55"/>
      <c r="LN7" s="61">
        <f t="shared" si="209"/>
        <v>7</v>
      </c>
      <c r="LO7" s="61">
        <f t="shared" si="210"/>
        <v>51</v>
      </c>
      <c r="LP7" s="64"/>
      <c r="LQ7" s="64"/>
      <c r="LR7" s="64"/>
    </row>
    <row r="8" spans="1:334" s="62" customFormat="1" ht="15" customHeight="1">
      <c r="A8" s="50">
        <f t="shared" si="211"/>
        <v>5</v>
      </c>
      <c r="B8" s="50">
        <f t="shared" si="212"/>
        <v>5</v>
      </c>
      <c r="C8" s="117">
        <v>39</v>
      </c>
      <c r="D8" s="118" t="s">
        <v>120</v>
      </c>
      <c r="E8" s="286" t="s">
        <v>598</v>
      </c>
      <c r="F8" s="286" t="s">
        <v>599</v>
      </c>
      <c r="G8" s="289"/>
      <c r="H8" s="119" t="s">
        <v>5</v>
      </c>
      <c r="I8" s="286" t="s">
        <v>529</v>
      </c>
      <c r="J8" s="119" t="s">
        <v>121</v>
      </c>
      <c r="K8" s="119" t="s">
        <v>9</v>
      </c>
      <c r="L8" s="53" t="s">
        <v>122</v>
      </c>
      <c r="M8" s="292" t="s">
        <v>35</v>
      </c>
      <c r="N8" s="86"/>
      <c r="O8" s="91" t="str">
        <f t="shared" si="0"/>
        <v/>
      </c>
      <c r="P8" s="85" t="str">
        <f t="shared" si="1"/>
        <v/>
      </c>
      <c r="Q8" s="86"/>
      <c r="R8" s="91" t="str">
        <f t="shared" si="2"/>
        <v/>
      </c>
      <c r="S8" s="85" t="str">
        <f t="shared" si="3"/>
        <v/>
      </c>
      <c r="T8" s="86"/>
      <c r="U8" s="91" t="str">
        <f t="shared" si="4"/>
        <v/>
      </c>
      <c r="V8" s="85" t="str">
        <f t="shared" si="5"/>
        <v/>
      </c>
      <c r="W8" s="86">
        <v>84</v>
      </c>
      <c r="X8" s="91">
        <f t="shared" si="6"/>
        <v>0.14586499149789456</v>
      </c>
      <c r="Y8" s="85">
        <f t="shared" si="7"/>
        <v>0.5</v>
      </c>
      <c r="Z8" s="86"/>
      <c r="AA8" s="91" t="str">
        <f t="shared" si="8"/>
        <v/>
      </c>
      <c r="AB8" s="85" t="str">
        <f t="shared" si="9"/>
        <v/>
      </c>
      <c r="AC8" s="86"/>
      <c r="AD8" s="91" t="str">
        <f t="shared" si="10"/>
        <v/>
      </c>
      <c r="AE8" s="85" t="str">
        <f t="shared" si="11"/>
        <v/>
      </c>
      <c r="AF8" s="86"/>
      <c r="AG8" s="91" t="str">
        <f t="shared" si="12"/>
        <v/>
      </c>
      <c r="AH8" s="85" t="str">
        <f t="shared" si="13"/>
        <v/>
      </c>
      <c r="AI8" s="86"/>
      <c r="AJ8" s="91" t="str">
        <f t="shared" si="14"/>
        <v/>
      </c>
      <c r="AK8" s="85" t="str">
        <f t="shared" si="15"/>
        <v/>
      </c>
      <c r="AL8" s="86"/>
      <c r="AM8" s="91" t="str">
        <f t="shared" si="16"/>
        <v/>
      </c>
      <c r="AN8" s="85" t="str">
        <f t="shared" si="17"/>
        <v/>
      </c>
      <c r="AO8" s="86">
        <v>90</v>
      </c>
      <c r="AP8" s="91">
        <f t="shared" si="18"/>
        <v>0.93552855392749867</v>
      </c>
      <c r="AQ8" s="85">
        <f t="shared" si="19"/>
        <v>1</v>
      </c>
      <c r="AR8" s="92"/>
      <c r="AS8" s="91" t="str">
        <f t="shared" si="20"/>
        <v/>
      </c>
      <c r="AT8" s="85" t="str">
        <f t="shared" si="21"/>
        <v/>
      </c>
      <c r="AU8" s="86"/>
      <c r="AV8" s="91" t="str">
        <f t="shared" si="22"/>
        <v/>
      </c>
      <c r="AW8" s="85" t="str">
        <f t="shared" si="23"/>
        <v/>
      </c>
      <c r="AX8" s="86"/>
      <c r="AY8" s="91" t="str">
        <f t="shared" si="24"/>
        <v/>
      </c>
      <c r="AZ8" s="85" t="str">
        <f t="shared" si="25"/>
        <v/>
      </c>
      <c r="BA8" s="86"/>
      <c r="BB8" s="91" t="str">
        <f t="shared" si="26"/>
        <v/>
      </c>
      <c r="BC8" s="85" t="str">
        <f t="shared" si="27"/>
        <v/>
      </c>
      <c r="BD8" s="86"/>
      <c r="BE8" s="91" t="str">
        <f t="shared" si="28"/>
        <v/>
      </c>
      <c r="BF8" s="85" t="str">
        <f t="shared" si="29"/>
        <v/>
      </c>
      <c r="BG8" s="86"/>
      <c r="BH8" s="91" t="str">
        <f t="shared" si="30"/>
        <v/>
      </c>
      <c r="BI8" s="85" t="str">
        <f t="shared" si="31"/>
        <v/>
      </c>
      <c r="BJ8" s="86"/>
      <c r="BK8" s="91" t="str">
        <f t="shared" si="32"/>
        <v/>
      </c>
      <c r="BL8" s="85" t="str">
        <f t="shared" si="33"/>
        <v/>
      </c>
      <c r="BM8" s="86"/>
      <c r="BN8" s="91" t="str">
        <f t="shared" si="34"/>
        <v/>
      </c>
      <c r="BO8" s="85" t="str">
        <f t="shared" si="35"/>
        <v/>
      </c>
      <c r="BP8" s="51"/>
      <c r="BQ8" s="91" t="str">
        <f t="shared" si="36"/>
        <v/>
      </c>
      <c r="BR8" s="85" t="str">
        <f t="shared" si="37"/>
        <v/>
      </c>
      <c r="BS8" s="86"/>
      <c r="BT8" s="91" t="str">
        <f t="shared" si="38"/>
        <v/>
      </c>
      <c r="BU8" s="85" t="str">
        <f t="shared" si="39"/>
        <v/>
      </c>
      <c r="BV8" s="56"/>
      <c r="BW8" s="91" t="str">
        <f t="shared" si="40"/>
        <v/>
      </c>
      <c r="BX8" s="85" t="str">
        <f t="shared" si="41"/>
        <v/>
      </c>
      <c r="BY8" s="86"/>
      <c r="BZ8" s="91" t="str">
        <f t="shared" si="42"/>
        <v/>
      </c>
      <c r="CA8" s="85" t="str">
        <f t="shared" si="43"/>
        <v/>
      </c>
      <c r="CB8" s="86"/>
      <c r="CC8" s="91" t="str">
        <f t="shared" si="44"/>
        <v/>
      </c>
      <c r="CD8" s="85" t="str">
        <f t="shared" si="45"/>
        <v/>
      </c>
      <c r="CE8" s="89"/>
      <c r="CF8" s="91" t="str">
        <f t="shared" si="46"/>
        <v/>
      </c>
      <c r="CG8" s="85" t="str">
        <f t="shared" si="47"/>
        <v/>
      </c>
      <c r="CH8" s="86"/>
      <c r="CI8" s="91" t="str">
        <f t="shared" si="48"/>
        <v/>
      </c>
      <c r="CJ8" s="85" t="str">
        <f t="shared" si="49"/>
        <v/>
      </c>
      <c r="CK8" s="92"/>
      <c r="CL8" s="91" t="str">
        <f t="shared" si="50"/>
        <v/>
      </c>
      <c r="CM8" s="85" t="str">
        <f t="shared" si="51"/>
        <v/>
      </c>
      <c r="CN8" s="86"/>
      <c r="CO8" s="91" t="str">
        <f t="shared" si="52"/>
        <v/>
      </c>
      <c r="CP8" s="85" t="str">
        <f t="shared" si="53"/>
        <v/>
      </c>
      <c r="CQ8" s="86"/>
      <c r="CR8" s="91" t="str">
        <f t="shared" si="54"/>
        <v/>
      </c>
      <c r="CS8" s="85" t="str">
        <f t="shared" si="55"/>
        <v/>
      </c>
      <c r="CT8" s="86"/>
      <c r="CU8" s="91" t="str">
        <f t="shared" si="56"/>
        <v/>
      </c>
      <c r="CV8" s="85" t="str">
        <f t="shared" si="57"/>
        <v/>
      </c>
      <c r="CW8" s="86"/>
      <c r="CX8" s="91" t="str">
        <f t="shared" si="58"/>
        <v/>
      </c>
      <c r="CY8" s="85" t="str">
        <f t="shared" si="59"/>
        <v/>
      </c>
      <c r="CZ8" s="86"/>
      <c r="DA8" s="91" t="str">
        <f t="shared" si="60"/>
        <v/>
      </c>
      <c r="DB8" s="85" t="str">
        <f t="shared" si="61"/>
        <v/>
      </c>
      <c r="DC8" s="86"/>
      <c r="DD8" s="91" t="str">
        <f t="shared" si="62"/>
        <v/>
      </c>
      <c r="DE8" s="85" t="str">
        <f t="shared" si="63"/>
        <v/>
      </c>
      <c r="DF8" s="56"/>
      <c r="DG8" s="91"/>
      <c r="DH8" s="85" t="str">
        <f t="shared" si="64"/>
        <v/>
      </c>
      <c r="DI8" s="89"/>
      <c r="DJ8" s="91" t="str">
        <f t="shared" si="65"/>
        <v/>
      </c>
      <c r="DK8" s="85" t="str">
        <f t="shared" si="66"/>
        <v/>
      </c>
      <c r="DL8" s="86"/>
      <c r="DM8" s="91" t="str">
        <f t="shared" si="67"/>
        <v/>
      </c>
      <c r="DN8" s="85" t="str">
        <f t="shared" si="68"/>
        <v/>
      </c>
      <c r="DO8" s="86"/>
      <c r="DP8" s="91" t="str">
        <f t="shared" si="69"/>
        <v/>
      </c>
      <c r="DQ8" s="85" t="str">
        <f t="shared" si="70"/>
        <v/>
      </c>
      <c r="DR8" s="86"/>
      <c r="DS8" s="91" t="str">
        <f t="shared" si="71"/>
        <v/>
      </c>
      <c r="DT8" s="85" t="str">
        <f t="shared" si="72"/>
        <v/>
      </c>
      <c r="DU8" s="86"/>
      <c r="DV8" s="91" t="str">
        <f t="shared" si="73"/>
        <v/>
      </c>
      <c r="DW8" s="85" t="str">
        <f t="shared" si="74"/>
        <v/>
      </c>
      <c r="DX8" s="92"/>
      <c r="DY8" s="91" t="str">
        <f t="shared" si="75"/>
        <v/>
      </c>
      <c r="DZ8" s="85" t="str">
        <f t="shared" si="76"/>
        <v/>
      </c>
      <c r="EA8" s="86"/>
      <c r="EB8" s="91" t="str">
        <f t="shared" si="77"/>
        <v/>
      </c>
      <c r="EC8" s="85" t="str">
        <f t="shared" si="78"/>
        <v/>
      </c>
      <c r="ED8" s="86"/>
      <c r="EE8" s="91" t="str">
        <f t="shared" si="79"/>
        <v/>
      </c>
      <c r="EF8" s="85" t="str">
        <f t="shared" si="80"/>
        <v/>
      </c>
      <c r="EG8" s="89"/>
      <c r="EH8" s="91" t="str">
        <f t="shared" si="81"/>
        <v/>
      </c>
      <c r="EI8" s="85" t="str">
        <f t="shared" si="82"/>
        <v/>
      </c>
      <c r="EJ8" s="86"/>
      <c r="EK8" s="91" t="str">
        <f t="shared" si="83"/>
        <v/>
      </c>
      <c r="EL8" s="85" t="str">
        <f t="shared" si="84"/>
        <v/>
      </c>
      <c r="EM8" s="86"/>
      <c r="EN8" s="91" t="str">
        <f t="shared" si="85"/>
        <v/>
      </c>
      <c r="EO8" s="85" t="str">
        <f t="shared" si="86"/>
        <v/>
      </c>
      <c r="EP8" s="86"/>
      <c r="EQ8" s="91" t="str">
        <f t="shared" si="87"/>
        <v/>
      </c>
      <c r="ER8" s="85" t="str">
        <f t="shared" si="88"/>
        <v/>
      </c>
      <c r="ES8" s="51"/>
      <c r="ET8" s="91" t="str">
        <f t="shared" si="89"/>
        <v/>
      </c>
      <c r="EU8" s="85" t="str">
        <f t="shared" si="90"/>
        <v/>
      </c>
      <c r="EV8" s="86"/>
      <c r="EW8" s="91" t="str">
        <f t="shared" si="91"/>
        <v/>
      </c>
      <c r="EX8" s="85" t="str">
        <f t="shared" si="92"/>
        <v/>
      </c>
      <c r="EY8" s="86"/>
      <c r="EZ8" s="91" t="str">
        <f t="shared" si="93"/>
        <v/>
      </c>
      <c r="FA8" s="85" t="str">
        <f t="shared" si="94"/>
        <v/>
      </c>
      <c r="FB8" s="86">
        <v>88</v>
      </c>
      <c r="FC8" s="91">
        <f t="shared" si="95"/>
        <v>0.12615514005935399</v>
      </c>
      <c r="FD8" s="85">
        <f t="shared" si="96"/>
        <v>0.33333333333333331</v>
      </c>
      <c r="FE8" s="56"/>
      <c r="FF8" s="91" t="str">
        <f t="shared" si="97"/>
        <v/>
      </c>
      <c r="FG8" s="85" t="str">
        <f t="shared" si="98"/>
        <v/>
      </c>
      <c r="FH8" s="56"/>
      <c r="FI8" s="91" t="str">
        <f t="shared" si="99"/>
        <v/>
      </c>
      <c r="FJ8" s="85" t="str">
        <f t="shared" si="100"/>
        <v/>
      </c>
      <c r="FK8" s="86"/>
      <c r="FL8" s="91" t="str">
        <f t="shared" si="101"/>
        <v/>
      </c>
      <c r="FM8" s="85" t="str">
        <f t="shared" si="102"/>
        <v/>
      </c>
      <c r="FN8" s="86"/>
      <c r="FO8" s="91" t="str">
        <f t="shared" si="103"/>
        <v/>
      </c>
      <c r="FP8" s="85" t="str">
        <f t="shared" si="104"/>
        <v/>
      </c>
      <c r="FQ8" s="86"/>
      <c r="FR8" s="91" t="str">
        <f t="shared" si="105"/>
        <v/>
      </c>
      <c r="FS8" s="85" t="str">
        <f t="shared" si="106"/>
        <v/>
      </c>
      <c r="FT8" s="56"/>
      <c r="FU8" s="91" t="str">
        <f t="shared" si="107"/>
        <v/>
      </c>
      <c r="FV8" s="85" t="str">
        <f t="shared" si="108"/>
        <v/>
      </c>
      <c r="FW8" s="273">
        <v>94</v>
      </c>
      <c r="FX8" s="91">
        <f t="shared" si="109"/>
        <v>1.0522686626065709</v>
      </c>
      <c r="FY8" s="85">
        <f t="shared" si="110"/>
        <v>1</v>
      </c>
      <c r="FZ8" s="86"/>
      <c r="GA8" s="91" t="str">
        <f t="shared" si="111"/>
        <v/>
      </c>
      <c r="GB8" s="85" t="str">
        <f t="shared" si="112"/>
        <v/>
      </c>
      <c r="GC8" s="86"/>
      <c r="GD8" s="91" t="str">
        <f t="shared" si="113"/>
        <v/>
      </c>
      <c r="GE8" s="85" t="str">
        <f t="shared" si="114"/>
        <v/>
      </c>
      <c r="GF8" s="86"/>
      <c r="GG8" s="91" t="str">
        <f t="shared" si="115"/>
        <v/>
      </c>
      <c r="GH8" s="85" t="str">
        <f t="shared" si="116"/>
        <v/>
      </c>
      <c r="GI8" s="86"/>
      <c r="GJ8" s="91" t="str">
        <f t="shared" si="117"/>
        <v/>
      </c>
      <c r="GK8" s="85" t="str">
        <f t="shared" si="118"/>
        <v/>
      </c>
      <c r="GL8" s="56"/>
      <c r="GM8" s="91" t="str">
        <f t="shared" si="119"/>
        <v/>
      </c>
      <c r="GN8" s="85" t="str">
        <f t="shared" si="120"/>
        <v/>
      </c>
      <c r="GO8" s="86">
        <v>91</v>
      </c>
      <c r="GP8" s="91">
        <f t="shared" si="121"/>
        <v>0.46822755093248525</v>
      </c>
      <c r="GQ8" s="85">
        <f t="shared" si="122"/>
        <v>0.5</v>
      </c>
      <c r="GR8" s="92"/>
      <c r="GS8" s="91" t="str">
        <f t="shared" si="123"/>
        <v/>
      </c>
      <c r="GT8" s="85" t="str">
        <f t="shared" si="124"/>
        <v/>
      </c>
      <c r="GU8" s="86"/>
      <c r="GV8" s="91" t="str">
        <f t="shared" si="125"/>
        <v/>
      </c>
      <c r="GW8" s="85" t="str">
        <f t="shared" si="126"/>
        <v/>
      </c>
      <c r="GX8" s="86"/>
      <c r="GY8" s="91" t="str">
        <f t="shared" si="127"/>
        <v/>
      </c>
      <c r="GZ8" s="85" t="str">
        <f t="shared" si="128"/>
        <v/>
      </c>
      <c r="HA8" s="86"/>
      <c r="HB8" s="91" t="str">
        <f t="shared" si="129"/>
        <v/>
      </c>
      <c r="HC8" s="85" t="str">
        <f t="shared" si="130"/>
        <v/>
      </c>
      <c r="HD8" s="86"/>
      <c r="HE8" s="91" t="str">
        <f t="shared" si="131"/>
        <v/>
      </c>
      <c r="HF8" s="85" t="str">
        <f t="shared" si="132"/>
        <v/>
      </c>
      <c r="HG8" s="86"/>
      <c r="HH8" s="91" t="str">
        <f t="shared" si="133"/>
        <v/>
      </c>
      <c r="HI8" s="85" t="str">
        <f t="shared" si="134"/>
        <v/>
      </c>
      <c r="HJ8" s="86"/>
      <c r="HK8" s="91" t="str">
        <f t="shared" si="135"/>
        <v/>
      </c>
      <c r="HL8" s="85" t="str">
        <f t="shared" si="136"/>
        <v/>
      </c>
      <c r="HM8" s="86"/>
      <c r="HN8" s="91" t="str">
        <f t="shared" si="137"/>
        <v/>
      </c>
      <c r="HO8" s="85" t="str">
        <f t="shared" si="138"/>
        <v/>
      </c>
      <c r="HP8" s="86"/>
      <c r="HQ8" s="91" t="str">
        <f t="shared" si="139"/>
        <v/>
      </c>
      <c r="HR8" s="85" t="str">
        <f t="shared" si="140"/>
        <v/>
      </c>
      <c r="HS8" s="86"/>
      <c r="HT8" s="91" t="str">
        <f t="shared" si="141"/>
        <v/>
      </c>
      <c r="HU8" s="85" t="str">
        <f t="shared" si="142"/>
        <v/>
      </c>
      <c r="HV8" s="86"/>
      <c r="HW8" s="91" t="str">
        <f t="shared" si="143"/>
        <v/>
      </c>
      <c r="HX8" s="85" t="str">
        <f t="shared" si="144"/>
        <v/>
      </c>
      <c r="HY8" s="86"/>
      <c r="HZ8" s="91" t="str">
        <f t="shared" si="145"/>
        <v/>
      </c>
      <c r="IA8" s="85" t="str">
        <f t="shared" si="146"/>
        <v/>
      </c>
      <c r="IB8" s="86"/>
      <c r="IC8" s="91" t="str">
        <f t="shared" si="147"/>
        <v/>
      </c>
      <c r="ID8" s="85" t="str">
        <f t="shared" si="148"/>
        <v/>
      </c>
      <c r="IE8" s="86"/>
      <c r="IF8" s="91" t="str">
        <f t="shared" si="149"/>
        <v/>
      </c>
      <c r="IG8" s="85" t="str">
        <f t="shared" si="150"/>
        <v/>
      </c>
      <c r="IH8" s="86"/>
      <c r="II8" s="91" t="str">
        <f t="shared" si="151"/>
        <v/>
      </c>
      <c r="IJ8" s="85" t="str">
        <f t="shared" si="152"/>
        <v/>
      </c>
      <c r="IK8" s="86"/>
      <c r="IL8" s="91" t="str">
        <f t="shared" si="153"/>
        <v/>
      </c>
      <c r="IM8" s="85" t="str">
        <f t="shared" si="154"/>
        <v/>
      </c>
      <c r="IN8" s="86"/>
      <c r="IO8" s="91" t="str">
        <f t="shared" si="155"/>
        <v/>
      </c>
      <c r="IP8" s="85" t="str">
        <f t="shared" si="156"/>
        <v/>
      </c>
      <c r="IQ8" s="86"/>
      <c r="IR8" s="91" t="str">
        <f t="shared" si="157"/>
        <v/>
      </c>
      <c r="IS8" s="85" t="str">
        <f t="shared" si="158"/>
        <v/>
      </c>
      <c r="IT8" s="86"/>
      <c r="IU8" s="91" t="str">
        <f t="shared" si="159"/>
        <v/>
      </c>
      <c r="IV8" s="85" t="str">
        <f t="shared" si="160"/>
        <v/>
      </c>
      <c r="IW8" s="86"/>
      <c r="IX8" s="91" t="str">
        <f t="shared" si="161"/>
        <v/>
      </c>
      <c r="IY8" s="85" t="str">
        <f t="shared" si="162"/>
        <v/>
      </c>
      <c r="IZ8" s="86"/>
      <c r="JA8" s="91" t="str">
        <f t="shared" si="163"/>
        <v/>
      </c>
      <c r="JB8" s="85" t="str">
        <f t="shared" si="164"/>
        <v/>
      </c>
      <c r="JC8" s="86"/>
      <c r="JD8" s="91" t="str">
        <f t="shared" si="165"/>
        <v/>
      </c>
      <c r="JE8" s="85" t="str">
        <f t="shared" si="166"/>
        <v/>
      </c>
      <c r="JF8" s="86"/>
      <c r="JG8" s="91" t="str">
        <f t="shared" si="167"/>
        <v/>
      </c>
      <c r="JH8" s="85" t="str">
        <f t="shared" si="168"/>
        <v/>
      </c>
      <c r="JI8" s="86"/>
      <c r="JJ8" s="91" t="str">
        <f t="shared" si="169"/>
        <v/>
      </c>
      <c r="JK8" s="85" t="str">
        <f t="shared" si="170"/>
        <v/>
      </c>
      <c r="JL8" s="86"/>
      <c r="JM8" s="91" t="str">
        <f t="shared" si="171"/>
        <v/>
      </c>
      <c r="JN8" s="85" t="str">
        <f t="shared" si="172"/>
        <v/>
      </c>
      <c r="JO8" s="86"/>
      <c r="JP8" s="91" t="str">
        <f t="shared" si="173"/>
        <v/>
      </c>
      <c r="JQ8" s="85" t="str">
        <f t="shared" si="174"/>
        <v/>
      </c>
      <c r="JR8" s="86"/>
      <c r="JS8" s="91" t="str">
        <f t="shared" si="175"/>
        <v/>
      </c>
      <c r="JT8" s="85" t="str">
        <f t="shared" si="176"/>
        <v/>
      </c>
      <c r="JU8" s="86"/>
      <c r="JV8" s="91" t="str">
        <f t="shared" si="177"/>
        <v/>
      </c>
      <c r="JW8" s="85" t="str">
        <f t="shared" si="178"/>
        <v/>
      </c>
      <c r="JX8" s="86"/>
      <c r="JY8" s="91" t="str">
        <f t="shared" si="179"/>
        <v/>
      </c>
      <c r="JZ8" s="85" t="str">
        <f t="shared" si="180"/>
        <v/>
      </c>
      <c r="KA8" s="86"/>
      <c r="KB8" s="91" t="str">
        <f t="shared" si="181"/>
        <v/>
      </c>
      <c r="KC8" s="85" t="str">
        <f t="shared" si="182"/>
        <v/>
      </c>
      <c r="KD8" s="86"/>
      <c r="KE8" s="91" t="str">
        <f t="shared" si="183"/>
        <v/>
      </c>
      <c r="KF8" s="85" t="str">
        <f t="shared" si="184"/>
        <v/>
      </c>
      <c r="KG8" s="86"/>
      <c r="KH8" s="91" t="str">
        <f t="shared" si="185"/>
        <v/>
      </c>
      <c r="KI8" s="85" t="str">
        <f t="shared" si="186"/>
        <v/>
      </c>
      <c r="KJ8" s="86"/>
      <c r="KK8" s="91" t="str">
        <f t="shared" si="187"/>
        <v/>
      </c>
      <c r="KL8" s="85" t="str">
        <f t="shared" si="188"/>
        <v/>
      </c>
      <c r="KM8" s="86"/>
      <c r="KN8" s="91" t="str">
        <f t="shared" si="189"/>
        <v/>
      </c>
      <c r="KO8" s="85" t="str">
        <f t="shared" si="190"/>
        <v/>
      </c>
      <c r="KP8" s="86"/>
      <c r="KQ8" s="91" t="str">
        <f t="shared" si="191"/>
        <v/>
      </c>
      <c r="KR8" s="85" t="str">
        <f t="shared" si="192"/>
        <v/>
      </c>
      <c r="KS8" s="86"/>
      <c r="KT8" s="91" t="str">
        <f t="shared" si="193"/>
        <v/>
      </c>
      <c r="KU8" s="85" t="str">
        <f t="shared" si="194"/>
        <v/>
      </c>
      <c r="KV8" s="86"/>
      <c r="KW8" s="91" t="str">
        <f t="shared" si="195"/>
        <v/>
      </c>
      <c r="KX8" s="85" t="str">
        <f t="shared" si="196"/>
        <v/>
      </c>
      <c r="KY8" s="92"/>
      <c r="KZ8" s="91" t="str">
        <f t="shared" si="197"/>
        <v/>
      </c>
      <c r="LA8" s="85" t="str">
        <f t="shared" si="198"/>
        <v/>
      </c>
      <c r="LB8" s="50">
        <f>IFERROR(AVERAGE($N8,$Q8,$T8,$W8,$Z8,$AC8,$AF8,$AI8,$AL8,$AO8,$AR8,$AU8,$AX8,$BA8,$BD8,$BG8,$BJ8,$BM8,$BP8,$BS8,$BV8,$BY8,$CB8,$CE8,$CH8,$CK8,$CN8,$CQ8,$CT8,$CW8,$CZ8,$DC8,$DF8,$DI8,$DL8,$DO8,$DR8,$DU8,$DX8,$EA8,$ED8,$EG8,$EJ8,$EM8,$EP8,$ES8,$EV8,$EY8,$FB8,$FE8,$FH8,$FK8,$FN8,$FQ8,$FT8,$FW8,$FZ8,$GC8,$GF8,$GI8,$GL8,$GO8,$GR8,$GU8,$GX8,$HA8,$HD8,$HG8,$HJ8,$HM8,$HP8,$HS8,$HV8,$HY8,$IB8,$IE8,$IH8, $IK8, $IN8,$IQ8,$IT8,$IW8,$IZ8,$JC8,$JF8,$JI8,$JL8,$JO8,$JR8,$JU8,$JX8,$KA8,$KD8,$KG8,$KJ8,$KJ8,$KM8,$KP8,$KS8,$KV8,$KY8),"")</f>
        <v>89.4</v>
      </c>
      <c r="LC8" s="57">
        <f t="shared" si="199"/>
        <v>18</v>
      </c>
      <c r="LD8" s="50">
        <f t="shared" si="207"/>
        <v>0.54560897980476064</v>
      </c>
      <c r="LE8" s="57">
        <f t="shared" si="200"/>
        <v>17</v>
      </c>
      <c r="LF8" s="50">
        <f t="shared" si="208"/>
        <v>0.66666666666666663</v>
      </c>
      <c r="LG8" s="57">
        <f t="shared" si="201"/>
        <v>23</v>
      </c>
      <c r="LH8" s="58">
        <f t="shared" si="202"/>
        <v>45.285087719298247</v>
      </c>
      <c r="LI8" s="58">
        <f t="shared" si="203"/>
        <v>44.942296928175182</v>
      </c>
      <c r="LJ8" s="58">
        <f t="shared" si="204"/>
        <v>41.666666666666664</v>
      </c>
      <c r="LK8" s="58">
        <f t="shared" si="205"/>
        <v>81.894051314140086</v>
      </c>
      <c r="LL8" s="60">
        <f t="shared" si="206"/>
        <v>19</v>
      </c>
      <c r="LM8" s="55"/>
      <c r="LN8" s="61">
        <f t="shared" si="209"/>
        <v>3</v>
      </c>
      <c r="LO8" s="61">
        <f t="shared" si="210"/>
        <v>19</v>
      </c>
      <c r="LP8" s="64"/>
      <c r="LQ8" s="64"/>
      <c r="LR8" s="64"/>
    </row>
    <row r="9" spans="1:334" s="62" customFormat="1" ht="15" customHeight="1">
      <c r="A9" s="50">
        <f t="shared" si="211"/>
        <v>5</v>
      </c>
      <c r="B9" s="50">
        <f t="shared" si="212"/>
        <v>5</v>
      </c>
      <c r="C9" s="117">
        <v>36</v>
      </c>
      <c r="D9" s="118" t="s">
        <v>123</v>
      </c>
      <c r="E9" s="286" t="s">
        <v>600</v>
      </c>
      <c r="F9" s="286" t="s">
        <v>601</v>
      </c>
      <c r="G9" s="286" t="s">
        <v>602</v>
      </c>
      <c r="H9" s="119" t="s">
        <v>7</v>
      </c>
      <c r="I9" s="286" t="s">
        <v>530</v>
      </c>
      <c r="J9" s="119" t="s">
        <v>124</v>
      </c>
      <c r="K9" s="119" t="s">
        <v>9</v>
      </c>
      <c r="L9" s="53" t="s">
        <v>125</v>
      </c>
      <c r="M9" s="292" t="s">
        <v>35</v>
      </c>
      <c r="N9" s="86"/>
      <c r="O9" s="91" t="str">
        <f t="shared" si="0"/>
        <v/>
      </c>
      <c r="P9" s="85" t="str">
        <f t="shared" si="1"/>
        <v/>
      </c>
      <c r="Q9" s="86"/>
      <c r="R9" s="91" t="str">
        <f t="shared" si="2"/>
        <v/>
      </c>
      <c r="S9" s="85" t="str">
        <f t="shared" si="3"/>
        <v/>
      </c>
      <c r="T9" s="86"/>
      <c r="U9" s="91" t="str">
        <f t="shared" si="4"/>
        <v/>
      </c>
      <c r="V9" s="85" t="str">
        <f t="shared" si="5"/>
        <v/>
      </c>
      <c r="W9" s="86"/>
      <c r="X9" s="91" t="str">
        <f t="shared" si="6"/>
        <v/>
      </c>
      <c r="Y9" s="85" t="str">
        <f t="shared" si="7"/>
        <v/>
      </c>
      <c r="Z9" s="86"/>
      <c r="AA9" s="91" t="str">
        <f t="shared" si="8"/>
        <v/>
      </c>
      <c r="AB9" s="85" t="str">
        <f t="shared" si="9"/>
        <v/>
      </c>
      <c r="AC9" s="271">
        <v>100</v>
      </c>
      <c r="AD9" s="91">
        <f t="shared" si="10"/>
        <v>0.85381770046647543</v>
      </c>
      <c r="AE9" s="85">
        <f t="shared" si="11"/>
        <v>1</v>
      </c>
      <c r="AF9" s="86"/>
      <c r="AG9" s="91" t="str">
        <f t="shared" si="12"/>
        <v/>
      </c>
      <c r="AH9" s="85" t="str">
        <f t="shared" si="13"/>
        <v/>
      </c>
      <c r="AI9" s="86"/>
      <c r="AJ9" s="91" t="str">
        <f t="shared" si="14"/>
        <v/>
      </c>
      <c r="AK9" s="85" t="str">
        <f t="shared" si="15"/>
        <v/>
      </c>
      <c r="AL9" s="86"/>
      <c r="AM9" s="91" t="str">
        <f t="shared" si="16"/>
        <v/>
      </c>
      <c r="AN9" s="85" t="str">
        <f t="shared" si="17"/>
        <v/>
      </c>
      <c r="AO9" s="86"/>
      <c r="AP9" s="91" t="str">
        <f t="shared" si="18"/>
        <v/>
      </c>
      <c r="AQ9" s="85" t="str">
        <f t="shared" si="19"/>
        <v/>
      </c>
      <c r="AR9" s="86"/>
      <c r="AS9" s="91" t="str">
        <f t="shared" si="20"/>
        <v/>
      </c>
      <c r="AT9" s="85" t="str">
        <f t="shared" si="21"/>
        <v/>
      </c>
      <c r="AU9" s="86"/>
      <c r="AV9" s="91" t="str">
        <f t="shared" si="22"/>
        <v/>
      </c>
      <c r="AW9" s="85" t="str">
        <f t="shared" si="23"/>
        <v/>
      </c>
      <c r="AX9" s="86"/>
      <c r="AY9" s="91" t="str">
        <f t="shared" si="24"/>
        <v/>
      </c>
      <c r="AZ9" s="85" t="str">
        <f t="shared" si="25"/>
        <v/>
      </c>
      <c r="BA9" s="86"/>
      <c r="BB9" s="91" t="str">
        <f t="shared" si="26"/>
        <v/>
      </c>
      <c r="BC9" s="85" t="str">
        <f t="shared" si="27"/>
        <v/>
      </c>
      <c r="BD9" s="86"/>
      <c r="BE9" s="91" t="str">
        <f t="shared" si="28"/>
        <v/>
      </c>
      <c r="BF9" s="85" t="str">
        <f t="shared" si="29"/>
        <v/>
      </c>
      <c r="BG9" s="86">
        <v>95</v>
      </c>
      <c r="BH9" s="91">
        <f t="shared" si="30"/>
        <v>0.43915503282683988</v>
      </c>
      <c r="BI9" s="85">
        <f t="shared" si="31"/>
        <v>0.66666666666666663</v>
      </c>
      <c r="BJ9" s="86"/>
      <c r="BK9" s="91" t="str">
        <f t="shared" si="32"/>
        <v/>
      </c>
      <c r="BL9" s="85" t="str">
        <f t="shared" si="33"/>
        <v/>
      </c>
      <c r="BM9" s="86"/>
      <c r="BN9" s="91" t="str">
        <f t="shared" si="34"/>
        <v/>
      </c>
      <c r="BO9" s="85" t="str">
        <f t="shared" si="35"/>
        <v/>
      </c>
      <c r="BP9" s="91"/>
      <c r="BQ9" s="91" t="str">
        <f t="shared" si="36"/>
        <v/>
      </c>
      <c r="BR9" s="85" t="str">
        <f t="shared" si="37"/>
        <v/>
      </c>
      <c r="BS9" s="86"/>
      <c r="BT9" s="91" t="str">
        <f t="shared" si="38"/>
        <v/>
      </c>
      <c r="BU9" s="85" t="str">
        <f t="shared" si="39"/>
        <v/>
      </c>
      <c r="BV9" s="86"/>
      <c r="BW9" s="91" t="str">
        <f t="shared" si="40"/>
        <v/>
      </c>
      <c r="BX9" s="85" t="str">
        <f t="shared" si="41"/>
        <v/>
      </c>
      <c r="BY9" s="56"/>
      <c r="BZ9" s="91" t="str">
        <f t="shared" si="42"/>
        <v/>
      </c>
      <c r="CA9" s="85" t="str">
        <f t="shared" si="43"/>
        <v/>
      </c>
      <c r="CB9" s="86"/>
      <c r="CC9" s="91" t="str">
        <f t="shared" si="44"/>
        <v/>
      </c>
      <c r="CD9" s="85" t="str">
        <f t="shared" si="45"/>
        <v/>
      </c>
      <c r="CE9" s="86"/>
      <c r="CF9" s="91" t="str">
        <f t="shared" si="46"/>
        <v/>
      </c>
      <c r="CG9" s="85" t="str">
        <f t="shared" si="47"/>
        <v/>
      </c>
      <c r="CH9" s="86"/>
      <c r="CI9" s="91" t="str">
        <f t="shared" si="48"/>
        <v/>
      </c>
      <c r="CJ9" s="85" t="str">
        <f t="shared" si="49"/>
        <v/>
      </c>
      <c r="CK9" s="92"/>
      <c r="CL9" s="91" t="str">
        <f t="shared" si="50"/>
        <v/>
      </c>
      <c r="CM9" s="85" t="str">
        <f t="shared" si="51"/>
        <v/>
      </c>
      <c r="CN9" s="86"/>
      <c r="CO9" s="91" t="str">
        <f t="shared" si="52"/>
        <v/>
      </c>
      <c r="CP9" s="85" t="str">
        <f t="shared" si="53"/>
        <v/>
      </c>
      <c r="CQ9" s="86"/>
      <c r="CR9" s="91" t="str">
        <f t="shared" si="54"/>
        <v/>
      </c>
      <c r="CS9" s="85" t="str">
        <f t="shared" si="55"/>
        <v/>
      </c>
      <c r="CT9" s="86"/>
      <c r="CU9" s="91" t="str">
        <f t="shared" si="56"/>
        <v/>
      </c>
      <c r="CV9" s="85" t="str">
        <f t="shared" si="57"/>
        <v/>
      </c>
      <c r="CW9" s="86"/>
      <c r="CX9" s="91" t="str">
        <f t="shared" si="58"/>
        <v/>
      </c>
      <c r="CY9" s="85" t="str">
        <f t="shared" si="59"/>
        <v/>
      </c>
      <c r="CZ9" s="86"/>
      <c r="DA9" s="91" t="str">
        <f t="shared" si="60"/>
        <v/>
      </c>
      <c r="DB9" s="85" t="str">
        <f t="shared" si="61"/>
        <v/>
      </c>
      <c r="DC9" s="86"/>
      <c r="DD9" s="91" t="str">
        <f t="shared" si="62"/>
        <v/>
      </c>
      <c r="DE9" s="85" t="str">
        <f t="shared" si="63"/>
        <v/>
      </c>
      <c r="DF9" s="56"/>
      <c r="DG9" s="91"/>
      <c r="DH9" s="85" t="str">
        <f t="shared" si="64"/>
        <v/>
      </c>
      <c r="DI9" s="86"/>
      <c r="DJ9" s="91" t="str">
        <f t="shared" si="65"/>
        <v/>
      </c>
      <c r="DK9" s="85" t="str">
        <f t="shared" si="66"/>
        <v/>
      </c>
      <c r="DL9" s="86"/>
      <c r="DM9" s="91" t="str">
        <f t="shared" si="67"/>
        <v/>
      </c>
      <c r="DN9" s="85" t="str">
        <f t="shared" si="68"/>
        <v/>
      </c>
      <c r="DO9" s="86"/>
      <c r="DP9" s="91" t="str">
        <f t="shared" si="69"/>
        <v/>
      </c>
      <c r="DQ9" s="85" t="str">
        <f t="shared" si="70"/>
        <v/>
      </c>
      <c r="DR9" s="271">
        <v>85</v>
      </c>
      <c r="DS9" s="91">
        <f t="shared" si="71"/>
        <v>1.2713889947481816</v>
      </c>
      <c r="DT9" s="85">
        <f t="shared" si="72"/>
        <v>1</v>
      </c>
      <c r="DU9" s="86"/>
      <c r="DV9" s="91" t="str">
        <f t="shared" si="73"/>
        <v/>
      </c>
      <c r="DW9" s="85" t="str">
        <f t="shared" si="74"/>
        <v/>
      </c>
      <c r="DX9" s="86"/>
      <c r="DY9" s="91" t="str">
        <f t="shared" si="75"/>
        <v/>
      </c>
      <c r="DZ9" s="85" t="str">
        <f t="shared" si="76"/>
        <v/>
      </c>
      <c r="EA9" s="86"/>
      <c r="EB9" s="91" t="str">
        <f t="shared" si="77"/>
        <v/>
      </c>
      <c r="EC9" s="85" t="str">
        <f t="shared" si="78"/>
        <v/>
      </c>
      <c r="ED9" s="86"/>
      <c r="EE9" s="91" t="str">
        <f t="shared" si="79"/>
        <v/>
      </c>
      <c r="EF9" s="85" t="str">
        <f t="shared" si="80"/>
        <v/>
      </c>
      <c r="EG9" s="86"/>
      <c r="EH9" s="91" t="str">
        <f t="shared" si="81"/>
        <v/>
      </c>
      <c r="EI9" s="85" t="str">
        <f t="shared" si="82"/>
        <v/>
      </c>
      <c r="EJ9" s="86"/>
      <c r="EK9" s="91" t="str">
        <f t="shared" si="83"/>
        <v/>
      </c>
      <c r="EL9" s="85" t="str">
        <f t="shared" si="84"/>
        <v/>
      </c>
      <c r="EM9" s="86"/>
      <c r="EN9" s="91" t="str">
        <f t="shared" si="85"/>
        <v/>
      </c>
      <c r="EO9" s="85" t="str">
        <f t="shared" si="86"/>
        <v/>
      </c>
      <c r="EP9" s="86"/>
      <c r="EQ9" s="91" t="str">
        <f t="shared" si="87"/>
        <v/>
      </c>
      <c r="ER9" s="85" t="str">
        <f t="shared" si="88"/>
        <v/>
      </c>
      <c r="ES9" s="51"/>
      <c r="ET9" s="91" t="str">
        <f t="shared" si="89"/>
        <v/>
      </c>
      <c r="EU9" s="85" t="str">
        <f t="shared" si="90"/>
        <v/>
      </c>
      <c r="EV9" s="86"/>
      <c r="EW9" s="91" t="str">
        <f t="shared" si="91"/>
        <v/>
      </c>
      <c r="EX9" s="85" t="str">
        <f t="shared" si="92"/>
        <v/>
      </c>
      <c r="EY9" s="86">
        <v>98</v>
      </c>
      <c r="EZ9" s="91">
        <f t="shared" si="93"/>
        <v>1.0098093346401364</v>
      </c>
      <c r="FA9" s="85">
        <f t="shared" si="94"/>
        <v>1</v>
      </c>
      <c r="FB9" s="86"/>
      <c r="FC9" s="91" t="str">
        <f t="shared" si="95"/>
        <v/>
      </c>
      <c r="FD9" s="85" t="str">
        <f t="shared" si="96"/>
        <v/>
      </c>
      <c r="FE9" s="56"/>
      <c r="FF9" s="91" t="str">
        <f t="shared" si="97"/>
        <v/>
      </c>
      <c r="FG9" s="85" t="str">
        <f t="shared" si="98"/>
        <v/>
      </c>
      <c r="FH9" s="86"/>
      <c r="FI9" s="91" t="str">
        <f t="shared" si="99"/>
        <v/>
      </c>
      <c r="FJ9" s="85" t="str">
        <f t="shared" si="100"/>
        <v/>
      </c>
      <c r="FK9" s="56">
        <v>100</v>
      </c>
      <c r="FL9" s="91">
        <f t="shared" si="101"/>
        <v>1.5847942138639759</v>
      </c>
      <c r="FM9" s="85">
        <f t="shared" si="102"/>
        <v>1</v>
      </c>
      <c r="FN9" s="86"/>
      <c r="FO9" s="91" t="str">
        <f t="shared" si="103"/>
        <v/>
      </c>
      <c r="FP9" s="85" t="str">
        <f t="shared" si="104"/>
        <v/>
      </c>
      <c r="FQ9" s="86"/>
      <c r="FR9" s="91" t="str">
        <f t="shared" si="105"/>
        <v/>
      </c>
      <c r="FS9" s="85" t="str">
        <f t="shared" si="106"/>
        <v/>
      </c>
      <c r="FT9" s="86"/>
      <c r="FU9" s="91" t="str">
        <f t="shared" si="107"/>
        <v/>
      </c>
      <c r="FV9" s="85" t="str">
        <f t="shared" si="108"/>
        <v/>
      </c>
      <c r="FW9" s="92"/>
      <c r="FX9" s="91" t="str">
        <f t="shared" si="109"/>
        <v/>
      </c>
      <c r="FY9" s="85" t="str">
        <f t="shared" si="110"/>
        <v/>
      </c>
      <c r="FZ9" s="92"/>
      <c r="GA9" s="91" t="str">
        <f t="shared" si="111"/>
        <v/>
      </c>
      <c r="GB9" s="85" t="str">
        <f t="shared" si="112"/>
        <v/>
      </c>
      <c r="GC9" s="86"/>
      <c r="GD9" s="91" t="str">
        <f t="shared" si="113"/>
        <v/>
      </c>
      <c r="GE9" s="85" t="str">
        <f t="shared" si="114"/>
        <v/>
      </c>
      <c r="GF9" s="56"/>
      <c r="GG9" s="91" t="str">
        <f t="shared" si="115"/>
        <v/>
      </c>
      <c r="GH9" s="85" t="str">
        <f t="shared" si="116"/>
        <v/>
      </c>
      <c r="GI9" s="86"/>
      <c r="GJ9" s="91" t="str">
        <f t="shared" si="117"/>
        <v/>
      </c>
      <c r="GK9" s="85" t="str">
        <f t="shared" si="118"/>
        <v/>
      </c>
      <c r="GL9" s="86"/>
      <c r="GM9" s="91" t="str">
        <f t="shared" si="119"/>
        <v/>
      </c>
      <c r="GN9" s="85" t="str">
        <f t="shared" si="120"/>
        <v/>
      </c>
      <c r="GO9" s="86"/>
      <c r="GP9" s="91" t="str">
        <f t="shared" si="121"/>
        <v/>
      </c>
      <c r="GQ9" s="85" t="str">
        <f t="shared" si="122"/>
        <v/>
      </c>
      <c r="GR9" s="92"/>
      <c r="GS9" s="91" t="str">
        <f t="shared" si="123"/>
        <v/>
      </c>
      <c r="GT9" s="85" t="str">
        <f t="shared" si="124"/>
        <v/>
      </c>
      <c r="GU9" s="86"/>
      <c r="GV9" s="91" t="str">
        <f t="shared" si="125"/>
        <v/>
      </c>
      <c r="GW9" s="85" t="str">
        <f t="shared" si="126"/>
        <v/>
      </c>
      <c r="GX9" s="86"/>
      <c r="GY9" s="91" t="str">
        <f t="shared" si="127"/>
        <v/>
      </c>
      <c r="GZ9" s="85" t="str">
        <f t="shared" si="128"/>
        <v/>
      </c>
      <c r="HA9" s="86"/>
      <c r="HB9" s="91" t="str">
        <f t="shared" si="129"/>
        <v/>
      </c>
      <c r="HC9" s="85" t="str">
        <f t="shared" si="130"/>
        <v/>
      </c>
      <c r="HD9" s="86"/>
      <c r="HE9" s="91" t="str">
        <f t="shared" si="131"/>
        <v/>
      </c>
      <c r="HF9" s="85" t="str">
        <f t="shared" si="132"/>
        <v/>
      </c>
      <c r="HG9" s="86"/>
      <c r="HH9" s="91" t="str">
        <f t="shared" si="133"/>
        <v/>
      </c>
      <c r="HI9" s="85" t="str">
        <f t="shared" si="134"/>
        <v/>
      </c>
      <c r="HJ9" s="86"/>
      <c r="HK9" s="91" t="str">
        <f t="shared" si="135"/>
        <v/>
      </c>
      <c r="HL9" s="85" t="str">
        <f t="shared" si="136"/>
        <v/>
      </c>
      <c r="HM9" s="86"/>
      <c r="HN9" s="91" t="str">
        <f t="shared" si="137"/>
        <v/>
      </c>
      <c r="HO9" s="85" t="str">
        <f t="shared" si="138"/>
        <v/>
      </c>
      <c r="HP9" s="86"/>
      <c r="HQ9" s="91" t="str">
        <f t="shared" si="139"/>
        <v/>
      </c>
      <c r="HR9" s="85" t="str">
        <f t="shared" si="140"/>
        <v/>
      </c>
      <c r="HS9" s="86"/>
      <c r="HT9" s="91" t="str">
        <f t="shared" si="141"/>
        <v/>
      </c>
      <c r="HU9" s="85" t="str">
        <f t="shared" si="142"/>
        <v/>
      </c>
      <c r="HV9" s="86"/>
      <c r="HW9" s="91" t="str">
        <f t="shared" si="143"/>
        <v/>
      </c>
      <c r="HX9" s="85" t="str">
        <f t="shared" si="144"/>
        <v/>
      </c>
      <c r="HY9" s="86"/>
      <c r="HZ9" s="91" t="str">
        <f t="shared" si="145"/>
        <v/>
      </c>
      <c r="IA9" s="85" t="str">
        <f t="shared" si="146"/>
        <v/>
      </c>
      <c r="IB9" s="86"/>
      <c r="IC9" s="91" t="str">
        <f t="shared" si="147"/>
        <v/>
      </c>
      <c r="ID9" s="85" t="str">
        <f t="shared" si="148"/>
        <v/>
      </c>
      <c r="IE9" s="86"/>
      <c r="IF9" s="91" t="str">
        <f t="shared" si="149"/>
        <v/>
      </c>
      <c r="IG9" s="85" t="str">
        <f t="shared" si="150"/>
        <v/>
      </c>
      <c r="IH9" s="86"/>
      <c r="II9" s="91" t="str">
        <f t="shared" si="151"/>
        <v/>
      </c>
      <c r="IJ9" s="85" t="str">
        <f t="shared" si="152"/>
        <v/>
      </c>
      <c r="IK9" s="86"/>
      <c r="IL9" s="91" t="str">
        <f t="shared" si="153"/>
        <v/>
      </c>
      <c r="IM9" s="85" t="str">
        <f t="shared" si="154"/>
        <v/>
      </c>
      <c r="IN9" s="86"/>
      <c r="IO9" s="91" t="str">
        <f t="shared" si="155"/>
        <v/>
      </c>
      <c r="IP9" s="85" t="str">
        <f t="shared" si="156"/>
        <v/>
      </c>
      <c r="IQ9" s="86"/>
      <c r="IR9" s="91" t="str">
        <f t="shared" si="157"/>
        <v/>
      </c>
      <c r="IS9" s="85" t="str">
        <f t="shared" si="158"/>
        <v/>
      </c>
      <c r="IT9" s="86"/>
      <c r="IU9" s="91" t="str">
        <f t="shared" si="159"/>
        <v/>
      </c>
      <c r="IV9" s="85" t="str">
        <f t="shared" si="160"/>
        <v/>
      </c>
      <c r="IW9" s="86"/>
      <c r="IX9" s="91" t="str">
        <f t="shared" si="161"/>
        <v/>
      </c>
      <c r="IY9" s="85" t="str">
        <f t="shared" si="162"/>
        <v/>
      </c>
      <c r="IZ9" s="86"/>
      <c r="JA9" s="91" t="str">
        <f t="shared" si="163"/>
        <v/>
      </c>
      <c r="JB9" s="85" t="str">
        <f t="shared" si="164"/>
        <v/>
      </c>
      <c r="JC9" s="86"/>
      <c r="JD9" s="91" t="str">
        <f t="shared" si="165"/>
        <v/>
      </c>
      <c r="JE9" s="85" t="str">
        <f t="shared" si="166"/>
        <v/>
      </c>
      <c r="JF9" s="86"/>
      <c r="JG9" s="91" t="str">
        <f t="shared" si="167"/>
        <v/>
      </c>
      <c r="JH9" s="85" t="str">
        <f t="shared" si="168"/>
        <v/>
      </c>
      <c r="JI9" s="86"/>
      <c r="JJ9" s="91" t="str">
        <f t="shared" si="169"/>
        <v/>
      </c>
      <c r="JK9" s="85" t="str">
        <f t="shared" si="170"/>
        <v/>
      </c>
      <c r="JL9" s="86"/>
      <c r="JM9" s="91" t="str">
        <f t="shared" si="171"/>
        <v/>
      </c>
      <c r="JN9" s="85" t="str">
        <f t="shared" si="172"/>
        <v/>
      </c>
      <c r="JO9" s="86"/>
      <c r="JP9" s="91" t="str">
        <f t="shared" si="173"/>
        <v/>
      </c>
      <c r="JQ9" s="85" t="str">
        <f t="shared" si="174"/>
        <v/>
      </c>
      <c r="JR9" s="86"/>
      <c r="JS9" s="91" t="str">
        <f t="shared" si="175"/>
        <v/>
      </c>
      <c r="JT9" s="85" t="str">
        <f t="shared" si="176"/>
        <v/>
      </c>
      <c r="JU9" s="86"/>
      <c r="JV9" s="91" t="str">
        <f t="shared" si="177"/>
        <v/>
      </c>
      <c r="JW9" s="85" t="str">
        <f t="shared" si="178"/>
        <v/>
      </c>
      <c r="JX9" s="86"/>
      <c r="JY9" s="91" t="str">
        <f t="shared" si="179"/>
        <v/>
      </c>
      <c r="JZ9" s="85" t="str">
        <f t="shared" si="180"/>
        <v/>
      </c>
      <c r="KA9" s="86"/>
      <c r="KB9" s="91" t="str">
        <f t="shared" si="181"/>
        <v/>
      </c>
      <c r="KC9" s="85" t="str">
        <f t="shared" si="182"/>
        <v/>
      </c>
      <c r="KD9" s="86"/>
      <c r="KE9" s="91" t="str">
        <f t="shared" si="183"/>
        <v/>
      </c>
      <c r="KF9" s="85" t="str">
        <f t="shared" si="184"/>
        <v/>
      </c>
      <c r="KG9" s="86"/>
      <c r="KH9" s="91" t="str">
        <f t="shared" si="185"/>
        <v/>
      </c>
      <c r="KI9" s="85" t="str">
        <f t="shared" si="186"/>
        <v/>
      </c>
      <c r="KJ9" s="86"/>
      <c r="KK9" s="91" t="str">
        <f t="shared" si="187"/>
        <v/>
      </c>
      <c r="KL9" s="85" t="str">
        <f t="shared" si="188"/>
        <v/>
      </c>
      <c r="KM9" s="86"/>
      <c r="KN9" s="91" t="str">
        <f t="shared" si="189"/>
        <v/>
      </c>
      <c r="KO9" s="85" t="str">
        <f t="shared" si="190"/>
        <v/>
      </c>
      <c r="KP9" s="86"/>
      <c r="KQ9" s="91" t="str">
        <f t="shared" si="191"/>
        <v/>
      </c>
      <c r="KR9" s="85" t="str">
        <f t="shared" si="192"/>
        <v/>
      </c>
      <c r="KS9" s="86"/>
      <c r="KT9" s="91" t="str">
        <f t="shared" si="193"/>
        <v/>
      </c>
      <c r="KU9" s="85" t="str">
        <f t="shared" si="194"/>
        <v/>
      </c>
      <c r="KV9" s="86"/>
      <c r="KW9" s="91" t="str">
        <f t="shared" si="195"/>
        <v/>
      </c>
      <c r="KX9" s="85" t="str">
        <f t="shared" si="196"/>
        <v/>
      </c>
      <c r="KY9" s="92"/>
      <c r="KZ9" s="91" t="str">
        <f t="shared" si="197"/>
        <v/>
      </c>
      <c r="LA9" s="85" t="str">
        <f t="shared" si="198"/>
        <v/>
      </c>
      <c r="LB9" s="50">
        <f t="shared" ref="LB9:LB25" si="213">IFERROR(AVERAGE($N9,$Q9,$T9,$W9,$Z9,$AC9,$AF9,$AI9,$AL9,$AO9,$AR9,$AU9,$AX9,$BA9,$BD9,$BG9,$BJ9,$BM9,$BP9,$BS9,$BV9,$BY9,$CB9,$CE9,$CH9,$CK9,$CN9,$CQ9,$CT9,$CW9,$CZ9,$DC9,$DF9,$DI9,$DL9,$DO9,$DR9,$DU9,$DX9,$EA9,$ED9,$EG9,$EJ9,$EM9,$EP9,$ES9,$EV9,$EY9,$FB9,$FE9,$FH9,$FK9,$FN9,$FQ9,$FT9,$FW9,$FZ9,$GC9,$GF9,$GI9,$GL9,$GO9,$GR9,$GU9,$GX9,$HA9,$HD9,$HG9,$HJ9,$HM9,$HP9,$HS9,$HV9,$HY9,$IB9,$IE9,$IH9, $IK9, $IN9,$IQ9,$IT9,$IW9,$IZ9,$JC9,$JF9,$JI9,$JL9,$JO9,$JR9,$JU9,$JX9,$KA9,$KD9,$KG9,$KJ9,$KJ9,$KM9,$KP9,$KS9,$KV9,$KY9),"")</f>
        <v>95.6</v>
      </c>
      <c r="LC9" s="57">
        <f t="shared" si="199"/>
        <v>4</v>
      </c>
      <c r="LD9" s="50">
        <f t="shared" si="207"/>
        <v>1.0317930553091217</v>
      </c>
      <c r="LE9" s="57">
        <f t="shared" si="200"/>
        <v>3</v>
      </c>
      <c r="LF9" s="50">
        <f t="shared" si="208"/>
        <v>0.93333333333333324</v>
      </c>
      <c r="LG9" s="57">
        <f t="shared" si="201"/>
        <v>3</v>
      </c>
      <c r="LH9" s="58">
        <f t="shared" si="202"/>
        <v>48.68421052631578</v>
      </c>
      <c r="LI9" s="58">
        <f t="shared" si="203"/>
        <v>49.481093327561098</v>
      </c>
      <c r="LJ9" s="58">
        <f t="shared" si="204"/>
        <v>48.333333333333329</v>
      </c>
      <c r="LK9" s="58">
        <f t="shared" si="205"/>
        <v>96.498637187210193</v>
      </c>
      <c r="LL9" s="60">
        <f t="shared" si="206"/>
        <v>4</v>
      </c>
      <c r="LM9" s="55"/>
      <c r="LN9" s="61">
        <f t="shared" si="209"/>
        <v>1</v>
      </c>
      <c r="LO9" s="61">
        <f t="shared" si="210"/>
        <v>4</v>
      </c>
      <c r="LP9" s="64"/>
      <c r="LQ9" s="64"/>
      <c r="LR9" s="64"/>
    </row>
    <row r="10" spans="1:334" s="62" customFormat="1" ht="15" customHeight="1">
      <c r="A10" s="50">
        <f t="shared" si="211"/>
        <v>5</v>
      </c>
      <c r="B10" s="50">
        <f t="shared" si="212"/>
        <v>5</v>
      </c>
      <c r="C10" s="117">
        <v>45</v>
      </c>
      <c r="D10" s="118" t="s">
        <v>126</v>
      </c>
      <c r="E10" s="286" t="s">
        <v>603</v>
      </c>
      <c r="F10" s="286"/>
      <c r="G10" s="289"/>
      <c r="H10" s="119" t="s">
        <v>7</v>
      </c>
      <c r="I10" s="286" t="s">
        <v>531</v>
      </c>
      <c r="J10" s="119" t="s">
        <v>127</v>
      </c>
      <c r="K10" s="119" t="s">
        <v>9</v>
      </c>
      <c r="L10" s="53" t="s">
        <v>128</v>
      </c>
      <c r="M10" s="292" t="s">
        <v>35</v>
      </c>
      <c r="N10" s="86"/>
      <c r="O10" s="91" t="str">
        <f t="shared" si="0"/>
        <v/>
      </c>
      <c r="P10" s="85" t="str">
        <f t="shared" si="1"/>
        <v/>
      </c>
      <c r="Q10" s="86"/>
      <c r="R10" s="91" t="str">
        <f t="shared" si="2"/>
        <v/>
      </c>
      <c r="S10" s="85" t="str">
        <f t="shared" si="3"/>
        <v/>
      </c>
      <c r="T10" s="86"/>
      <c r="U10" s="91" t="str">
        <f t="shared" si="4"/>
        <v/>
      </c>
      <c r="V10" s="85" t="str">
        <f t="shared" si="5"/>
        <v/>
      </c>
      <c r="W10" s="86"/>
      <c r="X10" s="91" t="str">
        <f t="shared" si="6"/>
        <v/>
      </c>
      <c r="Y10" s="85" t="str">
        <f t="shared" si="7"/>
        <v/>
      </c>
      <c r="Z10" s="86"/>
      <c r="AA10" s="91" t="str">
        <f t="shared" si="8"/>
        <v/>
      </c>
      <c r="AB10" s="85" t="str">
        <f t="shared" si="9"/>
        <v/>
      </c>
      <c r="AC10" s="86"/>
      <c r="AD10" s="91" t="str">
        <f t="shared" si="10"/>
        <v/>
      </c>
      <c r="AE10" s="85" t="str">
        <f t="shared" si="11"/>
        <v/>
      </c>
      <c r="AF10" s="86"/>
      <c r="AG10" s="91" t="str">
        <f t="shared" si="12"/>
        <v/>
      </c>
      <c r="AH10" s="85" t="str">
        <f t="shared" si="13"/>
        <v/>
      </c>
      <c r="AI10" s="86"/>
      <c r="AJ10" s="91" t="str">
        <f t="shared" si="14"/>
        <v/>
      </c>
      <c r="AK10" s="85" t="str">
        <f t="shared" si="15"/>
        <v/>
      </c>
      <c r="AL10" s="86"/>
      <c r="AM10" s="91" t="str">
        <f t="shared" si="16"/>
        <v/>
      </c>
      <c r="AN10" s="85" t="str">
        <f t="shared" si="17"/>
        <v/>
      </c>
      <c r="AO10" s="86"/>
      <c r="AP10" s="91" t="str">
        <f t="shared" si="18"/>
        <v/>
      </c>
      <c r="AQ10" s="85" t="str">
        <f t="shared" si="19"/>
        <v/>
      </c>
      <c r="AR10" s="86"/>
      <c r="AS10" s="91" t="str">
        <f t="shared" si="20"/>
        <v/>
      </c>
      <c r="AT10" s="85" t="str">
        <f t="shared" si="21"/>
        <v/>
      </c>
      <c r="AU10" s="86"/>
      <c r="AV10" s="91" t="str">
        <f t="shared" si="22"/>
        <v/>
      </c>
      <c r="AW10" s="85" t="str">
        <f t="shared" si="23"/>
        <v/>
      </c>
      <c r="AX10" s="86"/>
      <c r="AY10" s="91" t="str">
        <f t="shared" si="24"/>
        <v/>
      </c>
      <c r="AZ10" s="85" t="str">
        <f t="shared" si="25"/>
        <v/>
      </c>
      <c r="BA10" s="86"/>
      <c r="BB10" s="91" t="str">
        <f t="shared" si="26"/>
        <v/>
      </c>
      <c r="BC10" s="85" t="str">
        <f t="shared" si="27"/>
        <v/>
      </c>
      <c r="BD10" s="86"/>
      <c r="BE10" s="91" t="str">
        <f t="shared" si="28"/>
        <v/>
      </c>
      <c r="BF10" s="85" t="str">
        <f t="shared" si="29"/>
        <v/>
      </c>
      <c r="BG10" s="86"/>
      <c r="BH10" s="91" t="str">
        <f t="shared" si="30"/>
        <v/>
      </c>
      <c r="BI10" s="85" t="str">
        <f t="shared" si="31"/>
        <v/>
      </c>
      <c r="BJ10" s="86"/>
      <c r="BK10" s="91" t="str">
        <f t="shared" si="32"/>
        <v/>
      </c>
      <c r="BL10" s="85" t="str">
        <f t="shared" si="33"/>
        <v/>
      </c>
      <c r="BM10" s="86"/>
      <c r="BN10" s="91" t="str">
        <f t="shared" si="34"/>
        <v/>
      </c>
      <c r="BO10" s="85" t="str">
        <f t="shared" si="35"/>
        <v/>
      </c>
      <c r="BP10" s="51"/>
      <c r="BQ10" s="91" t="str">
        <f t="shared" si="36"/>
        <v/>
      </c>
      <c r="BR10" s="85" t="str">
        <f t="shared" si="37"/>
        <v/>
      </c>
      <c r="BS10" s="86"/>
      <c r="BT10" s="91" t="str">
        <f t="shared" si="38"/>
        <v/>
      </c>
      <c r="BU10" s="85" t="str">
        <f t="shared" si="39"/>
        <v/>
      </c>
      <c r="BV10" s="56"/>
      <c r="BW10" s="91" t="str">
        <f t="shared" si="40"/>
        <v/>
      </c>
      <c r="BX10" s="85" t="str">
        <f t="shared" si="41"/>
        <v/>
      </c>
      <c r="BY10" s="56"/>
      <c r="BZ10" s="91" t="str">
        <f t="shared" si="42"/>
        <v/>
      </c>
      <c r="CA10" s="85" t="str">
        <f t="shared" si="43"/>
        <v/>
      </c>
      <c r="CB10" s="86"/>
      <c r="CC10" s="91" t="str">
        <f t="shared" si="44"/>
        <v/>
      </c>
      <c r="CD10" s="85" t="str">
        <f t="shared" si="45"/>
        <v/>
      </c>
      <c r="CE10" s="86"/>
      <c r="CF10" s="91" t="str">
        <f t="shared" si="46"/>
        <v/>
      </c>
      <c r="CG10" s="85" t="str">
        <f t="shared" si="47"/>
        <v/>
      </c>
      <c r="CH10" s="86"/>
      <c r="CI10" s="91" t="str">
        <f t="shared" si="48"/>
        <v/>
      </c>
      <c r="CJ10" s="85" t="str">
        <f t="shared" si="49"/>
        <v/>
      </c>
      <c r="CK10" s="86"/>
      <c r="CL10" s="91" t="str">
        <f t="shared" si="50"/>
        <v/>
      </c>
      <c r="CM10" s="85" t="str">
        <f t="shared" si="51"/>
        <v/>
      </c>
      <c r="CN10" s="86"/>
      <c r="CO10" s="91" t="str">
        <f t="shared" si="52"/>
        <v/>
      </c>
      <c r="CP10" s="85" t="str">
        <f t="shared" si="53"/>
        <v/>
      </c>
      <c r="CQ10" s="86"/>
      <c r="CR10" s="91" t="str">
        <f t="shared" si="54"/>
        <v/>
      </c>
      <c r="CS10" s="85" t="str">
        <f t="shared" si="55"/>
        <v/>
      </c>
      <c r="CT10" s="86">
        <v>95</v>
      </c>
      <c r="CU10" s="91">
        <f t="shared" si="56"/>
        <v>1.3144837733704426</v>
      </c>
      <c r="CV10" s="85">
        <f t="shared" si="57"/>
        <v>1</v>
      </c>
      <c r="CW10" s="86"/>
      <c r="CX10" s="91" t="str">
        <f t="shared" si="58"/>
        <v/>
      </c>
      <c r="CY10" s="85" t="str">
        <f t="shared" si="59"/>
        <v/>
      </c>
      <c r="CZ10" s="86"/>
      <c r="DA10" s="91" t="str">
        <f t="shared" si="60"/>
        <v/>
      </c>
      <c r="DB10" s="85" t="str">
        <f t="shared" si="61"/>
        <v/>
      </c>
      <c r="DC10" s="86"/>
      <c r="DD10" s="91" t="str">
        <f t="shared" si="62"/>
        <v/>
      </c>
      <c r="DE10" s="85" t="str">
        <f t="shared" si="63"/>
        <v/>
      </c>
      <c r="DF10" s="86"/>
      <c r="DG10" s="91"/>
      <c r="DH10" s="85" t="str">
        <f t="shared" si="64"/>
        <v/>
      </c>
      <c r="DI10" s="86"/>
      <c r="DJ10" s="91" t="str">
        <f t="shared" si="65"/>
        <v/>
      </c>
      <c r="DK10" s="85" t="str">
        <f t="shared" si="66"/>
        <v/>
      </c>
      <c r="DL10" s="86"/>
      <c r="DM10" s="91" t="str">
        <f t="shared" si="67"/>
        <v/>
      </c>
      <c r="DN10" s="85" t="str">
        <f t="shared" si="68"/>
        <v/>
      </c>
      <c r="DO10" s="86"/>
      <c r="DP10" s="91" t="str">
        <f t="shared" si="69"/>
        <v/>
      </c>
      <c r="DQ10" s="85" t="str">
        <f t="shared" si="70"/>
        <v/>
      </c>
      <c r="DR10" s="86"/>
      <c r="DS10" s="91" t="str">
        <f t="shared" si="71"/>
        <v/>
      </c>
      <c r="DT10" s="85" t="str">
        <f t="shared" si="72"/>
        <v/>
      </c>
      <c r="DU10" s="86"/>
      <c r="DV10" s="91" t="str">
        <f t="shared" si="73"/>
        <v/>
      </c>
      <c r="DW10" s="85" t="str">
        <f t="shared" si="74"/>
        <v/>
      </c>
      <c r="DX10" s="86"/>
      <c r="DY10" s="91" t="str">
        <f t="shared" si="75"/>
        <v/>
      </c>
      <c r="DZ10" s="85" t="str">
        <f t="shared" si="76"/>
        <v/>
      </c>
      <c r="EA10" s="86"/>
      <c r="EB10" s="91" t="str">
        <f t="shared" si="77"/>
        <v/>
      </c>
      <c r="EC10" s="85" t="str">
        <f t="shared" si="78"/>
        <v/>
      </c>
      <c r="ED10" s="86"/>
      <c r="EE10" s="91" t="str">
        <f t="shared" si="79"/>
        <v/>
      </c>
      <c r="EF10" s="85" t="str">
        <f t="shared" si="80"/>
        <v/>
      </c>
      <c r="EG10" s="86"/>
      <c r="EH10" s="91" t="str">
        <f t="shared" si="81"/>
        <v/>
      </c>
      <c r="EI10" s="85" t="str">
        <f t="shared" si="82"/>
        <v/>
      </c>
      <c r="EJ10" s="86"/>
      <c r="EK10" s="91" t="str">
        <f t="shared" si="83"/>
        <v/>
      </c>
      <c r="EL10" s="85" t="str">
        <f t="shared" si="84"/>
        <v/>
      </c>
      <c r="EM10" s="86"/>
      <c r="EN10" s="91" t="str">
        <f t="shared" si="85"/>
        <v/>
      </c>
      <c r="EO10" s="85" t="str">
        <f t="shared" si="86"/>
        <v/>
      </c>
      <c r="EP10" s="86"/>
      <c r="EQ10" s="91" t="str">
        <f t="shared" si="87"/>
        <v/>
      </c>
      <c r="ER10" s="85" t="str">
        <f t="shared" si="88"/>
        <v/>
      </c>
      <c r="ES10" s="56"/>
      <c r="ET10" s="91" t="str">
        <f t="shared" si="89"/>
        <v/>
      </c>
      <c r="EU10" s="85" t="str">
        <f t="shared" si="90"/>
        <v/>
      </c>
      <c r="EV10" s="86"/>
      <c r="EW10" s="91" t="str">
        <f t="shared" si="91"/>
        <v/>
      </c>
      <c r="EX10" s="85" t="str">
        <f t="shared" si="92"/>
        <v/>
      </c>
      <c r="EY10" s="86">
        <v>95</v>
      </c>
      <c r="EZ10" s="91">
        <f t="shared" si="93"/>
        <v>0.75119962698839404</v>
      </c>
      <c r="FA10" s="85">
        <f t="shared" si="94"/>
        <v>0.66666666666666663</v>
      </c>
      <c r="FB10" s="86">
        <v>97</v>
      </c>
      <c r="FC10" s="91">
        <f t="shared" si="95"/>
        <v>0.69385327032644706</v>
      </c>
      <c r="FD10" s="85">
        <f t="shared" si="96"/>
        <v>1</v>
      </c>
      <c r="FE10" s="86"/>
      <c r="FF10" s="91" t="str">
        <f t="shared" si="97"/>
        <v/>
      </c>
      <c r="FG10" s="85" t="str">
        <f t="shared" si="98"/>
        <v/>
      </c>
      <c r="FH10" s="56"/>
      <c r="FI10" s="91" t="str">
        <f t="shared" si="99"/>
        <v/>
      </c>
      <c r="FJ10" s="85" t="str">
        <f t="shared" si="100"/>
        <v/>
      </c>
      <c r="FK10" s="86"/>
      <c r="FL10" s="91" t="str">
        <f t="shared" si="101"/>
        <v/>
      </c>
      <c r="FM10" s="85" t="str">
        <f t="shared" si="102"/>
        <v/>
      </c>
      <c r="FN10" s="86"/>
      <c r="FO10" s="91" t="str">
        <f t="shared" si="103"/>
        <v/>
      </c>
      <c r="FP10" s="85" t="str">
        <f t="shared" si="104"/>
        <v/>
      </c>
      <c r="FQ10" s="86"/>
      <c r="FR10" s="91" t="str">
        <f t="shared" si="105"/>
        <v/>
      </c>
      <c r="FS10" s="85" t="str">
        <f t="shared" si="106"/>
        <v/>
      </c>
      <c r="FT10" s="56"/>
      <c r="FU10" s="91" t="str">
        <f t="shared" si="107"/>
        <v/>
      </c>
      <c r="FV10" s="85" t="str">
        <f t="shared" si="108"/>
        <v/>
      </c>
      <c r="FW10" s="273">
        <v>90</v>
      </c>
      <c r="FX10" s="91">
        <f t="shared" si="109"/>
        <v>0.85919184377967706</v>
      </c>
      <c r="FY10" s="85">
        <f t="shared" si="110"/>
        <v>0.75</v>
      </c>
      <c r="FZ10" s="92"/>
      <c r="GA10" s="91" t="str">
        <f t="shared" si="111"/>
        <v/>
      </c>
      <c r="GB10" s="85" t="str">
        <f t="shared" si="112"/>
        <v/>
      </c>
      <c r="GC10" s="86"/>
      <c r="GD10" s="91" t="str">
        <f t="shared" si="113"/>
        <v/>
      </c>
      <c r="GE10" s="85" t="str">
        <f t="shared" si="114"/>
        <v/>
      </c>
      <c r="GF10" s="86"/>
      <c r="GG10" s="91" t="str">
        <f t="shared" si="115"/>
        <v/>
      </c>
      <c r="GH10" s="85" t="str">
        <f t="shared" si="116"/>
        <v/>
      </c>
      <c r="GI10" s="86"/>
      <c r="GJ10" s="91" t="str">
        <f t="shared" si="117"/>
        <v/>
      </c>
      <c r="GK10" s="85" t="str">
        <f t="shared" si="118"/>
        <v/>
      </c>
      <c r="GL10" s="86"/>
      <c r="GM10" s="91" t="str">
        <f t="shared" si="119"/>
        <v/>
      </c>
      <c r="GN10" s="85" t="str">
        <f t="shared" si="120"/>
        <v/>
      </c>
      <c r="GO10" s="86">
        <v>100</v>
      </c>
      <c r="GP10" s="91">
        <f t="shared" si="121"/>
        <v>0.98213583854131037</v>
      </c>
      <c r="GQ10" s="85">
        <f t="shared" si="122"/>
        <v>1</v>
      </c>
      <c r="GR10" s="92"/>
      <c r="GS10" s="91" t="str">
        <f t="shared" si="123"/>
        <v/>
      </c>
      <c r="GT10" s="85" t="str">
        <f t="shared" si="124"/>
        <v/>
      </c>
      <c r="GU10" s="86"/>
      <c r="GV10" s="91" t="str">
        <f t="shared" si="125"/>
        <v/>
      </c>
      <c r="GW10" s="85" t="str">
        <f t="shared" si="126"/>
        <v/>
      </c>
      <c r="GX10" s="86"/>
      <c r="GY10" s="91" t="str">
        <f t="shared" si="127"/>
        <v/>
      </c>
      <c r="GZ10" s="85" t="str">
        <f t="shared" si="128"/>
        <v/>
      </c>
      <c r="HA10" s="86"/>
      <c r="HB10" s="91" t="str">
        <f t="shared" si="129"/>
        <v/>
      </c>
      <c r="HC10" s="85" t="str">
        <f t="shared" si="130"/>
        <v/>
      </c>
      <c r="HD10" s="86"/>
      <c r="HE10" s="91" t="str">
        <f t="shared" si="131"/>
        <v/>
      </c>
      <c r="HF10" s="85" t="str">
        <f t="shared" si="132"/>
        <v/>
      </c>
      <c r="HG10" s="86"/>
      <c r="HH10" s="91" t="str">
        <f t="shared" si="133"/>
        <v/>
      </c>
      <c r="HI10" s="85" t="str">
        <f t="shared" si="134"/>
        <v/>
      </c>
      <c r="HJ10" s="86"/>
      <c r="HK10" s="91" t="str">
        <f t="shared" si="135"/>
        <v/>
      </c>
      <c r="HL10" s="85" t="str">
        <f t="shared" si="136"/>
        <v/>
      </c>
      <c r="HM10" s="86"/>
      <c r="HN10" s="91" t="str">
        <f t="shared" si="137"/>
        <v/>
      </c>
      <c r="HO10" s="85" t="str">
        <f t="shared" si="138"/>
        <v/>
      </c>
      <c r="HP10" s="86"/>
      <c r="HQ10" s="91" t="str">
        <f t="shared" si="139"/>
        <v/>
      </c>
      <c r="HR10" s="85" t="str">
        <f t="shared" si="140"/>
        <v/>
      </c>
      <c r="HS10" s="86"/>
      <c r="HT10" s="91" t="str">
        <f t="shared" si="141"/>
        <v/>
      </c>
      <c r="HU10" s="85" t="str">
        <f t="shared" si="142"/>
        <v/>
      </c>
      <c r="HV10" s="86"/>
      <c r="HW10" s="91" t="str">
        <f t="shared" si="143"/>
        <v/>
      </c>
      <c r="HX10" s="85" t="str">
        <f t="shared" si="144"/>
        <v/>
      </c>
      <c r="HY10" s="86"/>
      <c r="HZ10" s="91" t="str">
        <f t="shared" si="145"/>
        <v/>
      </c>
      <c r="IA10" s="85" t="str">
        <f t="shared" si="146"/>
        <v/>
      </c>
      <c r="IB10" s="86"/>
      <c r="IC10" s="91" t="str">
        <f t="shared" si="147"/>
        <v/>
      </c>
      <c r="ID10" s="85" t="str">
        <f t="shared" si="148"/>
        <v/>
      </c>
      <c r="IE10" s="86"/>
      <c r="IF10" s="91" t="str">
        <f t="shared" si="149"/>
        <v/>
      </c>
      <c r="IG10" s="85" t="str">
        <f t="shared" si="150"/>
        <v/>
      </c>
      <c r="IH10" s="86"/>
      <c r="II10" s="91" t="str">
        <f t="shared" si="151"/>
        <v/>
      </c>
      <c r="IJ10" s="85" t="str">
        <f t="shared" si="152"/>
        <v/>
      </c>
      <c r="IK10" s="86"/>
      <c r="IL10" s="91" t="str">
        <f t="shared" si="153"/>
        <v/>
      </c>
      <c r="IM10" s="85" t="str">
        <f t="shared" si="154"/>
        <v/>
      </c>
      <c r="IN10" s="86"/>
      <c r="IO10" s="91" t="str">
        <f t="shared" si="155"/>
        <v/>
      </c>
      <c r="IP10" s="85" t="str">
        <f t="shared" si="156"/>
        <v/>
      </c>
      <c r="IQ10" s="86"/>
      <c r="IR10" s="91" t="str">
        <f t="shared" si="157"/>
        <v/>
      </c>
      <c r="IS10" s="85" t="str">
        <f t="shared" si="158"/>
        <v/>
      </c>
      <c r="IT10" s="86"/>
      <c r="IU10" s="91" t="str">
        <f t="shared" si="159"/>
        <v/>
      </c>
      <c r="IV10" s="85" t="str">
        <f t="shared" si="160"/>
        <v/>
      </c>
      <c r="IW10" s="86"/>
      <c r="IX10" s="91" t="str">
        <f t="shared" si="161"/>
        <v/>
      </c>
      <c r="IY10" s="85" t="str">
        <f t="shared" si="162"/>
        <v/>
      </c>
      <c r="IZ10" s="86"/>
      <c r="JA10" s="91" t="str">
        <f t="shared" si="163"/>
        <v/>
      </c>
      <c r="JB10" s="85" t="str">
        <f t="shared" si="164"/>
        <v/>
      </c>
      <c r="JC10" s="86"/>
      <c r="JD10" s="91" t="str">
        <f t="shared" si="165"/>
        <v/>
      </c>
      <c r="JE10" s="85" t="str">
        <f t="shared" si="166"/>
        <v/>
      </c>
      <c r="JF10" s="86"/>
      <c r="JG10" s="91" t="str">
        <f t="shared" si="167"/>
        <v/>
      </c>
      <c r="JH10" s="85" t="str">
        <f t="shared" si="168"/>
        <v/>
      </c>
      <c r="JI10" s="86"/>
      <c r="JJ10" s="91" t="str">
        <f t="shared" si="169"/>
        <v/>
      </c>
      <c r="JK10" s="85" t="str">
        <f t="shared" si="170"/>
        <v/>
      </c>
      <c r="JL10" s="86"/>
      <c r="JM10" s="91" t="str">
        <f t="shared" si="171"/>
        <v/>
      </c>
      <c r="JN10" s="85" t="str">
        <f t="shared" si="172"/>
        <v/>
      </c>
      <c r="JO10" s="86"/>
      <c r="JP10" s="91" t="str">
        <f t="shared" si="173"/>
        <v/>
      </c>
      <c r="JQ10" s="85" t="str">
        <f t="shared" si="174"/>
        <v/>
      </c>
      <c r="JR10" s="86"/>
      <c r="JS10" s="91" t="str">
        <f t="shared" si="175"/>
        <v/>
      </c>
      <c r="JT10" s="85" t="str">
        <f t="shared" si="176"/>
        <v/>
      </c>
      <c r="JU10" s="86"/>
      <c r="JV10" s="91" t="str">
        <f t="shared" si="177"/>
        <v/>
      </c>
      <c r="JW10" s="85" t="str">
        <f t="shared" si="178"/>
        <v/>
      </c>
      <c r="JX10" s="86"/>
      <c r="JY10" s="91" t="str">
        <f t="shared" si="179"/>
        <v/>
      </c>
      <c r="JZ10" s="85" t="str">
        <f t="shared" si="180"/>
        <v/>
      </c>
      <c r="KA10" s="86"/>
      <c r="KB10" s="91" t="str">
        <f t="shared" si="181"/>
        <v/>
      </c>
      <c r="KC10" s="85" t="str">
        <f t="shared" si="182"/>
        <v/>
      </c>
      <c r="KD10" s="86"/>
      <c r="KE10" s="91" t="str">
        <f t="shared" si="183"/>
        <v/>
      </c>
      <c r="KF10" s="85" t="str">
        <f t="shared" si="184"/>
        <v/>
      </c>
      <c r="KG10" s="86"/>
      <c r="KH10" s="91" t="str">
        <f t="shared" si="185"/>
        <v/>
      </c>
      <c r="KI10" s="85" t="str">
        <f t="shared" si="186"/>
        <v/>
      </c>
      <c r="KJ10" s="86"/>
      <c r="KK10" s="91" t="str">
        <f t="shared" si="187"/>
        <v/>
      </c>
      <c r="KL10" s="85" t="str">
        <f t="shared" si="188"/>
        <v/>
      </c>
      <c r="KM10" s="86"/>
      <c r="KN10" s="91" t="str">
        <f t="shared" si="189"/>
        <v/>
      </c>
      <c r="KO10" s="85" t="str">
        <f t="shared" si="190"/>
        <v/>
      </c>
      <c r="KP10" s="86"/>
      <c r="KQ10" s="91" t="str">
        <f t="shared" si="191"/>
        <v/>
      </c>
      <c r="KR10" s="85" t="str">
        <f t="shared" si="192"/>
        <v/>
      </c>
      <c r="KS10" s="86"/>
      <c r="KT10" s="91" t="str">
        <f t="shared" si="193"/>
        <v/>
      </c>
      <c r="KU10" s="85" t="str">
        <f t="shared" si="194"/>
        <v/>
      </c>
      <c r="KV10" s="86"/>
      <c r="KW10" s="91" t="str">
        <f t="shared" si="195"/>
        <v/>
      </c>
      <c r="KX10" s="85" t="str">
        <f t="shared" si="196"/>
        <v/>
      </c>
      <c r="KY10" s="92"/>
      <c r="KZ10" s="91" t="str">
        <f t="shared" si="197"/>
        <v/>
      </c>
      <c r="LA10" s="85" t="str">
        <f t="shared" si="198"/>
        <v/>
      </c>
      <c r="LB10" s="50">
        <f t="shared" si="213"/>
        <v>95.4</v>
      </c>
      <c r="LC10" s="57">
        <f t="shared" si="199"/>
        <v>6</v>
      </c>
      <c r="LD10" s="50">
        <f t="shared" si="207"/>
        <v>0.92017287060125441</v>
      </c>
      <c r="LE10" s="57">
        <f t="shared" si="200"/>
        <v>6</v>
      </c>
      <c r="LF10" s="50">
        <f t="shared" si="208"/>
        <v>0.88333333333333319</v>
      </c>
      <c r="LG10" s="57">
        <f t="shared" si="201"/>
        <v>6</v>
      </c>
      <c r="LH10" s="58">
        <f t="shared" si="202"/>
        <v>48.574561403508774</v>
      </c>
      <c r="LI10" s="58">
        <f t="shared" si="203"/>
        <v>48.439057362221632</v>
      </c>
      <c r="LJ10" s="58">
        <f t="shared" si="204"/>
        <v>47.083333333333329</v>
      </c>
      <c r="LK10" s="58">
        <f t="shared" si="205"/>
        <v>94.096952099063742</v>
      </c>
      <c r="LL10" s="60">
        <f t="shared" si="206"/>
        <v>6</v>
      </c>
      <c r="LM10" s="55"/>
      <c r="LN10" s="61">
        <f t="shared" si="209"/>
        <v>2</v>
      </c>
      <c r="LO10" s="61">
        <f t="shared" si="210"/>
        <v>6</v>
      </c>
      <c r="LP10" s="64"/>
      <c r="LQ10" s="64"/>
      <c r="LR10" s="64"/>
    </row>
    <row r="11" spans="1:334" s="62" customFormat="1" ht="15" customHeight="1">
      <c r="A11" s="50">
        <f t="shared" si="211"/>
        <v>5</v>
      </c>
      <c r="B11" s="50">
        <f t="shared" si="212"/>
        <v>0</v>
      </c>
      <c r="C11" s="275">
        <v>48</v>
      </c>
      <c r="D11" s="276" t="s">
        <v>130</v>
      </c>
      <c r="E11" s="290" t="s">
        <v>604</v>
      </c>
      <c r="F11" s="290" t="s">
        <v>605</v>
      </c>
      <c r="G11" s="291"/>
      <c r="H11" s="277" t="s">
        <v>129</v>
      </c>
      <c r="I11" s="290" t="s">
        <v>532</v>
      </c>
      <c r="J11" s="277" t="s">
        <v>131</v>
      </c>
      <c r="K11" s="277" t="s">
        <v>9</v>
      </c>
      <c r="L11" s="277" t="s">
        <v>132</v>
      </c>
      <c r="M11" s="291" t="s">
        <v>35</v>
      </c>
      <c r="N11" s="278"/>
      <c r="O11" s="279" t="str">
        <f t="shared" si="0"/>
        <v/>
      </c>
      <c r="P11" s="279" t="str">
        <f t="shared" si="1"/>
        <v/>
      </c>
      <c r="Q11" s="284"/>
      <c r="R11" s="279" t="str">
        <f t="shared" si="2"/>
        <v/>
      </c>
      <c r="S11" s="279" t="str">
        <f t="shared" si="3"/>
        <v/>
      </c>
      <c r="T11" s="278"/>
      <c r="U11" s="279" t="str">
        <f t="shared" si="4"/>
        <v/>
      </c>
      <c r="V11" s="279" t="str">
        <f t="shared" si="5"/>
        <v/>
      </c>
      <c r="W11" s="278" t="s">
        <v>100</v>
      </c>
      <c r="X11" s="279" t="str">
        <f t="shared" si="6"/>
        <v/>
      </c>
      <c r="Y11" s="279" t="str">
        <f t="shared" si="7"/>
        <v/>
      </c>
      <c r="Z11" s="278"/>
      <c r="AA11" s="279" t="str">
        <f t="shared" si="8"/>
        <v/>
      </c>
      <c r="AB11" s="279" t="str">
        <f t="shared" si="9"/>
        <v/>
      </c>
      <c r="AC11" s="278"/>
      <c r="AD11" s="279" t="str">
        <f t="shared" si="10"/>
        <v/>
      </c>
      <c r="AE11" s="279" t="str">
        <f t="shared" si="11"/>
        <v/>
      </c>
      <c r="AF11" s="278"/>
      <c r="AG11" s="279" t="str">
        <f t="shared" si="12"/>
        <v/>
      </c>
      <c r="AH11" s="279" t="str">
        <f t="shared" si="13"/>
        <v/>
      </c>
      <c r="AI11" s="278"/>
      <c r="AJ11" s="279" t="str">
        <f t="shared" si="14"/>
        <v/>
      </c>
      <c r="AK11" s="279" t="str">
        <f t="shared" si="15"/>
        <v/>
      </c>
      <c r="AL11" s="278"/>
      <c r="AM11" s="279" t="str">
        <f t="shared" si="16"/>
        <v/>
      </c>
      <c r="AN11" s="279" t="str">
        <f t="shared" si="17"/>
        <v/>
      </c>
      <c r="AO11" s="278" t="s">
        <v>51</v>
      </c>
      <c r="AP11" s="279" t="str">
        <f t="shared" si="18"/>
        <v/>
      </c>
      <c r="AQ11" s="279" t="str">
        <f t="shared" si="19"/>
        <v/>
      </c>
      <c r="AR11" s="283"/>
      <c r="AS11" s="279" t="str">
        <f t="shared" si="20"/>
        <v/>
      </c>
      <c r="AT11" s="279" t="str">
        <f t="shared" si="21"/>
        <v/>
      </c>
      <c r="AU11" s="278"/>
      <c r="AV11" s="279" t="str">
        <f t="shared" si="22"/>
        <v/>
      </c>
      <c r="AW11" s="279" t="str">
        <f t="shared" si="23"/>
        <v/>
      </c>
      <c r="AX11" s="278"/>
      <c r="AY11" s="279" t="str">
        <f t="shared" si="24"/>
        <v/>
      </c>
      <c r="AZ11" s="279" t="str">
        <f t="shared" si="25"/>
        <v/>
      </c>
      <c r="BA11" s="278"/>
      <c r="BB11" s="279" t="str">
        <f t="shared" si="26"/>
        <v/>
      </c>
      <c r="BC11" s="279" t="str">
        <f t="shared" si="27"/>
        <v/>
      </c>
      <c r="BD11" s="278"/>
      <c r="BE11" s="279" t="str">
        <f t="shared" si="28"/>
        <v/>
      </c>
      <c r="BF11" s="279" t="str">
        <f t="shared" si="29"/>
        <v/>
      </c>
      <c r="BG11" s="278"/>
      <c r="BH11" s="279" t="str">
        <f t="shared" si="30"/>
        <v/>
      </c>
      <c r="BI11" s="279" t="str">
        <f t="shared" si="31"/>
        <v/>
      </c>
      <c r="BJ11" s="278"/>
      <c r="BK11" s="279" t="str">
        <f t="shared" si="32"/>
        <v/>
      </c>
      <c r="BL11" s="279" t="str">
        <f t="shared" si="33"/>
        <v/>
      </c>
      <c r="BM11" s="278"/>
      <c r="BN11" s="279" t="str">
        <f t="shared" si="34"/>
        <v/>
      </c>
      <c r="BO11" s="279" t="str">
        <f t="shared" si="35"/>
        <v/>
      </c>
      <c r="BP11" s="282"/>
      <c r="BQ11" s="279" t="str">
        <f t="shared" si="36"/>
        <v/>
      </c>
      <c r="BR11" s="279" t="str">
        <f t="shared" si="37"/>
        <v/>
      </c>
      <c r="BS11" s="278"/>
      <c r="BT11" s="279" t="str">
        <f t="shared" si="38"/>
        <v/>
      </c>
      <c r="BU11" s="279" t="str">
        <f t="shared" si="39"/>
        <v/>
      </c>
      <c r="BV11" s="281"/>
      <c r="BW11" s="279" t="str">
        <f t="shared" si="40"/>
        <v/>
      </c>
      <c r="BX11" s="279" t="str">
        <f t="shared" si="41"/>
        <v/>
      </c>
      <c r="BY11" s="278"/>
      <c r="BZ11" s="279" t="str">
        <f t="shared" si="42"/>
        <v/>
      </c>
      <c r="CA11" s="279" t="str">
        <f t="shared" si="43"/>
        <v/>
      </c>
      <c r="CB11" s="278"/>
      <c r="CC11" s="279" t="str">
        <f t="shared" si="44"/>
        <v/>
      </c>
      <c r="CD11" s="279" t="str">
        <f t="shared" si="45"/>
        <v/>
      </c>
      <c r="CE11" s="278"/>
      <c r="CF11" s="279" t="str">
        <f t="shared" si="46"/>
        <v/>
      </c>
      <c r="CG11" s="279" t="str">
        <f t="shared" si="47"/>
        <v/>
      </c>
      <c r="CH11" s="278"/>
      <c r="CI11" s="279" t="str">
        <f t="shared" si="48"/>
        <v/>
      </c>
      <c r="CJ11" s="279" t="str">
        <f t="shared" si="49"/>
        <v/>
      </c>
      <c r="CK11" s="278"/>
      <c r="CL11" s="279" t="str">
        <f t="shared" si="50"/>
        <v/>
      </c>
      <c r="CM11" s="279" t="str">
        <f t="shared" si="51"/>
        <v/>
      </c>
      <c r="CN11" s="278"/>
      <c r="CO11" s="279" t="str">
        <f t="shared" si="52"/>
        <v/>
      </c>
      <c r="CP11" s="279" t="str">
        <f t="shared" si="53"/>
        <v/>
      </c>
      <c r="CQ11" s="278"/>
      <c r="CR11" s="279" t="str">
        <f t="shared" si="54"/>
        <v/>
      </c>
      <c r="CS11" s="279" t="str">
        <f t="shared" si="55"/>
        <v/>
      </c>
      <c r="CT11" s="278" t="s">
        <v>68</v>
      </c>
      <c r="CU11" s="279" t="str">
        <f t="shared" si="56"/>
        <v/>
      </c>
      <c r="CV11" s="279" t="str">
        <f t="shared" si="57"/>
        <v/>
      </c>
      <c r="CW11" s="278"/>
      <c r="CX11" s="279" t="str">
        <f t="shared" si="58"/>
        <v/>
      </c>
      <c r="CY11" s="279" t="str">
        <f t="shared" si="59"/>
        <v/>
      </c>
      <c r="CZ11" s="278"/>
      <c r="DA11" s="279" t="str">
        <f t="shared" si="60"/>
        <v/>
      </c>
      <c r="DB11" s="279" t="str">
        <f t="shared" si="61"/>
        <v/>
      </c>
      <c r="DC11" s="278"/>
      <c r="DD11" s="279" t="str">
        <f t="shared" si="62"/>
        <v/>
      </c>
      <c r="DE11" s="279" t="str">
        <f t="shared" si="63"/>
        <v/>
      </c>
      <c r="DF11" s="281"/>
      <c r="DG11" s="279"/>
      <c r="DH11" s="279" t="str">
        <f t="shared" si="64"/>
        <v/>
      </c>
      <c r="DI11" s="278"/>
      <c r="DJ11" s="279" t="str">
        <f t="shared" si="65"/>
        <v/>
      </c>
      <c r="DK11" s="279" t="str">
        <f t="shared" si="66"/>
        <v/>
      </c>
      <c r="DL11" s="278"/>
      <c r="DM11" s="279" t="str">
        <f t="shared" si="67"/>
        <v/>
      </c>
      <c r="DN11" s="279" t="str">
        <f t="shared" si="68"/>
        <v/>
      </c>
      <c r="DO11" s="284"/>
      <c r="DP11" s="279" t="str">
        <f t="shared" si="69"/>
        <v/>
      </c>
      <c r="DQ11" s="279" t="str">
        <f t="shared" si="70"/>
        <v/>
      </c>
      <c r="DR11" s="278"/>
      <c r="DS11" s="279" t="str">
        <f t="shared" si="71"/>
        <v/>
      </c>
      <c r="DT11" s="279" t="str">
        <f t="shared" si="72"/>
        <v/>
      </c>
      <c r="DU11" s="283"/>
      <c r="DV11" s="279" t="str">
        <f t="shared" si="73"/>
        <v/>
      </c>
      <c r="DW11" s="279" t="str">
        <f t="shared" si="74"/>
        <v/>
      </c>
      <c r="DX11" s="278"/>
      <c r="DY11" s="279" t="str">
        <f t="shared" si="75"/>
        <v/>
      </c>
      <c r="DZ11" s="279" t="str">
        <f t="shared" si="76"/>
        <v/>
      </c>
      <c r="EA11" s="278"/>
      <c r="EB11" s="279" t="str">
        <f t="shared" si="77"/>
        <v/>
      </c>
      <c r="EC11" s="279" t="str">
        <f t="shared" si="78"/>
        <v/>
      </c>
      <c r="ED11" s="278"/>
      <c r="EE11" s="279" t="str">
        <f t="shared" si="79"/>
        <v/>
      </c>
      <c r="EF11" s="279" t="str">
        <f t="shared" si="80"/>
        <v/>
      </c>
      <c r="EG11" s="278"/>
      <c r="EH11" s="279" t="str">
        <f t="shared" si="81"/>
        <v/>
      </c>
      <c r="EI11" s="279" t="str">
        <f t="shared" si="82"/>
        <v/>
      </c>
      <c r="EJ11" s="278"/>
      <c r="EK11" s="279" t="str">
        <f t="shared" si="83"/>
        <v/>
      </c>
      <c r="EL11" s="279" t="str">
        <f t="shared" si="84"/>
        <v/>
      </c>
      <c r="EM11" s="278"/>
      <c r="EN11" s="279" t="str">
        <f t="shared" si="85"/>
        <v/>
      </c>
      <c r="EO11" s="279" t="str">
        <f t="shared" si="86"/>
        <v/>
      </c>
      <c r="EP11" s="278"/>
      <c r="EQ11" s="279" t="str">
        <f t="shared" si="87"/>
        <v/>
      </c>
      <c r="ER11" s="279" t="str">
        <f t="shared" si="88"/>
        <v/>
      </c>
      <c r="ES11" s="282"/>
      <c r="ET11" s="279" t="str">
        <f t="shared" si="89"/>
        <v/>
      </c>
      <c r="EU11" s="279" t="str">
        <f t="shared" si="90"/>
        <v/>
      </c>
      <c r="EV11" s="278"/>
      <c r="EW11" s="279" t="str">
        <f t="shared" si="91"/>
        <v/>
      </c>
      <c r="EX11" s="279" t="str">
        <f t="shared" si="92"/>
        <v/>
      </c>
      <c r="EY11" s="278"/>
      <c r="EZ11" s="279" t="str">
        <f t="shared" si="93"/>
        <v/>
      </c>
      <c r="FA11" s="279" t="str">
        <f t="shared" si="94"/>
        <v/>
      </c>
      <c r="FB11" s="278" t="s">
        <v>103</v>
      </c>
      <c r="FC11" s="279" t="str">
        <f t="shared" si="95"/>
        <v/>
      </c>
      <c r="FD11" s="279" t="str">
        <f t="shared" si="96"/>
        <v/>
      </c>
      <c r="FE11" s="281"/>
      <c r="FF11" s="279" t="str">
        <f t="shared" si="97"/>
        <v/>
      </c>
      <c r="FG11" s="279" t="str">
        <f t="shared" si="98"/>
        <v/>
      </c>
      <c r="FH11" s="281"/>
      <c r="FI11" s="279" t="str">
        <f t="shared" si="99"/>
        <v/>
      </c>
      <c r="FJ11" s="279" t="str">
        <f t="shared" si="100"/>
        <v/>
      </c>
      <c r="FK11" s="278"/>
      <c r="FL11" s="279" t="str">
        <f t="shared" si="101"/>
        <v/>
      </c>
      <c r="FM11" s="279" t="str">
        <f t="shared" si="102"/>
        <v/>
      </c>
      <c r="FN11" s="278"/>
      <c r="FO11" s="279" t="str">
        <f t="shared" si="103"/>
        <v/>
      </c>
      <c r="FP11" s="279" t="str">
        <f t="shared" si="104"/>
        <v/>
      </c>
      <c r="FQ11" s="284"/>
      <c r="FR11" s="279" t="str">
        <f t="shared" si="105"/>
        <v/>
      </c>
      <c r="FS11" s="279" t="str">
        <f t="shared" si="106"/>
        <v/>
      </c>
      <c r="FT11" s="281"/>
      <c r="FU11" s="279" t="str">
        <f t="shared" si="107"/>
        <v/>
      </c>
      <c r="FV11" s="279" t="str">
        <f t="shared" si="108"/>
        <v/>
      </c>
      <c r="FW11" s="283"/>
      <c r="FX11" s="279" t="str">
        <f t="shared" si="109"/>
        <v/>
      </c>
      <c r="FY11" s="279" t="str">
        <f t="shared" si="110"/>
        <v/>
      </c>
      <c r="FZ11" s="284"/>
      <c r="GA11" s="279" t="str">
        <f t="shared" si="111"/>
        <v/>
      </c>
      <c r="GB11" s="279" t="str">
        <f t="shared" si="112"/>
        <v/>
      </c>
      <c r="GC11" s="284"/>
      <c r="GD11" s="279" t="str">
        <f t="shared" si="113"/>
        <v/>
      </c>
      <c r="GE11" s="279" t="str">
        <f t="shared" si="114"/>
        <v/>
      </c>
      <c r="GF11" s="283"/>
      <c r="GG11" s="279" t="str">
        <f t="shared" si="115"/>
        <v/>
      </c>
      <c r="GH11" s="279" t="str">
        <f t="shared" si="116"/>
        <v/>
      </c>
      <c r="GI11" s="278"/>
      <c r="GJ11" s="279" t="str">
        <f t="shared" si="117"/>
        <v/>
      </c>
      <c r="GK11" s="279" t="str">
        <f t="shared" si="118"/>
        <v/>
      </c>
      <c r="GL11" s="281"/>
      <c r="GM11" s="279" t="str">
        <f t="shared" si="119"/>
        <v/>
      </c>
      <c r="GN11" s="279" t="str">
        <f t="shared" si="120"/>
        <v/>
      </c>
      <c r="GO11" s="278" t="s">
        <v>109</v>
      </c>
      <c r="GP11" s="279" t="str">
        <f t="shared" si="121"/>
        <v/>
      </c>
      <c r="GQ11" s="279" t="str">
        <f t="shared" si="122"/>
        <v/>
      </c>
      <c r="GR11" s="278"/>
      <c r="GS11" s="279" t="str">
        <f t="shared" si="123"/>
        <v/>
      </c>
      <c r="GT11" s="279" t="str">
        <f t="shared" si="124"/>
        <v/>
      </c>
      <c r="GU11" s="278"/>
      <c r="GV11" s="279" t="str">
        <f t="shared" si="125"/>
        <v/>
      </c>
      <c r="GW11" s="279" t="str">
        <f t="shared" si="126"/>
        <v/>
      </c>
      <c r="GX11" s="278"/>
      <c r="GY11" s="279" t="str">
        <f t="shared" si="127"/>
        <v/>
      </c>
      <c r="GZ11" s="279" t="str">
        <f t="shared" si="128"/>
        <v/>
      </c>
      <c r="HA11" s="278"/>
      <c r="HB11" s="279" t="str">
        <f t="shared" si="129"/>
        <v/>
      </c>
      <c r="HC11" s="279" t="str">
        <f t="shared" si="130"/>
        <v/>
      </c>
      <c r="HD11" s="278"/>
      <c r="HE11" s="91" t="str">
        <f t="shared" si="131"/>
        <v/>
      </c>
      <c r="HF11" s="85" t="str">
        <f t="shared" si="132"/>
        <v/>
      </c>
      <c r="HG11" s="86"/>
      <c r="HH11" s="91" t="str">
        <f t="shared" si="133"/>
        <v/>
      </c>
      <c r="HI11" s="85" t="str">
        <f t="shared" si="134"/>
        <v/>
      </c>
      <c r="HJ11" s="86"/>
      <c r="HK11" s="91" t="str">
        <f t="shared" si="135"/>
        <v/>
      </c>
      <c r="HL11" s="85" t="str">
        <f t="shared" si="136"/>
        <v/>
      </c>
      <c r="HM11" s="86"/>
      <c r="HN11" s="91" t="str">
        <f t="shared" si="137"/>
        <v/>
      </c>
      <c r="HO11" s="85" t="str">
        <f t="shared" si="138"/>
        <v/>
      </c>
      <c r="HP11" s="86"/>
      <c r="HQ11" s="91" t="str">
        <f t="shared" si="139"/>
        <v/>
      </c>
      <c r="HR11" s="85" t="str">
        <f t="shared" si="140"/>
        <v/>
      </c>
      <c r="HS11" s="86"/>
      <c r="HT11" s="91" t="str">
        <f t="shared" si="141"/>
        <v/>
      </c>
      <c r="HU11" s="85" t="str">
        <f t="shared" si="142"/>
        <v/>
      </c>
      <c r="HV11" s="86"/>
      <c r="HW11" s="91" t="str">
        <f t="shared" si="143"/>
        <v/>
      </c>
      <c r="HX11" s="85" t="str">
        <f t="shared" si="144"/>
        <v/>
      </c>
      <c r="HY11" s="86"/>
      <c r="HZ11" s="91" t="str">
        <f t="shared" si="145"/>
        <v/>
      </c>
      <c r="IA11" s="85" t="str">
        <f t="shared" si="146"/>
        <v/>
      </c>
      <c r="IB11" s="86"/>
      <c r="IC11" s="91" t="str">
        <f t="shared" si="147"/>
        <v/>
      </c>
      <c r="ID11" s="85" t="str">
        <f t="shared" si="148"/>
        <v/>
      </c>
      <c r="IE11" s="86"/>
      <c r="IF11" s="91" t="str">
        <f t="shared" si="149"/>
        <v/>
      </c>
      <c r="IG11" s="85" t="str">
        <f t="shared" si="150"/>
        <v/>
      </c>
      <c r="IH11" s="86"/>
      <c r="II11" s="91" t="str">
        <f t="shared" si="151"/>
        <v/>
      </c>
      <c r="IJ11" s="85" t="str">
        <f t="shared" si="152"/>
        <v/>
      </c>
      <c r="IK11" s="86"/>
      <c r="IL11" s="91" t="str">
        <f t="shared" si="153"/>
        <v/>
      </c>
      <c r="IM11" s="85" t="str">
        <f t="shared" si="154"/>
        <v/>
      </c>
      <c r="IN11" s="86"/>
      <c r="IO11" s="91" t="str">
        <f t="shared" si="155"/>
        <v/>
      </c>
      <c r="IP11" s="85" t="str">
        <f t="shared" si="156"/>
        <v/>
      </c>
      <c r="IQ11" s="86"/>
      <c r="IR11" s="91" t="str">
        <f t="shared" si="157"/>
        <v/>
      </c>
      <c r="IS11" s="85" t="str">
        <f t="shared" si="158"/>
        <v/>
      </c>
      <c r="IT11" s="86"/>
      <c r="IU11" s="91" t="str">
        <f t="shared" si="159"/>
        <v/>
      </c>
      <c r="IV11" s="85" t="str">
        <f t="shared" si="160"/>
        <v/>
      </c>
      <c r="IW11" s="86"/>
      <c r="IX11" s="91" t="str">
        <f t="shared" si="161"/>
        <v/>
      </c>
      <c r="IY11" s="85" t="str">
        <f t="shared" si="162"/>
        <v/>
      </c>
      <c r="IZ11" s="86"/>
      <c r="JA11" s="91" t="str">
        <f t="shared" si="163"/>
        <v/>
      </c>
      <c r="JB11" s="85" t="str">
        <f t="shared" si="164"/>
        <v/>
      </c>
      <c r="JC11" s="86"/>
      <c r="JD11" s="91" t="str">
        <f t="shared" si="165"/>
        <v/>
      </c>
      <c r="JE11" s="85" t="str">
        <f t="shared" si="166"/>
        <v/>
      </c>
      <c r="JF11" s="86"/>
      <c r="JG11" s="91" t="str">
        <f t="shared" si="167"/>
        <v/>
      </c>
      <c r="JH11" s="85" t="str">
        <f t="shared" si="168"/>
        <v/>
      </c>
      <c r="JI11" s="86"/>
      <c r="JJ11" s="91" t="str">
        <f t="shared" si="169"/>
        <v/>
      </c>
      <c r="JK11" s="85" t="str">
        <f t="shared" si="170"/>
        <v/>
      </c>
      <c r="JL11" s="86"/>
      <c r="JM11" s="91" t="str">
        <f t="shared" si="171"/>
        <v/>
      </c>
      <c r="JN11" s="85" t="str">
        <f t="shared" si="172"/>
        <v/>
      </c>
      <c r="JO11" s="86"/>
      <c r="JP11" s="91" t="str">
        <f t="shared" si="173"/>
        <v/>
      </c>
      <c r="JQ11" s="85" t="str">
        <f t="shared" si="174"/>
        <v/>
      </c>
      <c r="JR11" s="86"/>
      <c r="JS11" s="91" t="str">
        <f t="shared" si="175"/>
        <v/>
      </c>
      <c r="JT11" s="85" t="str">
        <f t="shared" si="176"/>
        <v/>
      </c>
      <c r="JU11" s="86"/>
      <c r="JV11" s="91" t="str">
        <f t="shared" si="177"/>
        <v/>
      </c>
      <c r="JW11" s="85" t="str">
        <f t="shared" si="178"/>
        <v/>
      </c>
      <c r="JX11" s="86"/>
      <c r="JY11" s="91" t="str">
        <f t="shared" si="179"/>
        <v/>
      </c>
      <c r="JZ11" s="85" t="str">
        <f t="shared" si="180"/>
        <v/>
      </c>
      <c r="KA11" s="86"/>
      <c r="KB11" s="91" t="str">
        <f t="shared" si="181"/>
        <v/>
      </c>
      <c r="KC11" s="85" t="str">
        <f t="shared" si="182"/>
        <v/>
      </c>
      <c r="KD11" s="86"/>
      <c r="KE11" s="91" t="str">
        <f t="shared" si="183"/>
        <v/>
      </c>
      <c r="KF11" s="85" t="str">
        <f t="shared" si="184"/>
        <v/>
      </c>
      <c r="KG11" s="86"/>
      <c r="KH11" s="91" t="str">
        <f t="shared" si="185"/>
        <v/>
      </c>
      <c r="KI11" s="85" t="str">
        <f t="shared" si="186"/>
        <v/>
      </c>
      <c r="KJ11" s="86"/>
      <c r="KK11" s="91" t="str">
        <f t="shared" si="187"/>
        <v/>
      </c>
      <c r="KL11" s="85" t="str">
        <f t="shared" si="188"/>
        <v/>
      </c>
      <c r="KM11" s="86"/>
      <c r="KN11" s="91" t="str">
        <f t="shared" si="189"/>
        <v/>
      </c>
      <c r="KO11" s="85" t="str">
        <f t="shared" si="190"/>
        <v/>
      </c>
      <c r="KP11" s="86"/>
      <c r="KQ11" s="91" t="str">
        <f t="shared" si="191"/>
        <v/>
      </c>
      <c r="KR11" s="85" t="str">
        <f t="shared" si="192"/>
        <v/>
      </c>
      <c r="KS11" s="86"/>
      <c r="KT11" s="91" t="str">
        <f t="shared" si="193"/>
        <v/>
      </c>
      <c r="KU11" s="85" t="str">
        <f t="shared" si="194"/>
        <v/>
      </c>
      <c r="KV11" s="86"/>
      <c r="KW11" s="91" t="str">
        <f t="shared" si="195"/>
        <v/>
      </c>
      <c r="KX11" s="85" t="str">
        <f t="shared" si="196"/>
        <v/>
      </c>
      <c r="KY11" s="92"/>
      <c r="KZ11" s="91" t="str">
        <f t="shared" si="197"/>
        <v/>
      </c>
      <c r="LA11" s="85" t="str">
        <f t="shared" si="198"/>
        <v/>
      </c>
      <c r="LB11" s="50" t="str">
        <f t="shared" si="213"/>
        <v/>
      </c>
      <c r="LC11" s="57" t="str">
        <f t="shared" si="199"/>
        <v/>
      </c>
      <c r="LD11" s="50" t="str">
        <f t="shared" si="207"/>
        <v/>
      </c>
      <c r="LE11" s="57" t="str">
        <f t="shared" si="200"/>
        <v/>
      </c>
      <c r="LF11" s="50" t="str">
        <f t="shared" si="208"/>
        <v/>
      </c>
      <c r="LG11" s="57" t="str">
        <f t="shared" si="201"/>
        <v/>
      </c>
      <c r="LH11" s="58" t="str">
        <f t="shared" si="202"/>
        <v/>
      </c>
      <c r="LI11" s="58" t="str">
        <f t="shared" si="203"/>
        <v/>
      </c>
      <c r="LJ11" s="58" t="str">
        <f t="shared" si="204"/>
        <v/>
      </c>
      <c r="LK11" s="58" t="str">
        <f t="shared" si="205"/>
        <v/>
      </c>
      <c r="LL11" s="60" t="str">
        <f t="shared" si="206"/>
        <v/>
      </c>
      <c r="LM11" s="55"/>
      <c r="LN11" s="61" t="str">
        <f t="shared" si="209"/>
        <v/>
      </c>
      <c r="LO11" s="61" t="str">
        <f t="shared" si="210"/>
        <v/>
      </c>
      <c r="LP11" s="64"/>
      <c r="LQ11" s="64"/>
      <c r="LR11" s="64"/>
    </row>
    <row r="12" spans="1:334" s="62" customFormat="1" ht="15" customHeight="1">
      <c r="A12" s="50">
        <f t="shared" si="211"/>
        <v>5</v>
      </c>
      <c r="B12" s="50">
        <f t="shared" si="212"/>
        <v>5</v>
      </c>
      <c r="C12" s="117">
        <v>66</v>
      </c>
      <c r="D12" s="118" t="s">
        <v>133</v>
      </c>
      <c r="E12" s="286" t="s">
        <v>606</v>
      </c>
      <c r="F12" s="286" t="s">
        <v>607</v>
      </c>
      <c r="G12" s="286" t="s">
        <v>608</v>
      </c>
      <c r="H12" s="119" t="s">
        <v>129</v>
      </c>
      <c r="I12" s="286" t="s">
        <v>533</v>
      </c>
      <c r="J12" s="119" t="s">
        <v>134</v>
      </c>
      <c r="K12" s="119" t="s">
        <v>9</v>
      </c>
      <c r="L12" s="104" t="s">
        <v>135</v>
      </c>
      <c r="M12" s="292" t="s">
        <v>35</v>
      </c>
      <c r="N12" s="86"/>
      <c r="O12" s="91" t="str">
        <f t="shared" si="0"/>
        <v/>
      </c>
      <c r="P12" s="85" t="str">
        <f t="shared" si="1"/>
        <v/>
      </c>
      <c r="Q12" s="89"/>
      <c r="R12" s="91" t="str">
        <f t="shared" si="2"/>
        <v/>
      </c>
      <c r="S12" s="85" t="str">
        <f t="shared" si="3"/>
        <v/>
      </c>
      <c r="T12" s="86"/>
      <c r="U12" s="91" t="str">
        <f t="shared" si="4"/>
        <v/>
      </c>
      <c r="V12" s="85" t="str">
        <f t="shared" si="5"/>
        <v/>
      </c>
      <c r="W12" s="86"/>
      <c r="X12" s="91" t="str">
        <f t="shared" si="6"/>
        <v/>
      </c>
      <c r="Y12" s="85" t="str">
        <f t="shared" si="7"/>
        <v/>
      </c>
      <c r="Z12" s="56"/>
      <c r="AA12" s="91" t="str">
        <f t="shared" si="8"/>
        <v/>
      </c>
      <c r="AB12" s="85" t="str">
        <f t="shared" si="9"/>
        <v/>
      </c>
      <c r="AC12" s="271">
        <v>78</v>
      </c>
      <c r="AD12" s="91">
        <f t="shared" si="10"/>
        <v>-0.64890145235452135</v>
      </c>
      <c r="AE12" s="85">
        <f t="shared" si="11"/>
        <v>0.33333333333333331</v>
      </c>
      <c r="AF12" s="86"/>
      <c r="AG12" s="91" t="str">
        <f t="shared" si="12"/>
        <v/>
      </c>
      <c r="AH12" s="85" t="str">
        <f t="shared" si="13"/>
        <v/>
      </c>
      <c r="AI12" s="86"/>
      <c r="AJ12" s="91" t="str">
        <f t="shared" si="14"/>
        <v/>
      </c>
      <c r="AK12" s="85" t="str">
        <f t="shared" si="15"/>
        <v/>
      </c>
      <c r="AL12" s="86"/>
      <c r="AM12" s="91" t="str">
        <f t="shared" si="16"/>
        <v/>
      </c>
      <c r="AN12" s="85" t="str">
        <f t="shared" si="17"/>
        <v/>
      </c>
      <c r="AO12" s="89"/>
      <c r="AP12" s="91" t="str">
        <f t="shared" si="18"/>
        <v/>
      </c>
      <c r="AQ12" s="85" t="str">
        <f t="shared" si="19"/>
        <v/>
      </c>
      <c r="AR12" s="92"/>
      <c r="AS12" s="91" t="str">
        <f t="shared" si="20"/>
        <v/>
      </c>
      <c r="AT12" s="85" t="str">
        <f t="shared" si="21"/>
        <v/>
      </c>
      <c r="AU12" s="86"/>
      <c r="AV12" s="91" t="str">
        <f t="shared" si="22"/>
        <v/>
      </c>
      <c r="AW12" s="85" t="str">
        <f t="shared" si="23"/>
        <v/>
      </c>
      <c r="AX12" s="86"/>
      <c r="AY12" s="91" t="str">
        <f t="shared" si="24"/>
        <v/>
      </c>
      <c r="AZ12" s="85" t="str">
        <f t="shared" si="25"/>
        <v/>
      </c>
      <c r="BA12" s="86"/>
      <c r="BB12" s="91" t="str">
        <f t="shared" si="26"/>
        <v/>
      </c>
      <c r="BC12" s="85" t="str">
        <f t="shared" si="27"/>
        <v/>
      </c>
      <c r="BD12" s="86"/>
      <c r="BE12" s="91" t="str">
        <f t="shared" si="28"/>
        <v/>
      </c>
      <c r="BF12" s="85" t="str">
        <f t="shared" si="29"/>
        <v/>
      </c>
      <c r="BG12" s="86"/>
      <c r="BH12" s="91" t="str">
        <f t="shared" si="30"/>
        <v/>
      </c>
      <c r="BI12" s="85" t="str">
        <f t="shared" si="31"/>
        <v/>
      </c>
      <c r="BJ12" s="86"/>
      <c r="BK12" s="91" t="str">
        <f t="shared" si="32"/>
        <v/>
      </c>
      <c r="BL12" s="85" t="str">
        <f t="shared" si="33"/>
        <v/>
      </c>
      <c r="BM12" s="86"/>
      <c r="BN12" s="91" t="str">
        <f t="shared" si="34"/>
        <v/>
      </c>
      <c r="BO12" s="85" t="str">
        <f t="shared" si="35"/>
        <v/>
      </c>
      <c r="BP12" s="51"/>
      <c r="BQ12" s="91" t="str">
        <f t="shared" si="36"/>
        <v/>
      </c>
      <c r="BR12" s="85" t="str">
        <f t="shared" si="37"/>
        <v/>
      </c>
      <c r="BS12" s="86"/>
      <c r="BT12" s="91" t="str">
        <f t="shared" si="38"/>
        <v/>
      </c>
      <c r="BU12" s="85" t="str">
        <f t="shared" si="39"/>
        <v/>
      </c>
      <c r="BV12" s="86"/>
      <c r="BW12" s="91" t="str">
        <f t="shared" si="40"/>
        <v/>
      </c>
      <c r="BX12" s="85" t="str">
        <f t="shared" si="41"/>
        <v/>
      </c>
      <c r="BY12" s="86"/>
      <c r="BZ12" s="91" t="str">
        <f t="shared" si="42"/>
        <v/>
      </c>
      <c r="CA12" s="85" t="str">
        <f t="shared" si="43"/>
        <v/>
      </c>
      <c r="CB12" s="86"/>
      <c r="CC12" s="91" t="str">
        <f t="shared" si="44"/>
        <v/>
      </c>
      <c r="CD12" s="85" t="str">
        <f t="shared" si="45"/>
        <v/>
      </c>
      <c r="CE12" s="86"/>
      <c r="CF12" s="91" t="str">
        <f t="shared" si="46"/>
        <v/>
      </c>
      <c r="CG12" s="85" t="str">
        <f t="shared" si="47"/>
        <v/>
      </c>
      <c r="CH12" s="86"/>
      <c r="CI12" s="91" t="str">
        <f t="shared" si="48"/>
        <v/>
      </c>
      <c r="CJ12" s="85" t="str">
        <f t="shared" si="49"/>
        <v/>
      </c>
      <c r="CK12" s="92"/>
      <c r="CL12" s="91" t="str">
        <f t="shared" si="50"/>
        <v/>
      </c>
      <c r="CM12" s="85" t="str">
        <f t="shared" si="51"/>
        <v/>
      </c>
      <c r="CN12" s="86"/>
      <c r="CO12" s="91" t="str">
        <f t="shared" si="52"/>
        <v/>
      </c>
      <c r="CP12" s="85" t="str">
        <f t="shared" si="53"/>
        <v/>
      </c>
      <c r="CQ12" s="86"/>
      <c r="CR12" s="91" t="str">
        <f t="shared" si="54"/>
        <v/>
      </c>
      <c r="CS12" s="85" t="str">
        <f t="shared" si="55"/>
        <v/>
      </c>
      <c r="CT12" s="86"/>
      <c r="CU12" s="91" t="str">
        <f t="shared" si="56"/>
        <v/>
      </c>
      <c r="CV12" s="85" t="str">
        <f t="shared" si="57"/>
        <v/>
      </c>
      <c r="CW12" s="86"/>
      <c r="CX12" s="91" t="str">
        <f t="shared" si="58"/>
        <v/>
      </c>
      <c r="CY12" s="85" t="str">
        <f t="shared" si="59"/>
        <v/>
      </c>
      <c r="CZ12" s="86"/>
      <c r="DA12" s="91" t="str">
        <f t="shared" si="60"/>
        <v/>
      </c>
      <c r="DB12" s="85" t="str">
        <f t="shared" si="61"/>
        <v/>
      </c>
      <c r="DC12" s="86"/>
      <c r="DD12" s="91" t="str">
        <f t="shared" si="62"/>
        <v/>
      </c>
      <c r="DE12" s="85" t="str">
        <f t="shared" si="63"/>
        <v/>
      </c>
      <c r="DF12" s="56"/>
      <c r="DG12" s="91"/>
      <c r="DH12" s="85" t="str">
        <f t="shared" si="64"/>
        <v/>
      </c>
      <c r="DI12" s="86"/>
      <c r="DJ12" s="91" t="str">
        <f t="shared" si="65"/>
        <v/>
      </c>
      <c r="DK12" s="85" t="str">
        <f t="shared" si="66"/>
        <v/>
      </c>
      <c r="DL12" s="86"/>
      <c r="DM12" s="91" t="str">
        <f t="shared" si="67"/>
        <v/>
      </c>
      <c r="DN12" s="85" t="str">
        <f t="shared" si="68"/>
        <v/>
      </c>
      <c r="DO12" s="89"/>
      <c r="DP12" s="91" t="str">
        <f t="shared" si="69"/>
        <v/>
      </c>
      <c r="DQ12" s="85" t="str">
        <f t="shared" si="70"/>
        <v/>
      </c>
      <c r="DR12" s="271">
        <v>60</v>
      </c>
      <c r="DS12" s="91">
        <f t="shared" si="71"/>
        <v>0.10283293339875009</v>
      </c>
      <c r="DT12" s="85">
        <f t="shared" si="72"/>
        <v>0.5</v>
      </c>
      <c r="DU12" s="86"/>
      <c r="DV12" s="91" t="str">
        <f t="shared" si="73"/>
        <v/>
      </c>
      <c r="DW12" s="85" t="str">
        <f t="shared" si="74"/>
        <v/>
      </c>
      <c r="DX12" s="92"/>
      <c r="DY12" s="91" t="str">
        <f t="shared" si="75"/>
        <v/>
      </c>
      <c r="DZ12" s="85" t="str">
        <f t="shared" si="76"/>
        <v/>
      </c>
      <c r="EA12" s="86"/>
      <c r="EB12" s="91" t="str">
        <f t="shared" si="77"/>
        <v/>
      </c>
      <c r="EC12" s="85" t="str">
        <f t="shared" si="78"/>
        <v/>
      </c>
      <c r="ED12" s="89"/>
      <c r="EE12" s="91" t="str">
        <f t="shared" si="79"/>
        <v/>
      </c>
      <c r="EF12" s="85" t="str">
        <f t="shared" si="80"/>
        <v/>
      </c>
      <c r="EG12" s="86"/>
      <c r="EH12" s="91" t="str">
        <f t="shared" si="81"/>
        <v/>
      </c>
      <c r="EI12" s="85" t="str">
        <f t="shared" si="82"/>
        <v/>
      </c>
      <c r="EJ12" s="86"/>
      <c r="EK12" s="91" t="str">
        <f t="shared" si="83"/>
        <v/>
      </c>
      <c r="EL12" s="85" t="str">
        <f t="shared" si="84"/>
        <v/>
      </c>
      <c r="EM12" s="86"/>
      <c r="EN12" s="91" t="str">
        <f t="shared" si="85"/>
        <v/>
      </c>
      <c r="EO12" s="85" t="str">
        <f t="shared" si="86"/>
        <v/>
      </c>
      <c r="EP12" s="86"/>
      <c r="EQ12" s="91" t="str">
        <f t="shared" si="87"/>
        <v/>
      </c>
      <c r="ER12" s="85" t="str">
        <f t="shared" si="88"/>
        <v/>
      </c>
      <c r="ES12" s="51"/>
      <c r="ET12" s="91" t="str">
        <f t="shared" si="89"/>
        <v/>
      </c>
      <c r="EU12" s="85" t="str">
        <f t="shared" si="90"/>
        <v/>
      </c>
      <c r="EV12" s="86"/>
      <c r="EW12" s="91" t="str">
        <f t="shared" si="91"/>
        <v/>
      </c>
      <c r="EX12" s="85" t="str">
        <f t="shared" si="92"/>
        <v/>
      </c>
      <c r="EY12" s="86">
        <v>90</v>
      </c>
      <c r="EZ12" s="91">
        <f t="shared" si="93"/>
        <v>0.32018344756882339</v>
      </c>
      <c r="FA12" s="85">
        <f t="shared" si="94"/>
        <v>0.5</v>
      </c>
      <c r="FB12" s="86"/>
      <c r="FC12" s="91" t="str">
        <f t="shared" si="95"/>
        <v/>
      </c>
      <c r="FD12" s="85" t="str">
        <f t="shared" si="96"/>
        <v/>
      </c>
      <c r="FE12" s="56"/>
      <c r="FF12" s="91" t="str">
        <f t="shared" si="97"/>
        <v/>
      </c>
      <c r="FG12" s="85" t="str">
        <f t="shared" si="98"/>
        <v/>
      </c>
      <c r="FH12" s="86"/>
      <c r="FI12" s="91" t="str">
        <f t="shared" si="99"/>
        <v/>
      </c>
      <c r="FJ12" s="85" t="str">
        <f t="shared" si="100"/>
        <v/>
      </c>
      <c r="FK12" s="56">
        <v>90</v>
      </c>
      <c r="FL12" s="91">
        <f t="shared" si="101"/>
        <v>-0.13780819250991042</v>
      </c>
      <c r="FM12" s="85">
        <f t="shared" si="102"/>
        <v>0.5</v>
      </c>
      <c r="FN12" s="89"/>
      <c r="FO12" s="91" t="str">
        <f t="shared" si="103"/>
        <v/>
      </c>
      <c r="FP12" s="85" t="str">
        <f t="shared" si="104"/>
        <v/>
      </c>
      <c r="FQ12" s="89"/>
      <c r="FR12" s="91" t="str">
        <f t="shared" si="105"/>
        <v/>
      </c>
      <c r="FS12" s="85" t="str">
        <f t="shared" si="106"/>
        <v/>
      </c>
      <c r="FT12" s="56"/>
      <c r="FU12" s="91" t="str">
        <f t="shared" si="107"/>
        <v/>
      </c>
      <c r="FV12" s="85" t="str">
        <f t="shared" si="108"/>
        <v/>
      </c>
      <c r="FW12" s="273">
        <v>48</v>
      </c>
      <c r="FX12" s="91">
        <f t="shared" si="109"/>
        <v>-1.1681147539027075</v>
      </c>
      <c r="FY12" s="85">
        <f t="shared" si="110"/>
        <v>0</v>
      </c>
      <c r="FZ12" s="92"/>
      <c r="GA12" s="91" t="str">
        <f t="shared" si="111"/>
        <v/>
      </c>
      <c r="GB12" s="85" t="str">
        <f t="shared" si="112"/>
        <v/>
      </c>
      <c r="GC12" s="89"/>
      <c r="GD12" s="91" t="str">
        <f t="shared" si="113"/>
        <v/>
      </c>
      <c r="GE12" s="85" t="str">
        <f t="shared" si="114"/>
        <v/>
      </c>
      <c r="GF12" s="86"/>
      <c r="GG12" s="91" t="str">
        <f t="shared" si="115"/>
        <v/>
      </c>
      <c r="GH12" s="85" t="str">
        <f t="shared" si="116"/>
        <v/>
      </c>
      <c r="GI12" s="86"/>
      <c r="GJ12" s="91" t="str">
        <f t="shared" si="117"/>
        <v/>
      </c>
      <c r="GK12" s="85" t="str">
        <f t="shared" si="118"/>
        <v/>
      </c>
      <c r="GL12" s="86"/>
      <c r="GM12" s="91" t="str">
        <f t="shared" si="119"/>
        <v/>
      </c>
      <c r="GN12" s="85" t="str">
        <f t="shared" si="120"/>
        <v/>
      </c>
      <c r="GO12" s="86"/>
      <c r="GP12" s="91" t="str">
        <f t="shared" si="121"/>
        <v/>
      </c>
      <c r="GQ12" s="85" t="str">
        <f t="shared" si="122"/>
        <v/>
      </c>
      <c r="GR12" s="86"/>
      <c r="GS12" s="91" t="str">
        <f t="shared" si="123"/>
        <v/>
      </c>
      <c r="GT12" s="85" t="str">
        <f t="shared" si="124"/>
        <v/>
      </c>
      <c r="GU12" s="86"/>
      <c r="GV12" s="91" t="str">
        <f t="shared" si="125"/>
        <v/>
      </c>
      <c r="GW12" s="85" t="str">
        <f t="shared" si="126"/>
        <v/>
      </c>
      <c r="GX12" s="86"/>
      <c r="GY12" s="91" t="str">
        <f t="shared" si="127"/>
        <v/>
      </c>
      <c r="GZ12" s="85" t="str">
        <f t="shared" si="128"/>
        <v/>
      </c>
      <c r="HA12" s="86"/>
      <c r="HB12" s="91" t="str">
        <f t="shared" si="129"/>
        <v/>
      </c>
      <c r="HC12" s="85" t="str">
        <f t="shared" si="130"/>
        <v/>
      </c>
      <c r="HD12" s="86"/>
      <c r="HE12" s="91" t="str">
        <f t="shared" si="131"/>
        <v/>
      </c>
      <c r="HF12" s="85" t="str">
        <f t="shared" si="132"/>
        <v/>
      </c>
      <c r="HG12" s="86"/>
      <c r="HH12" s="91" t="str">
        <f t="shared" si="133"/>
        <v/>
      </c>
      <c r="HI12" s="85" t="str">
        <f t="shared" si="134"/>
        <v/>
      </c>
      <c r="HJ12" s="86"/>
      <c r="HK12" s="91" t="str">
        <f t="shared" si="135"/>
        <v/>
      </c>
      <c r="HL12" s="85" t="str">
        <f t="shared" si="136"/>
        <v/>
      </c>
      <c r="HM12" s="86"/>
      <c r="HN12" s="91" t="str">
        <f t="shared" si="137"/>
        <v/>
      </c>
      <c r="HO12" s="85" t="str">
        <f t="shared" si="138"/>
        <v/>
      </c>
      <c r="HP12" s="86"/>
      <c r="HQ12" s="91" t="str">
        <f t="shared" si="139"/>
        <v/>
      </c>
      <c r="HR12" s="85" t="str">
        <f t="shared" si="140"/>
        <v/>
      </c>
      <c r="HS12" s="86"/>
      <c r="HT12" s="91" t="str">
        <f t="shared" si="141"/>
        <v/>
      </c>
      <c r="HU12" s="85" t="str">
        <f t="shared" si="142"/>
        <v/>
      </c>
      <c r="HV12" s="86"/>
      <c r="HW12" s="91" t="str">
        <f t="shared" si="143"/>
        <v/>
      </c>
      <c r="HX12" s="85" t="str">
        <f t="shared" si="144"/>
        <v/>
      </c>
      <c r="HY12" s="86"/>
      <c r="HZ12" s="91" t="str">
        <f t="shared" si="145"/>
        <v/>
      </c>
      <c r="IA12" s="85" t="str">
        <f t="shared" si="146"/>
        <v/>
      </c>
      <c r="IB12" s="86"/>
      <c r="IC12" s="91" t="str">
        <f t="shared" si="147"/>
        <v/>
      </c>
      <c r="ID12" s="85" t="str">
        <f t="shared" si="148"/>
        <v/>
      </c>
      <c r="IE12" s="86"/>
      <c r="IF12" s="91" t="str">
        <f t="shared" si="149"/>
        <v/>
      </c>
      <c r="IG12" s="85" t="str">
        <f t="shared" si="150"/>
        <v/>
      </c>
      <c r="IH12" s="86"/>
      <c r="II12" s="91" t="str">
        <f t="shared" si="151"/>
        <v/>
      </c>
      <c r="IJ12" s="85" t="str">
        <f t="shared" si="152"/>
        <v/>
      </c>
      <c r="IK12" s="86"/>
      <c r="IL12" s="91" t="str">
        <f t="shared" si="153"/>
        <v/>
      </c>
      <c r="IM12" s="85" t="str">
        <f t="shared" si="154"/>
        <v/>
      </c>
      <c r="IN12" s="86"/>
      <c r="IO12" s="91" t="str">
        <f t="shared" si="155"/>
        <v/>
      </c>
      <c r="IP12" s="85" t="str">
        <f t="shared" si="156"/>
        <v/>
      </c>
      <c r="IQ12" s="86"/>
      <c r="IR12" s="91" t="str">
        <f t="shared" si="157"/>
        <v/>
      </c>
      <c r="IS12" s="85" t="str">
        <f t="shared" si="158"/>
        <v/>
      </c>
      <c r="IT12" s="86"/>
      <c r="IU12" s="91" t="str">
        <f t="shared" si="159"/>
        <v/>
      </c>
      <c r="IV12" s="85" t="str">
        <f t="shared" si="160"/>
        <v/>
      </c>
      <c r="IW12" s="86"/>
      <c r="IX12" s="91" t="str">
        <f t="shared" si="161"/>
        <v/>
      </c>
      <c r="IY12" s="85" t="str">
        <f t="shared" si="162"/>
        <v/>
      </c>
      <c r="IZ12" s="86"/>
      <c r="JA12" s="91" t="str">
        <f t="shared" si="163"/>
        <v/>
      </c>
      <c r="JB12" s="85" t="str">
        <f t="shared" si="164"/>
        <v/>
      </c>
      <c r="JC12" s="86"/>
      <c r="JD12" s="91" t="str">
        <f t="shared" si="165"/>
        <v/>
      </c>
      <c r="JE12" s="85" t="str">
        <f t="shared" si="166"/>
        <v/>
      </c>
      <c r="JF12" s="86"/>
      <c r="JG12" s="91" t="str">
        <f t="shared" si="167"/>
        <v/>
      </c>
      <c r="JH12" s="85" t="str">
        <f t="shared" si="168"/>
        <v/>
      </c>
      <c r="JI12" s="86"/>
      <c r="JJ12" s="91" t="str">
        <f t="shared" si="169"/>
        <v/>
      </c>
      <c r="JK12" s="85" t="str">
        <f t="shared" si="170"/>
        <v/>
      </c>
      <c r="JL12" s="86"/>
      <c r="JM12" s="91" t="str">
        <f t="shared" si="171"/>
        <v/>
      </c>
      <c r="JN12" s="85" t="str">
        <f t="shared" si="172"/>
        <v/>
      </c>
      <c r="JO12" s="86"/>
      <c r="JP12" s="91" t="str">
        <f t="shared" si="173"/>
        <v/>
      </c>
      <c r="JQ12" s="85" t="str">
        <f t="shared" si="174"/>
        <v/>
      </c>
      <c r="JR12" s="86"/>
      <c r="JS12" s="91" t="str">
        <f t="shared" si="175"/>
        <v/>
      </c>
      <c r="JT12" s="85" t="str">
        <f t="shared" si="176"/>
        <v/>
      </c>
      <c r="JU12" s="86"/>
      <c r="JV12" s="91" t="str">
        <f t="shared" si="177"/>
        <v/>
      </c>
      <c r="JW12" s="85" t="str">
        <f t="shared" si="178"/>
        <v/>
      </c>
      <c r="JX12" s="86"/>
      <c r="JY12" s="91" t="str">
        <f t="shared" si="179"/>
        <v/>
      </c>
      <c r="JZ12" s="85" t="str">
        <f t="shared" si="180"/>
        <v/>
      </c>
      <c r="KA12" s="86"/>
      <c r="KB12" s="91" t="str">
        <f t="shared" si="181"/>
        <v/>
      </c>
      <c r="KC12" s="85" t="str">
        <f t="shared" si="182"/>
        <v/>
      </c>
      <c r="KD12" s="86"/>
      <c r="KE12" s="91" t="str">
        <f t="shared" si="183"/>
        <v/>
      </c>
      <c r="KF12" s="85" t="str">
        <f t="shared" si="184"/>
        <v/>
      </c>
      <c r="KG12" s="86"/>
      <c r="KH12" s="91" t="str">
        <f t="shared" si="185"/>
        <v/>
      </c>
      <c r="KI12" s="85" t="str">
        <f t="shared" si="186"/>
        <v/>
      </c>
      <c r="KJ12" s="86"/>
      <c r="KK12" s="91" t="str">
        <f t="shared" si="187"/>
        <v/>
      </c>
      <c r="KL12" s="85" t="str">
        <f t="shared" si="188"/>
        <v/>
      </c>
      <c r="KM12" s="86"/>
      <c r="KN12" s="91" t="str">
        <f t="shared" si="189"/>
        <v/>
      </c>
      <c r="KO12" s="85" t="str">
        <f t="shared" si="190"/>
        <v/>
      </c>
      <c r="KP12" s="86"/>
      <c r="KQ12" s="91" t="str">
        <f t="shared" si="191"/>
        <v/>
      </c>
      <c r="KR12" s="85" t="str">
        <f t="shared" si="192"/>
        <v/>
      </c>
      <c r="KS12" s="86"/>
      <c r="KT12" s="91" t="str">
        <f t="shared" si="193"/>
        <v/>
      </c>
      <c r="KU12" s="85" t="str">
        <f t="shared" si="194"/>
        <v/>
      </c>
      <c r="KV12" s="86"/>
      <c r="KW12" s="91" t="str">
        <f t="shared" si="195"/>
        <v/>
      </c>
      <c r="KX12" s="85" t="str">
        <f t="shared" si="196"/>
        <v/>
      </c>
      <c r="KY12" s="92"/>
      <c r="KZ12" s="91" t="str">
        <f t="shared" si="197"/>
        <v/>
      </c>
      <c r="LA12" s="85" t="str">
        <f t="shared" si="198"/>
        <v/>
      </c>
      <c r="LB12" s="50">
        <f t="shared" si="213"/>
        <v>73.2</v>
      </c>
      <c r="LC12" s="57">
        <f t="shared" si="199"/>
        <v>56</v>
      </c>
      <c r="LD12" s="50">
        <f t="shared" si="207"/>
        <v>-0.30636160355991315</v>
      </c>
      <c r="LE12" s="57">
        <f t="shared" si="200"/>
        <v>43</v>
      </c>
      <c r="LF12" s="50">
        <f t="shared" si="208"/>
        <v>0.36666666666666664</v>
      </c>
      <c r="LG12" s="57">
        <f t="shared" si="201"/>
        <v>43</v>
      </c>
      <c r="LH12" s="58">
        <f t="shared" si="202"/>
        <v>36.403508771929829</v>
      </c>
      <c r="LI12" s="58">
        <f t="shared" si="203"/>
        <v>36.98868180380731</v>
      </c>
      <c r="LJ12" s="58">
        <f t="shared" si="204"/>
        <v>34.166666666666664</v>
      </c>
      <c r="LK12" s="58">
        <f t="shared" si="205"/>
        <v>57.558857242403803</v>
      </c>
      <c r="LL12" s="60">
        <f t="shared" si="206"/>
        <v>44</v>
      </c>
      <c r="LM12" s="55"/>
      <c r="LN12" s="61">
        <f t="shared" si="209"/>
        <v>6</v>
      </c>
      <c r="LO12" s="61">
        <f t="shared" si="210"/>
        <v>44</v>
      </c>
      <c r="LP12" s="64"/>
      <c r="LQ12" s="64"/>
      <c r="LR12" s="64"/>
    </row>
    <row r="13" spans="1:334" s="62" customFormat="1" ht="15" customHeight="1">
      <c r="A13" s="50">
        <f t="shared" si="211"/>
        <v>5</v>
      </c>
      <c r="B13" s="50">
        <f t="shared" si="212"/>
        <v>5</v>
      </c>
      <c r="C13" s="117">
        <v>24</v>
      </c>
      <c r="D13" s="118" t="s">
        <v>136</v>
      </c>
      <c r="E13" s="286" t="s">
        <v>609</v>
      </c>
      <c r="F13" s="286" t="s">
        <v>610</v>
      </c>
      <c r="G13" s="289"/>
      <c r="H13" s="119" t="s">
        <v>129</v>
      </c>
      <c r="I13" s="286" t="s">
        <v>534</v>
      </c>
      <c r="J13" s="119" t="s">
        <v>137</v>
      </c>
      <c r="K13" s="119" t="s">
        <v>9</v>
      </c>
      <c r="L13" s="53" t="s">
        <v>138</v>
      </c>
      <c r="M13" s="292" t="s">
        <v>35</v>
      </c>
      <c r="N13" s="86"/>
      <c r="O13" s="91" t="str">
        <f t="shared" si="0"/>
        <v/>
      </c>
      <c r="P13" s="85" t="str">
        <f t="shared" si="1"/>
        <v/>
      </c>
      <c r="Q13" s="86"/>
      <c r="R13" s="91" t="str">
        <f t="shared" si="2"/>
        <v/>
      </c>
      <c r="S13" s="85" t="str">
        <f t="shared" si="3"/>
        <v/>
      </c>
      <c r="T13" s="86"/>
      <c r="U13" s="91" t="str">
        <f t="shared" si="4"/>
        <v/>
      </c>
      <c r="V13" s="85" t="str">
        <f t="shared" si="5"/>
        <v/>
      </c>
      <c r="W13" s="86"/>
      <c r="X13" s="91" t="str">
        <f t="shared" si="6"/>
        <v/>
      </c>
      <c r="Y13" s="85" t="str">
        <f t="shared" si="7"/>
        <v/>
      </c>
      <c r="Z13" s="86"/>
      <c r="AA13" s="91" t="str">
        <f t="shared" si="8"/>
        <v/>
      </c>
      <c r="AB13" s="85" t="str">
        <f t="shared" si="9"/>
        <v/>
      </c>
      <c r="AC13" s="86"/>
      <c r="AD13" s="91" t="str">
        <f t="shared" si="10"/>
        <v/>
      </c>
      <c r="AE13" s="85" t="str">
        <f t="shared" si="11"/>
        <v/>
      </c>
      <c r="AF13" s="89"/>
      <c r="AG13" s="91" t="str">
        <f t="shared" si="12"/>
        <v/>
      </c>
      <c r="AH13" s="85" t="str">
        <f t="shared" si="13"/>
        <v/>
      </c>
      <c r="AI13" s="86"/>
      <c r="AJ13" s="91" t="str">
        <f t="shared" si="14"/>
        <v/>
      </c>
      <c r="AK13" s="85" t="str">
        <f t="shared" si="15"/>
        <v/>
      </c>
      <c r="AL13" s="86"/>
      <c r="AM13" s="91" t="str">
        <f t="shared" si="16"/>
        <v/>
      </c>
      <c r="AN13" s="85" t="str">
        <f t="shared" si="17"/>
        <v/>
      </c>
      <c r="AO13" s="86"/>
      <c r="AP13" s="91" t="str">
        <f t="shared" si="18"/>
        <v/>
      </c>
      <c r="AQ13" s="85" t="str">
        <f t="shared" si="19"/>
        <v/>
      </c>
      <c r="AR13" s="86"/>
      <c r="AS13" s="91" t="str">
        <f t="shared" si="20"/>
        <v/>
      </c>
      <c r="AT13" s="85" t="str">
        <f t="shared" si="21"/>
        <v/>
      </c>
      <c r="AU13" s="89"/>
      <c r="AV13" s="91" t="str">
        <f t="shared" si="22"/>
        <v/>
      </c>
      <c r="AW13" s="85" t="str">
        <f t="shared" si="23"/>
        <v/>
      </c>
      <c r="AX13" s="86"/>
      <c r="AY13" s="91" t="str">
        <f t="shared" si="24"/>
        <v/>
      </c>
      <c r="AZ13" s="85" t="str">
        <f t="shared" si="25"/>
        <v/>
      </c>
      <c r="BA13" s="86"/>
      <c r="BB13" s="91" t="str">
        <f t="shared" si="26"/>
        <v/>
      </c>
      <c r="BC13" s="85" t="str">
        <f t="shared" si="27"/>
        <v/>
      </c>
      <c r="BD13" s="86"/>
      <c r="BE13" s="91" t="str">
        <f t="shared" si="28"/>
        <v/>
      </c>
      <c r="BF13" s="85" t="str">
        <f t="shared" si="29"/>
        <v/>
      </c>
      <c r="BG13" s="86"/>
      <c r="BH13" s="91" t="str">
        <f t="shared" si="30"/>
        <v/>
      </c>
      <c r="BI13" s="85" t="str">
        <f t="shared" si="31"/>
        <v/>
      </c>
      <c r="BJ13" s="86"/>
      <c r="BK13" s="91" t="str">
        <f t="shared" si="32"/>
        <v/>
      </c>
      <c r="BL13" s="85" t="str">
        <f t="shared" si="33"/>
        <v/>
      </c>
      <c r="BM13" s="86"/>
      <c r="BN13" s="91" t="str">
        <f t="shared" si="34"/>
        <v/>
      </c>
      <c r="BO13" s="85" t="str">
        <f t="shared" si="35"/>
        <v/>
      </c>
      <c r="BP13" s="51"/>
      <c r="BQ13" s="91" t="str">
        <f t="shared" si="36"/>
        <v/>
      </c>
      <c r="BR13" s="85" t="str">
        <f t="shared" si="37"/>
        <v/>
      </c>
      <c r="BS13" s="86"/>
      <c r="BT13" s="91" t="str">
        <f t="shared" si="38"/>
        <v/>
      </c>
      <c r="BU13" s="85" t="str">
        <f t="shared" si="39"/>
        <v/>
      </c>
      <c r="BV13" s="56"/>
      <c r="BW13" s="91" t="str">
        <f t="shared" si="40"/>
        <v/>
      </c>
      <c r="BX13" s="85" t="str">
        <f t="shared" si="41"/>
        <v/>
      </c>
      <c r="BY13" s="86"/>
      <c r="BZ13" s="91" t="str">
        <f t="shared" si="42"/>
        <v/>
      </c>
      <c r="CA13" s="85" t="str">
        <f t="shared" si="43"/>
        <v/>
      </c>
      <c r="CB13" s="86"/>
      <c r="CC13" s="91" t="str">
        <f t="shared" si="44"/>
        <v/>
      </c>
      <c r="CD13" s="85" t="str">
        <f t="shared" si="45"/>
        <v/>
      </c>
      <c r="CE13" s="86"/>
      <c r="CF13" s="91" t="str">
        <f t="shared" si="46"/>
        <v/>
      </c>
      <c r="CG13" s="85" t="str">
        <f t="shared" si="47"/>
        <v/>
      </c>
      <c r="CH13" s="86"/>
      <c r="CI13" s="91" t="str">
        <f t="shared" si="48"/>
        <v/>
      </c>
      <c r="CJ13" s="85" t="str">
        <f t="shared" si="49"/>
        <v/>
      </c>
      <c r="CK13" s="86"/>
      <c r="CL13" s="91" t="str">
        <f t="shared" si="50"/>
        <v/>
      </c>
      <c r="CM13" s="85" t="str">
        <f t="shared" si="51"/>
        <v/>
      </c>
      <c r="CN13" s="86"/>
      <c r="CO13" s="91" t="str">
        <f t="shared" si="52"/>
        <v/>
      </c>
      <c r="CP13" s="85" t="str">
        <f t="shared" si="53"/>
        <v/>
      </c>
      <c r="CQ13" s="86"/>
      <c r="CR13" s="91" t="str">
        <f t="shared" si="54"/>
        <v/>
      </c>
      <c r="CS13" s="85" t="str">
        <f t="shared" si="55"/>
        <v/>
      </c>
      <c r="CT13" s="86"/>
      <c r="CU13" s="91" t="str">
        <f t="shared" si="56"/>
        <v/>
      </c>
      <c r="CV13" s="85" t="str">
        <f t="shared" si="57"/>
        <v/>
      </c>
      <c r="CW13" s="86"/>
      <c r="CX13" s="91" t="str">
        <f t="shared" si="58"/>
        <v/>
      </c>
      <c r="CY13" s="85" t="str">
        <f t="shared" si="59"/>
        <v/>
      </c>
      <c r="CZ13" s="86"/>
      <c r="DA13" s="91" t="str">
        <f t="shared" si="60"/>
        <v/>
      </c>
      <c r="DB13" s="85" t="str">
        <f t="shared" si="61"/>
        <v/>
      </c>
      <c r="DC13" s="86"/>
      <c r="DD13" s="91" t="str">
        <f t="shared" si="62"/>
        <v/>
      </c>
      <c r="DE13" s="85" t="str">
        <f t="shared" si="63"/>
        <v/>
      </c>
      <c r="DF13" s="86"/>
      <c r="DG13" s="91"/>
      <c r="DH13" s="85" t="str">
        <f t="shared" si="64"/>
        <v/>
      </c>
      <c r="DI13" s="86"/>
      <c r="DJ13" s="91" t="str">
        <f t="shared" si="65"/>
        <v/>
      </c>
      <c r="DK13" s="85" t="str">
        <f t="shared" si="66"/>
        <v/>
      </c>
      <c r="DL13" s="86"/>
      <c r="DM13" s="91" t="str">
        <f t="shared" si="67"/>
        <v/>
      </c>
      <c r="DN13" s="85" t="str">
        <f t="shared" si="68"/>
        <v/>
      </c>
      <c r="DO13" s="86"/>
      <c r="DP13" s="91" t="str">
        <f t="shared" si="69"/>
        <v/>
      </c>
      <c r="DQ13" s="85" t="str">
        <f t="shared" si="70"/>
        <v/>
      </c>
      <c r="DR13" s="271">
        <v>38</v>
      </c>
      <c r="DS13" s="91">
        <f t="shared" si="71"/>
        <v>-0.92549640058874949</v>
      </c>
      <c r="DT13" s="85">
        <f t="shared" si="72"/>
        <v>0.25</v>
      </c>
      <c r="DU13" s="92"/>
      <c r="DV13" s="91" t="str">
        <f t="shared" si="73"/>
        <v/>
      </c>
      <c r="DW13" s="85" t="str">
        <f t="shared" si="74"/>
        <v/>
      </c>
      <c r="DX13" s="89"/>
      <c r="DY13" s="91" t="str">
        <f t="shared" si="75"/>
        <v/>
      </c>
      <c r="DZ13" s="85" t="str">
        <f t="shared" si="76"/>
        <v/>
      </c>
      <c r="EA13" s="86"/>
      <c r="EB13" s="91" t="str">
        <f t="shared" si="77"/>
        <v/>
      </c>
      <c r="EC13" s="85" t="str">
        <f t="shared" si="78"/>
        <v/>
      </c>
      <c r="ED13" s="86"/>
      <c r="EE13" s="91" t="str">
        <f t="shared" si="79"/>
        <v/>
      </c>
      <c r="EF13" s="85" t="str">
        <f t="shared" si="80"/>
        <v/>
      </c>
      <c r="EG13" s="86"/>
      <c r="EH13" s="91" t="str">
        <f t="shared" si="81"/>
        <v/>
      </c>
      <c r="EI13" s="85" t="str">
        <f t="shared" si="82"/>
        <v/>
      </c>
      <c r="EJ13" s="86"/>
      <c r="EK13" s="91" t="str">
        <f t="shared" si="83"/>
        <v/>
      </c>
      <c r="EL13" s="85" t="str">
        <f t="shared" si="84"/>
        <v/>
      </c>
      <c r="EM13" s="86"/>
      <c r="EN13" s="91" t="str">
        <f t="shared" si="85"/>
        <v/>
      </c>
      <c r="EO13" s="85" t="str">
        <f t="shared" si="86"/>
        <v/>
      </c>
      <c r="EP13" s="86"/>
      <c r="EQ13" s="91" t="str">
        <f t="shared" si="87"/>
        <v/>
      </c>
      <c r="ER13" s="85" t="str">
        <f t="shared" si="88"/>
        <v/>
      </c>
      <c r="ES13" s="56"/>
      <c r="ET13" s="91" t="str">
        <f t="shared" si="89"/>
        <v/>
      </c>
      <c r="EU13" s="85" t="str">
        <f t="shared" si="90"/>
        <v/>
      </c>
      <c r="EV13" s="86"/>
      <c r="EW13" s="91" t="str">
        <f t="shared" si="91"/>
        <v/>
      </c>
      <c r="EX13" s="85" t="str">
        <f t="shared" si="92"/>
        <v/>
      </c>
      <c r="EY13" s="86">
        <v>83</v>
      </c>
      <c r="EZ13" s="91">
        <f t="shared" si="93"/>
        <v>-0.28323920361857552</v>
      </c>
      <c r="FA13" s="85">
        <f t="shared" si="94"/>
        <v>0.33333333333333331</v>
      </c>
      <c r="FB13" s="86"/>
      <c r="FC13" s="91" t="str">
        <f t="shared" si="95"/>
        <v/>
      </c>
      <c r="FD13" s="85" t="str">
        <f t="shared" si="96"/>
        <v/>
      </c>
      <c r="FE13" s="86"/>
      <c r="FF13" s="91" t="str">
        <f t="shared" si="97"/>
        <v/>
      </c>
      <c r="FG13" s="85" t="str">
        <f t="shared" si="98"/>
        <v/>
      </c>
      <c r="FH13" s="56"/>
      <c r="FI13" s="91" t="str">
        <f t="shared" si="99"/>
        <v/>
      </c>
      <c r="FJ13" s="85" t="str">
        <f t="shared" si="100"/>
        <v/>
      </c>
      <c r="FK13" s="56">
        <v>85</v>
      </c>
      <c r="FL13" s="91">
        <f t="shared" si="101"/>
        <v>-0.99910939569685353</v>
      </c>
      <c r="FM13" s="85">
        <f t="shared" si="102"/>
        <v>0</v>
      </c>
      <c r="FN13" s="89"/>
      <c r="FO13" s="91" t="str">
        <f t="shared" si="103"/>
        <v/>
      </c>
      <c r="FP13" s="85" t="str">
        <f t="shared" si="104"/>
        <v/>
      </c>
      <c r="FQ13" s="86"/>
      <c r="FR13" s="91" t="str">
        <f t="shared" si="105"/>
        <v/>
      </c>
      <c r="FS13" s="85" t="str">
        <f t="shared" si="106"/>
        <v/>
      </c>
      <c r="FT13" s="56"/>
      <c r="FU13" s="91" t="str">
        <f t="shared" si="107"/>
        <v/>
      </c>
      <c r="FV13" s="85" t="str">
        <f t="shared" si="108"/>
        <v/>
      </c>
      <c r="FW13" s="273">
        <v>54</v>
      </c>
      <c r="FX13" s="91">
        <f t="shared" si="109"/>
        <v>-0.87849952566236678</v>
      </c>
      <c r="FY13" s="85">
        <f t="shared" si="110"/>
        <v>0.25</v>
      </c>
      <c r="FZ13" s="86"/>
      <c r="GA13" s="91" t="str">
        <f t="shared" si="111"/>
        <v/>
      </c>
      <c r="GB13" s="85" t="str">
        <f t="shared" si="112"/>
        <v/>
      </c>
      <c r="GC13" s="56"/>
      <c r="GD13" s="91" t="str">
        <f t="shared" si="113"/>
        <v/>
      </c>
      <c r="GE13" s="85" t="str">
        <f t="shared" si="114"/>
        <v/>
      </c>
      <c r="GF13" s="86"/>
      <c r="GG13" s="91" t="str">
        <f t="shared" si="115"/>
        <v/>
      </c>
      <c r="GH13" s="85" t="str">
        <f t="shared" si="116"/>
        <v/>
      </c>
      <c r="GI13" s="86"/>
      <c r="GJ13" s="91" t="str">
        <f t="shared" si="117"/>
        <v/>
      </c>
      <c r="GK13" s="85" t="str">
        <f t="shared" si="118"/>
        <v/>
      </c>
      <c r="GL13" s="86"/>
      <c r="GM13" s="91" t="str">
        <f t="shared" si="119"/>
        <v/>
      </c>
      <c r="GN13" s="85" t="str">
        <f t="shared" si="120"/>
        <v/>
      </c>
      <c r="GO13" s="86">
        <v>62</v>
      </c>
      <c r="GP13" s="91">
        <f t="shared" si="121"/>
        <v>-1.18769915358484</v>
      </c>
      <c r="GQ13" s="85">
        <f t="shared" si="122"/>
        <v>0</v>
      </c>
      <c r="GR13" s="92"/>
      <c r="GS13" s="91" t="str">
        <f t="shared" si="123"/>
        <v/>
      </c>
      <c r="GT13" s="85" t="str">
        <f t="shared" si="124"/>
        <v/>
      </c>
      <c r="GU13" s="86"/>
      <c r="GV13" s="91" t="str">
        <f t="shared" si="125"/>
        <v/>
      </c>
      <c r="GW13" s="85" t="str">
        <f t="shared" si="126"/>
        <v/>
      </c>
      <c r="GX13" s="86"/>
      <c r="GY13" s="91" t="str">
        <f t="shared" si="127"/>
        <v/>
      </c>
      <c r="GZ13" s="85" t="str">
        <f t="shared" si="128"/>
        <v/>
      </c>
      <c r="HA13" s="86"/>
      <c r="HB13" s="91" t="str">
        <f t="shared" si="129"/>
        <v/>
      </c>
      <c r="HC13" s="85" t="str">
        <f t="shared" si="130"/>
        <v/>
      </c>
      <c r="HD13" s="86"/>
      <c r="HE13" s="91" t="str">
        <f t="shared" si="131"/>
        <v/>
      </c>
      <c r="HF13" s="85" t="str">
        <f t="shared" si="132"/>
        <v/>
      </c>
      <c r="HG13" s="86"/>
      <c r="HH13" s="91" t="str">
        <f t="shared" si="133"/>
        <v/>
      </c>
      <c r="HI13" s="85" t="str">
        <f t="shared" si="134"/>
        <v/>
      </c>
      <c r="HJ13" s="86"/>
      <c r="HK13" s="91" t="str">
        <f t="shared" si="135"/>
        <v/>
      </c>
      <c r="HL13" s="85" t="str">
        <f t="shared" si="136"/>
        <v/>
      </c>
      <c r="HM13" s="86"/>
      <c r="HN13" s="91" t="str">
        <f t="shared" si="137"/>
        <v/>
      </c>
      <c r="HO13" s="85" t="str">
        <f t="shared" si="138"/>
        <v/>
      </c>
      <c r="HP13" s="86"/>
      <c r="HQ13" s="91" t="str">
        <f t="shared" si="139"/>
        <v/>
      </c>
      <c r="HR13" s="85" t="str">
        <f t="shared" si="140"/>
        <v/>
      </c>
      <c r="HS13" s="86"/>
      <c r="HT13" s="91" t="str">
        <f t="shared" si="141"/>
        <v/>
      </c>
      <c r="HU13" s="85" t="str">
        <f t="shared" si="142"/>
        <v/>
      </c>
      <c r="HV13" s="86"/>
      <c r="HW13" s="91" t="str">
        <f t="shared" si="143"/>
        <v/>
      </c>
      <c r="HX13" s="85" t="str">
        <f t="shared" si="144"/>
        <v/>
      </c>
      <c r="HY13" s="86"/>
      <c r="HZ13" s="91" t="str">
        <f t="shared" si="145"/>
        <v/>
      </c>
      <c r="IA13" s="85" t="str">
        <f t="shared" si="146"/>
        <v/>
      </c>
      <c r="IB13" s="86"/>
      <c r="IC13" s="91" t="str">
        <f t="shared" si="147"/>
        <v/>
      </c>
      <c r="ID13" s="85" t="str">
        <f t="shared" si="148"/>
        <v/>
      </c>
      <c r="IE13" s="86"/>
      <c r="IF13" s="91" t="str">
        <f t="shared" si="149"/>
        <v/>
      </c>
      <c r="IG13" s="85" t="str">
        <f t="shared" si="150"/>
        <v/>
      </c>
      <c r="IH13" s="86"/>
      <c r="II13" s="91" t="str">
        <f t="shared" si="151"/>
        <v/>
      </c>
      <c r="IJ13" s="85" t="str">
        <f t="shared" si="152"/>
        <v/>
      </c>
      <c r="IK13" s="86"/>
      <c r="IL13" s="91" t="str">
        <f t="shared" si="153"/>
        <v/>
      </c>
      <c r="IM13" s="85" t="str">
        <f t="shared" si="154"/>
        <v/>
      </c>
      <c r="IN13" s="86"/>
      <c r="IO13" s="91" t="str">
        <f t="shared" si="155"/>
        <v/>
      </c>
      <c r="IP13" s="85" t="str">
        <f t="shared" si="156"/>
        <v/>
      </c>
      <c r="IQ13" s="86"/>
      <c r="IR13" s="91" t="str">
        <f t="shared" si="157"/>
        <v/>
      </c>
      <c r="IS13" s="85" t="str">
        <f t="shared" si="158"/>
        <v/>
      </c>
      <c r="IT13" s="86"/>
      <c r="IU13" s="91" t="str">
        <f t="shared" si="159"/>
        <v/>
      </c>
      <c r="IV13" s="85" t="str">
        <f t="shared" si="160"/>
        <v/>
      </c>
      <c r="IW13" s="86"/>
      <c r="IX13" s="91" t="str">
        <f t="shared" si="161"/>
        <v/>
      </c>
      <c r="IY13" s="85" t="str">
        <f t="shared" si="162"/>
        <v/>
      </c>
      <c r="IZ13" s="86"/>
      <c r="JA13" s="91" t="str">
        <f t="shared" si="163"/>
        <v/>
      </c>
      <c r="JB13" s="85" t="str">
        <f t="shared" si="164"/>
        <v/>
      </c>
      <c r="JC13" s="86"/>
      <c r="JD13" s="91" t="str">
        <f t="shared" si="165"/>
        <v/>
      </c>
      <c r="JE13" s="85" t="str">
        <f t="shared" si="166"/>
        <v/>
      </c>
      <c r="JF13" s="86"/>
      <c r="JG13" s="91" t="str">
        <f t="shared" si="167"/>
        <v/>
      </c>
      <c r="JH13" s="85" t="str">
        <f t="shared" si="168"/>
        <v/>
      </c>
      <c r="JI13" s="86"/>
      <c r="JJ13" s="91" t="str">
        <f t="shared" si="169"/>
        <v/>
      </c>
      <c r="JK13" s="85" t="str">
        <f t="shared" si="170"/>
        <v/>
      </c>
      <c r="JL13" s="86"/>
      <c r="JM13" s="91" t="str">
        <f t="shared" si="171"/>
        <v/>
      </c>
      <c r="JN13" s="85" t="str">
        <f t="shared" si="172"/>
        <v/>
      </c>
      <c r="JO13" s="86"/>
      <c r="JP13" s="91" t="str">
        <f t="shared" si="173"/>
        <v/>
      </c>
      <c r="JQ13" s="85" t="str">
        <f t="shared" si="174"/>
        <v/>
      </c>
      <c r="JR13" s="86"/>
      <c r="JS13" s="91" t="str">
        <f t="shared" si="175"/>
        <v/>
      </c>
      <c r="JT13" s="85" t="str">
        <f t="shared" si="176"/>
        <v/>
      </c>
      <c r="JU13" s="86"/>
      <c r="JV13" s="91" t="str">
        <f t="shared" si="177"/>
        <v/>
      </c>
      <c r="JW13" s="85" t="str">
        <f t="shared" si="178"/>
        <v/>
      </c>
      <c r="JX13" s="86"/>
      <c r="JY13" s="91" t="str">
        <f t="shared" si="179"/>
        <v/>
      </c>
      <c r="JZ13" s="85" t="str">
        <f t="shared" si="180"/>
        <v/>
      </c>
      <c r="KA13" s="86"/>
      <c r="KB13" s="91" t="str">
        <f t="shared" si="181"/>
        <v/>
      </c>
      <c r="KC13" s="85" t="str">
        <f t="shared" si="182"/>
        <v/>
      </c>
      <c r="KD13" s="86"/>
      <c r="KE13" s="91" t="str">
        <f t="shared" si="183"/>
        <v/>
      </c>
      <c r="KF13" s="85" t="str">
        <f t="shared" si="184"/>
        <v/>
      </c>
      <c r="KG13" s="86"/>
      <c r="KH13" s="91" t="str">
        <f t="shared" si="185"/>
        <v/>
      </c>
      <c r="KI13" s="85" t="str">
        <f t="shared" si="186"/>
        <v/>
      </c>
      <c r="KJ13" s="86"/>
      <c r="KK13" s="91" t="str">
        <f t="shared" si="187"/>
        <v/>
      </c>
      <c r="KL13" s="85" t="str">
        <f t="shared" si="188"/>
        <v/>
      </c>
      <c r="KM13" s="86"/>
      <c r="KN13" s="91" t="str">
        <f t="shared" si="189"/>
        <v/>
      </c>
      <c r="KO13" s="85" t="str">
        <f t="shared" si="190"/>
        <v/>
      </c>
      <c r="KP13" s="86"/>
      <c r="KQ13" s="91" t="str">
        <f t="shared" si="191"/>
        <v/>
      </c>
      <c r="KR13" s="85" t="str">
        <f t="shared" si="192"/>
        <v/>
      </c>
      <c r="KS13" s="86"/>
      <c r="KT13" s="91" t="str">
        <f t="shared" si="193"/>
        <v/>
      </c>
      <c r="KU13" s="85" t="str">
        <f t="shared" si="194"/>
        <v/>
      </c>
      <c r="KV13" s="86"/>
      <c r="KW13" s="91" t="str">
        <f t="shared" si="195"/>
        <v/>
      </c>
      <c r="KX13" s="85" t="str">
        <f t="shared" si="196"/>
        <v/>
      </c>
      <c r="KY13" s="92"/>
      <c r="KZ13" s="91" t="str">
        <f t="shared" si="197"/>
        <v/>
      </c>
      <c r="LA13" s="85" t="str">
        <f t="shared" si="198"/>
        <v/>
      </c>
      <c r="LB13" s="50">
        <f t="shared" si="213"/>
        <v>64.400000000000006</v>
      </c>
      <c r="LC13" s="57">
        <f t="shared" si="199"/>
        <v>60</v>
      </c>
      <c r="LD13" s="50">
        <f t="shared" si="207"/>
        <v>-0.85480873583027717</v>
      </c>
      <c r="LE13" s="57">
        <f t="shared" si="200"/>
        <v>52</v>
      </c>
      <c r="LF13" s="50">
        <f t="shared" si="208"/>
        <v>0.16666666666666666</v>
      </c>
      <c r="LG13" s="57">
        <f t="shared" si="201"/>
        <v>53</v>
      </c>
      <c r="LH13" s="58">
        <f t="shared" si="202"/>
        <v>31.578947368421055</v>
      </c>
      <c r="LI13" s="58">
        <f t="shared" si="203"/>
        <v>31.868625441163385</v>
      </c>
      <c r="LJ13" s="58">
        <f t="shared" si="204"/>
        <v>29.166666666666664</v>
      </c>
      <c r="LK13" s="58">
        <f t="shared" si="205"/>
        <v>42.6142394762511</v>
      </c>
      <c r="LL13" s="60">
        <f t="shared" si="206"/>
        <v>58</v>
      </c>
      <c r="LM13" s="55"/>
      <c r="LN13" s="61">
        <f t="shared" si="209"/>
        <v>8</v>
      </c>
      <c r="LO13" s="61">
        <f t="shared" si="210"/>
        <v>58</v>
      </c>
      <c r="LP13" s="64"/>
      <c r="LQ13" s="64"/>
      <c r="LR13" s="64"/>
    </row>
    <row r="14" spans="1:334" s="62" customFormat="1" ht="15" customHeight="1">
      <c r="A14" s="50">
        <f t="shared" si="211"/>
        <v>5</v>
      </c>
      <c r="B14" s="50">
        <f t="shared" si="212"/>
        <v>5</v>
      </c>
      <c r="C14" s="117">
        <v>12</v>
      </c>
      <c r="D14" s="118" t="s">
        <v>139</v>
      </c>
      <c r="E14" s="46" t="s">
        <v>611</v>
      </c>
      <c r="F14" s="286" t="s">
        <v>612</v>
      </c>
      <c r="G14" s="289"/>
      <c r="H14" s="119" t="s">
        <v>129</v>
      </c>
      <c r="I14" s="286" t="s">
        <v>535</v>
      </c>
      <c r="J14" s="119" t="s">
        <v>140</v>
      </c>
      <c r="K14" s="119" t="s">
        <v>9</v>
      </c>
      <c r="L14" s="53" t="s">
        <v>141</v>
      </c>
      <c r="M14" s="292" t="s">
        <v>35</v>
      </c>
      <c r="N14" s="86"/>
      <c r="O14" s="91" t="str">
        <f t="shared" si="0"/>
        <v/>
      </c>
      <c r="P14" s="85" t="str">
        <f t="shared" si="1"/>
        <v/>
      </c>
      <c r="Q14" s="86"/>
      <c r="R14" s="91" t="str">
        <f t="shared" si="2"/>
        <v/>
      </c>
      <c r="S14" s="85" t="str">
        <f t="shared" si="3"/>
        <v/>
      </c>
      <c r="T14" s="86"/>
      <c r="U14" s="91" t="str">
        <f t="shared" si="4"/>
        <v/>
      </c>
      <c r="V14" s="85" t="str">
        <f t="shared" si="5"/>
        <v/>
      </c>
      <c r="W14" s="86"/>
      <c r="X14" s="91" t="str">
        <f t="shared" si="6"/>
        <v/>
      </c>
      <c r="Y14" s="85" t="str">
        <f t="shared" si="7"/>
        <v/>
      </c>
      <c r="Z14" s="84">
        <v>87</v>
      </c>
      <c r="AA14" s="91">
        <f t="shared" si="8"/>
        <v>0.7893522173763271</v>
      </c>
      <c r="AB14" s="85">
        <f t="shared" si="9"/>
        <v>1</v>
      </c>
      <c r="AC14" s="86"/>
      <c r="AD14" s="91" t="str">
        <f t="shared" si="10"/>
        <v/>
      </c>
      <c r="AE14" s="85" t="str">
        <f t="shared" si="11"/>
        <v/>
      </c>
      <c r="AF14" s="89"/>
      <c r="AG14" s="91" t="str">
        <f t="shared" si="12"/>
        <v/>
      </c>
      <c r="AH14" s="85" t="str">
        <f t="shared" si="13"/>
        <v/>
      </c>
      <c r="AI14" s="86"/>
      <c r="AJ14" s="91" t="str">
        <f t="shared" si="14"/>
        <v/>
      </c>
      <c r="AK14" s="85" t="str">
        <f t="shared" si="15"/>
        <v/>
      </c>
      <c r="AL14" s="86"/>
      <c r="AM14" s="91" t="str">
        <f t="shared" si="16"/>
        <v/>
      </c>
      <c r="AN14" s="85" t="str">
        <f t="shared" si="17"/>
        <v/>
      </c>
      <c r="AO14" s="86">
        <v>80</v>
      </c>
      <c r="AP14" s="91">
        <f t="shared" si="18"/>
        <v>-0.5262348115842167</v>
      </c>
      <c r="AQ14" s="85">
        <f t="shared" si="19"/>
        <v>0.25</v>
      </c>
      <c r="AR14" s="92"/>
      <c r="AS14" s="91" t="str">
        <f t="shared" si="20"/>
        <v/>
      </c>
      <c r="AT14" s="85" t="str">
        <f t="shared" si="21"/>
        <v/>
      </c>
      <c r="AU14" s="86"/>
      <c r="AV14" s="91" t="str">
        <f t="shared" si="22"/>
        <v/>
      </c>
      <c r="AW14" s="85" t="str">
        <f t="shared" si="23"/>
        <v/>
      </c>
      <c r="AX14" s="86"/>
      <c r="AY14" s="91" t="str">
        <f t="shared" si="24"/>
        <v/>
      </c>
      <c r="AZ14" s="85" t="str">
        <f t="shared" si="25"/>
        <v/>
      </c>
      <c r="BA14" s="86"/>
      <c r="BB14" s="91" t="str">
        <f t="shared" si="26"/>
        <v/>
      </c>
      <c r="BC14" s="85" t="str">
        <f t="shared" si="27"/>
        <v/>
      </c>
      <c r="BD14" s="86"/>
      <c r="BE14" s="91" t="str">
        <f t="shared" si="28"/>
        <v/>
      </c>
      <c r="BF14" s="85" t="str">
        <f t="shared" si="29"/>
        <v/>
      </c>
      <c r="BG14" s="86"/>
      <c r="BH14" s="91" t="str">
        <f t="shared" si="30"/>
        <v/>
      </c>
      <c r="BI14" s="85" t="str">
        <f t="shared" si="31"/>
        <v/>
      </c>
      <c r="BJ14" s="86"/>
      <c r="BK14" s="91" t="str">
        <f t="shared" si="32"/>
        <v/>
      </c>
      <c r="BL14" s="85" t="str">
        <f t="shared" si="33"/>
        <v/>
      </c>
      <c r="BM14" s="86"/>
      <c r="BN14" s="91" t="str">
        <f t="shared" si="34"/>
        <v/>
      </c>
      <c r="BO14" s="85" t="str">
        <f t="shared" si="35"/>
        <v/>
      </c>
      <c r="BP14" s="51"/>
      <c r="BQ14" s="91" t="str">
        <f t="shared" si="36"/>
        <v/>
      </c>
      <c r="BR14" s="85" t="str">
        <f t="shared" si="37"/>
        <v/>
      </c>
      <c r="BS14" s="86"/>
      <c r="BT14" s="91" t="str">
        <f t="shared" si="38"/>
        <v/>
      </c>
      <c r="BU14" s="85" t="str">
        <f t="shared" si="39"/>
        <v/>
      </c>
      <c r="BV14" s="56"/>
      <c r="BW14" s="91" t="str">
        <f t="shared" si="40"/>
        <v/>
      </c>
      <c r="BX14" s="85" t="str">
        <f t="shared" si="41"/>
        <v/>
      </c>
      <c r="BY14" s="86"/>
      <c r="BZ14" s="91" t="str">
        <f t="shared" si="42"/>
        <v/>
      </c>
      <c r="CA14" s="85" t="str">
        <f t="shared" si="43"/>
        <v/>
      </c>
      <c r="CB14" s="89"/>
      <c r="CC14" s="91" t="str">
        <f t="shared" si="44"/>
        <v/>
      </c>
      <c r="CD14" s="85" t="str">
        <f t="shared" si="45"/>
        <v/>
      </c>
      <c r="CE14" s="86"/>
      <c r="CF14" s="91" t="str">
        <f t="shared" si="46"/>
        <v/>
      </c>
      <c r="CG14" s="85" t="str">
        <f t="shared" si="47"/>
        <v/>
      </c>
      <c r="CH14" s="86"/>
      <c r="CI14" s="91" t="str">
        <f t="shared" si="48"/>
        <v/>
      </c>
      <c r="CJ14" s="85" t="str">
        <f t="shared" si="49"/>
        <v/>
      </c>
      <c r="CK14" s="86"/>
      <c r="CL14" s="91" t="str">
        <f t="shared" si="50"/>
        <v/>
      </c>
      <c r="CM14" s="85" t="str">
        <f t="shared" si="51"/>
        <v/>
      </c>
      <c r="CN14" s="86"/>
      <c r="CO14" s="91" t="str">
        <f t="shared" si="52"/>
        <v/>
      </c>
      <c r="CP14" s="85" t="str">
        <f t="shared" si="53"/>
        <v/>
      </c>
      <c r="CQ14" s="86"/>
      <c r="CR14" s="91" t="str">
        <f t="shared" si="54"/>
        <v/>
      </c>
      <c r="CS14" s="85" t="str">
        <f t="shared" si="55"/>
        <v/>
      </c>
      <c r="CT14" s="86">
        <v>73</v>
      </c>
      <c r="CU14" s="91">
        <f t="shared" si="56"/>
        <v>-1.275245451777294</v>
      </c>
      <c r="CV14" s="85">
        <f t="shared" si="57"/>
        <v>0</v>
      </c>
      <c r="CW14" s="86"/>
      <c r="CX14" s="91" t="str">
        <f t="shared" si="58"/>
        <v/>
      </c>
      <c r="CY14" s="85" t="str">
        <f t="shared" si="59"/>
        <v/>
      </c>
      <c r="CZ14" s="86"/>
      <c r="DA14" s="91" t="str">
        <f t="shared" si="60"/>
        <v/>
      </c>
      <c r="DB14" s="85" t="str">
        <f t="shared" si="61"/>
        <v/>
      </c>
      <c r="DC14" s="86"/>
      <c r="DD14" s="91" t="str">
        <f t="shared" si="62"/>
        <v/>
      </c>
      <c r="DE14" s="85" t="str">
        <f t="shared" si="63"/>
        <v/>
      </c>
      <c r="DF14" s="86"/>
      <c r="DG14" s="91"/>
      <c r="DH14" s="85" t="str">
        <f t="shared" si="64"/>
        <v/>
      </c>
      <c r="DI14" s="86"/>
      <c r="DJ14" s="91" t="str">
        <f t="shared" si="65"/>
        <v/>
      </c>
      <c r="DK14" s="85" t="str">
        <f t="shared" si="66"/>
        <v/>
      </c>
      <c r="DL14" s="86"/>
      <c r="DM14" s="91" t="str">
        <f t="shared" si="67"/>
        <v/>
      </c>
      <c r="DN14" s="85" t="str">
        <f t="shared" si="68"/>
        <v/>
      </c>
      <c r="DO14" s="86"/>
      <c r="DP14" s="91" t="str">
        <f t="shared" si="69"/>
        <v/>
      </c>
      <c r="DQ14" s="85" t="str">
        <f t="shared" si="70"/>
        <v/>
      </c>
      <c r="DR14" s="86"/>
      <c r="DS14" s="91" t="str">
        <f t="shared" si="71"/>
        <v/>
      </c>
      <c r="DT14" s="85" t="str">
        <f t="shared" si="72"/>
        <v/>
      </c>
      <c r="DU14" s="92"/>
      <c r="DV14" s="91" t="str">
        <f t="shared" si="73"/>
        <v/>
      </c>
      <c r="DW14" s="85" t="str">
        <f t="shared" si="74"/>
        <v/>
      </c>
      <c r="DX14" s="86"/>
      <c r="DY14" s="91" t="str">
        <f t="shared" si="75"/>
        <v/>
      </c>
      <c r="DZ14" s="85" t="str">
        <f t="shared" si="76"/>
        <v/>
      </c>
      <c r="EA14" s="89"/>
      <c r="EB14" s="91" t="str">
        <f t="shared" si="77"/>
        <v/>
      </c>
      <c r="EC14" s="85" t="str">
        <f t="shared" si="78"/>
        <v/>
      </c>
      <c r="ED14" s="86"/>
      <c r="EE14" s="91" t="str">
        <f t="shared" si="79"/>
        <v/>
      </c>
      <c r="EF14" s="85" t="str">
        <f t="shared" si="80"/>
        <v/>
      </c>
      <c r="EG14" s="86"/>
      <c r="EH14" s="91" t="str">
        <f t="shared" si="81"/>
        <v/>
      </c>
      <c r="EI14" s="85" t="str">
        <f t="shared" si="82"/>
        <v/>
      </c>
      <c r="EJ14" s="86"/>
      <c r="EK14" s="91" t="str">
        <f t="shared" si="83"/>
        <v/>
      </c>
      <c r="EL14" s="85" t="str">
        <f t="shared" si="84"/>
        <v/>
      </c>
      <c r="EM14" s="86"/>
      <c r="EN14" s="91" t="str">
        <f t="shared" si="85"/>
        <v/>
      </c>
      <c r="EO14" s="85" t="str">
        <f t="shared" si="86"/>
        <v/>
      </c>
      <c r="EP14" s="86"/>
      <c r="EQ14" s="91" t="str">
        <f t="shared" si="87"/>
        <v/>
      </c>
      <c r="ER14" s="85" t="str">
        <f t="shared" si="88"/>
        <v/>
      </c>
      <c r="ES14" s="56"/>
      <c r="ET14" s="91" t="str">
        <f t="shared" si="89"/>
        <v/>
      </c>
      <c r="EU14" s="85" t="str">
        <f t="shared" si="90"/>
        <v/>
      </c>
      <c r="EV14" s="86"/>
      <c r="EW14" s="91" t="str">
        <f t="shared" si="91"/>
        <v/>
      </c>
      <c r="EX14" s="85" t="str">
        <f t="shared" si="92"/>
        <v/>
      </c>
      <c r="EY14" s="86"/>
      <c r="EZ14" s="91" t="str">
        <f t="shared" si="93"/>
        <v/>
      </c>
      <c r="FA14" s="85" t="str">
        <f t="shared" si="94"/>
        <v/>
      </c>
      <c r="FB14" s="86">
        <v>96</v>
      </c>
      <c r="FC14" s="91">
        <f t="shared" si="95"/>
        <v>0.63077570029676999</v>
      </c>
      <c r="FD14" s="85">
        <f t="shared" si="96"/>
        <v>0.66666666666666663</v>
      </c>
      <c r="FE14" s="86"/>
      <c r="FF14" s="91" t="str">
        <f t="shared" si="97"/>
        <v/>
      </c>
      <c r="FG14" s="85" t="str">
        <f t="shared" si="98"/>
        <v/>
      </c>
      <c r="FH14" s="89"/>
      <c r="FI14" s="91" t="str">
        <f t="shared" si="99"/>
        <v/>
      </c>
      <c r="FJ14" s="85" t="str">
        <f t="shared" si="100"/>
        <v/>
      </c>
      <c r="FK14" s="56"/>
      <c r="FL14" s="91" t="str">
        <f t="shared" si="101"/>
        <v/>
      </c>
      <c r="FM14" s="85" t="str">
        <f t="shared" si="102"/>
        <v/>
      </c>
      <c r="FN14" s="86"/>
      <c r="FO14" s="91" t="str">
        <f t="shared" si="103"/>
        <v/>
      </c>
      <c r="FP14" s="85" t="str">
        <f t="shared" si="104"/>
        <v/>
      </c>
      <c r="FQ14" s="86"/>
      <c r="FR14" s="91" t="str">
        <f t="shared" si="105"/>
        <v/>
      </c>
      <c r="FS14" s="85" t="str">
        <f t="shared" si="106"/>
        <v/>
      </c>
      <c r="FT14" s="89"/>
      <c r="FU14" s="91" t="str">
        <f t="shared" si="107"/>
        <v/>
      </c>
      <c r="FV14" s="85" t="str">
        <f t="shared" si="108"/>
        <v/>
      </c>
      <c r="FW14" s="273">
        <v>75</v>
      </c>
      <c r="FX14" s="91">
        <f t="shared" si="109"/>
        <v>0.13515377317882549</v>
      </c>
      <c r="FY14" s="85">
        <f t="shared" si="110"/>
        <v>0.5</v>
      </c>
      <c r="FZ14" s="92"/>
      <c r="GA14" s="91" t="str">
        <f t="shared" si="111"/>
        <v/>
      </c>
      <c r="GB14" s="85" t="str">
        <f t="shared" si="112"/>
        <v/>
      </c>
      <c r="GC14" s="86"/>
      <c r="GD14" s="91" t="str">
        <f t="shared" si="113"/>
        <v/>
      </c>
      <c r="GE14" s="85" t="str">
        <f t="shared" si="114"/>
        <v/>
      </c>
      <c r="GF14" s="56"/>
      <c r="GG14" s="91" t="str">
        <f t="shared" si="115"/>
        <v/>
      </c>
      <c r="GH14" s="85" t="str">
        <f t="shared" si="116"/>
        <v/>
      </c>
      <c r="GI14" s="86"/>
      <c r="GJ14" s="91" t="str">
        <f t="shared" si="117"/>
        <v/>
      </c>
      <c r="GK14" s="85" t="str">
        <f t="shared" si="118"/>
        <v/>
      </c>
      <c r="GL14" s="56"/>
      <c r="GM14" s="91" t="str">
        <f t="shared" si="119"/>
        <v/>
      </c>
      <c r="GN14" s="85" t="str">
        <f t="shared" si="120"/>
        <v/>
      </c>
      <c r="GO14" s="86"/>
      <c r="GP14" s="91" t="str">
        <f t="shared" si="121"/>
        <v/>
      </c>
      <c r="GQ14" s="85" t="str">
        <f t="shared" si="122"/>
        <v/>
      </c>
      <c r="GR14" s="86"/>
      <c r="GS14" s="91" t="str">
        <f t="shared" si="123"/>
        <v/>
      </c>
      <c r="GT14" s="85" t="str">
        <f t="shared" si="124"/>
        <v/>
      </c>
      <c r="GU14" s="86"/>
      <c r="GV14" s="91" t="str">
        <f t="shared" si="125"/>
        <v/>
      </c>
      <c r="GW14" s="85" t="str">
        <f t="shared" si="126"/>
        <v/>
      </c>
      <c r="GX14" s="86"/>
      <c r="GY14" s="91" t="str">
        <f t="shared" si="127"/>
        <v/>
      </c>
      <c r="GZ14" s="85" t="str">
        <f t="shared" si="128"/>
        <v/>
      </c>
      <c r="HA14" s="86"/>
      <c r="HB14" s="91" t="str">
        <f t="shared" si="129"/>
        <v/>
      </c>
      <c r="HC14" s="85" t="str">
        <f t="shared" si="130"/>
        <v/>
      </c>
      <c r="HD14" s="86"/>
      <c r="HE14" s="91" t="str">
        <f t="shared" si="131"/>
        <v/>
      </c>
      <c r="HF14" s="85" t="str">
        <f t="shared" si="132"/>
        <v/>
      </c>
      <c r="HG14" s="86"/>
      <c r="HH14" s="91" t="str">
        <f t="shared" si="133"/>
        <v/>
      </c>
      <c r="HI14" s="85" t="str">
        <f t="shared" si="134"/>
        <v/>
      </c>
      <c r="HJ14" s="86"/>
      <c r="HK14" s="91" t="str">
        <f t="shared" si="135"/>
        <v/>
      </c>
      <c r="HL14" s="85" t="str">
        <f t="shared" si="136"/>
        <v/>
      </c>
      <c r="HM14" s="86"/>
      <c r="HN14" s="91" t="str">
        <f t="shared" si="137"/>
        <v/>
      </c>
      <c r="HO14" s="85" t="str">
        <f t="shared" si="138"/>
        <v/>
      </c>
      <c r="HP14" s="86"/>
      <c r="HQ14" s="91" t="str">
        <f t="shared" si="139"/>
        <v/>
      </c>
      <c r="HR14" s="85" t="str">
        <f t="shared" si="140"/>
        <v/>
      </c>
      <c r="HS14" s="86"/>
      <c r="HT14" s="91" t="str">
        <f t="shared" si="141"/>
        <v/>
      </c>
      <c r="HU14" s="85" t="str">
        <f t="shared" si="142"/>
        <v/>
      </c>
      <c r="HV14" s="86"/>
      <c r="HW14" s="91" t="str">
        <f t="shared" si="143"/>
        <v/>
      </c>
      <c r="HX14" s="85" t="str">
        <f t="shared" si="144"/>
        <v/>
      </c>
      <c r="HY14" s="86"/>
      <c r="HZ14" s="91" t="str">
        <f t="shared" si="145"/>
        <v/>
      </c>
      <c r="IA14" s="85" t="str">
        <f t="shared" si="146"/>
        <v/>
      </c>
      <c r="IB14" s="86"/>
      <c r="IC14" s="91" t="str">
        <f t="shared" si="147"/>
        <v/>
      </c>
      <c r="ID14" s="85" t="str">
        <f t="shared" si="148"/>
        <v/>
      </c>
      <c r="IE14" s="86"/>
      <c r="IF14" s="91" t="str">
        <f t="shared" si="149"/>
        <v/>
      </c>
      <c r="IG14" s="85" t="str">
        <f t="shared" si="150"/>
        <v/>
      </c>
      <c r="IH14" s="86"/>
      <c r="II14" s="91" t="str">
        <f t="shared" si="151"/>
        <v/>
      </c>
      <c r="IJ14" s="85" t="str">
        <f t="shared" si="152"/>
        <v/>
      </c>
      <c r="IK14" s="86"/>
      <c r="IL14" s="91" t="str">
        <f t="shared" si="153"/>
        <v/>
      </c>
      <c r="IM14" s="85" t="str">
        <f t="shared" si="154"/>
        <v/>
      </c>
      <c r="IN14" s="86"/>
      <c r="IO14" s="91" t="str">
        <f t="shared" si="155"/>
        <v/>
      </c>
      <c r="IP14" s="85" t="str">
        <f t="shared" si="156"/>
        <v/>
      </c>
      <c r="IQ14" s="86"/>
      <c r="IR14" s="91" t="str">
        <f t="shared" si="157"/>
        <v/>
      </c>
      <c r="IS14" s="85" t="str">
        <f t="shared" si="158"/>
        <v/>
      </c>
      <c r="IT14" s="86"/>
      <c r="IU14" s="91" t="str">
        <f t="shared" si="159"/>
        <v/>
      </c>
      <c r="IV14" s="85" t="str">
        <f t="shared" si="160"/>
        <v/>
      </c>
      <c r="IW14" s="86"/>
      <c r="IX14" s="91" t="str">
        <f t="shared" si="161"/>
        <v/>
      </c>
      <c r="IY14" s="85" t="str">
        <f t="shared" si="162"/>
        <v/>
      </c>
      <c r="IZ14" s="86"/>
      <c r="JA14" s="91" t="str">
        <f t="shared" si="163"/>
        <v/>
      </c>
      <c r="JB14" s="85" t="str">
        <f t="shared" si="164"/>
        <v/>
      </c>
      <c r="JC14" s="86"/>
      <c r="JD14" s="91" t="str">
        <f t="shared" si="165"/>
        <v/>
      </c>
      <c r="JE14" s="85" t="str">
        <f t="shared" si="166"/>
        <v/>
      </c>
      <c r="JF14" s="86"/>
      <c r="JG14" s="91" t="str">
        <f t="shared" si="167"/>
        <v/>
      </c>
      <c r="JH14" s="85" t="str">
        <f t="shared" si="168"/>
        <v/>
      </c>
      <c r="JI14" s="86"/>
      <c r="JJ14" s="91" t="str">
        <f t="shared" si="169"/>
        <v/>
      </c>
      <c r="JK14" s="85" t="str">
        <f t="shared" si="170"/>
        <v/>
      </c>
      <c r="JL14" s="86"/>
      <c r="JM14" s="91" t="str">
        <f t="shared" si="171"/>
        <v/>
      </c>
      <c r="JN14" s="85" t="str">
        <f t="shared" si="172"/>
        <v/>
      </c>
      <c r="JO14" s="86"/>
      <c r="JP14" s="91" t="str">
        <f t="shared" si="173"/>
        <v/>
      </c>
      <c r="JQ14" s="85" t="str">
        <f t="shared" si="174"/>
        <v/>
      </c>
      <c r="JR14" s="86"/>
      <c r="JS14" s="91" t="str">
        <f t="shared" si="175"/>
        <v/>
      </c>
      <c r="JT14" s="85" t="str">
        <f t="shared" si="176"/>
        <v/>
      </c>
      <c r="JU14" s="86"/>
      <c r="JV14" s="91" t="str">
        <f t="shared" si="177"/>
        <v/>
      </c>
      <c r="JW14" s="85" t="str">
        <f t="shared" si="178"/>
        <v/>
      </c>
      <c r="JX14" s="86"/>
      <c r="JY14" s="91" t="str">
        <f t="shared" si="179"/>
        <v/>
      </c>
      <c r="JZ14" s="85" t="str">
        <f t="shared" si="180"/>
        <v/>
      </c>
      <c r="KA14" s="86"/>
      <c r="KB14" s="91" t="str">
        <f t="shared" si="181"/>
        <v/>
      </c>
      <c r="KC14" s="85" t="str">
        <f t="shared" si="182"/>
        <v/>
      </c>
      <c r="KD14" s="86"/>
      <c r="KE14" s="91" t="str">
        <f t="shared" si="183"/>
        <v/>
      </c>
      <c r="KF14" s="85" t="str">
        <f t="shared" si="184"/>
        <v/>
      </c>
      <c r="KG14" s="86"/>
      <c r="KH14" s="91" t="str">
        <f t="shared" si="185"/>
        <v/>
      </c>
      <c r="KI14" s="85" t="str">
        <f t="shared" si="186"/>
        <v/>
      </c>
      <c r="KJ14" s="86"/>
      <c r="KK14" s="91" t="str">
        <f t="shared" si="187"/>
        <v/>
      </c>
      <c r="KL14" s="85" t="str">
        <f t="shared" si="188"/>
        <v/>
      </c>
      <c r="KM14" s="86"/>
      <c r="KN14" s="91" t="str">
        <f t="shared" si="189"/>
        <v/>
      </c>
      <c r="KO14" s="85" t="str">
        <f t="shared" si="190"/>
        <v/>
      </c>
      <c r="KP14" s="86"/>
      <c r="KQ14" s="91" t="str">
        <f t="shared" si="191"/>
        <v/>
      </c>
      <c r="KR14" s="85" t="str">
        <f t="shared" si="192"/>
        <v/>
      </c>
      <c r="KS14" s="86"/>
      <c r="KT14" s="91" t="str">
        <f t="shared" si="193"/>
        <v/>
      </c>
      <c r="KU14" s="85" t="str">
        <f t="shared" si="194"/>
        <v/>
      </c>
      <c r="KV14" s="86"/>
      <c r="KW14" s="91" t="str">
        <f t="shared" si="195"/>
        <v/>
      </c>
      <c r="KX14" s="85" t="str">
        <f t="shared" si="196"/>
        <v/>
      </c>
      <c r="KY14" s="92"/>
      <c r="KZ14" s="91" t="str">
        <f t="shared" si="197"/>
        <v/>
      </c>
      <c r="LA14" s="85" t="str">
        <f t="shared" si="198"/>
        <v/>
      </c>
      <c r="LB14" s="50">
        <f t="shared" si="213"/>
        <v>82.2</v>
      </c>
      <c r="LC14" s="57">
        <f t="shared" si="199"/>
        <v>41</v>
      </c>
      <c r="LD14" s="50">
        <f t="shared" si="207"/>
        <v>-4.9239714501917622E-2</v>
      </c>
      <c r="LE14" s="57">
        <f t="shared" si="200"/>
        <v>40</v>
      </c>
      <c r="LF14" s="50">
        <f t="shared" si="208"/>
        <v>0.48333333333333328</v>
      </c>
      <c r="LG14" s="57">
        <f t="shared" si="201"/>
        <v>37</v>
      </c>
      <c r="LH14" s="58">
        <f t="shared" si="202"/>
        <v>41.337719298245617</v>
      </c>
      <c r="LI14" s="58">
        <f t="shared" si="203"/>
        <v>39.389056400710913</v>
      </c>
      <c r="LJ14" s="58">
        <f t="shared" si="204"/>
        <v>37.083333333333329</v>
      </c>
      <c r="LK14" s="58">
        <f t="shared" si="205"/>
        <v>67.810109032289859</v>
      </c>
      <c r="LL14" s="60">
        <f t="shared" si="206"/>
        <v>39</v>
      </c>
      <c r="LM14" s="55"/>
      <c r="LN14" s="61">
        <f t="shared" si="209"/>
        <v>5</v>
      </c>
      <c r="LO14" s="61">
        <f t="shared" si="210"/>
        <v>39</v>
      </c>
      <c r="LP14" s="64"/>
      <c r="LQ14" s="64"/>
      <c r="LR14" s="64"/>
    </row>
    <row r="15" spans="1:334" s="62" customFormat="1" ht="15" customHeight="1">
      <c r="A15" s="65">
        <f t="shared" si="211"/>
        <v>5</v>
      </c>
      <c r="B15" s="65">
        <f t="shared" si="212"/>
        <v>4</v>
      </c>
      <c r="C15" s="117">
        <v>32</v>
      </c>
      <c r="D15" s="121" t="s">
        <v>142</v>
      </c>
      <c r="E15" s="120" t="s">
        <v>613</v>
      </c>
      <c r="F15" s="120"/>
      <c r="G15" s="120"/>
      <c r="H15" s="120" t="s">
        <v>111</v>
      </c>
      <c r="I15" s="287" t="s">
        <v>536</v>
      </c>
      <c r="J15" s="120" t="s">
        <v>143</v>
      </c>
      <c r="K15" s="120" t="s">
        <v>4</v>
      </c>
      <c r="L15" s="67" t="s">
        <v>144</v>
      </c>
      <c r="M15" s="120" t="s">
        <v>35</v>
      </c>
      <c r="N15" s="93"/>
      <c r="O15" s="94" t="str">
        <f t="shared" si="0"/>
        <v/>
      </c>
      <c r="P15" s="94" t="str">
        <f t="shared" si="1"/>
        <v/>
      </c>
      <c r="Q15" s="93"/>
      <c r="R15" s="94" t="str">
        <f t="shared" si="2"/>
        <v/>
      </c>
      <c r="S15" s="94" t="str">
        <f t="shared" si="3"/>
        <v/>
      </c>
      <c r="T15" s="93"/>
      <c r="U15" s="94" t="str">
        <f t="shared" si="4"/>
        <v/>
      </c>
      <c r="V15" s="94" t="str">
        <f t="shared" si="5"/>
        <v/>
      </c>
      <c r="W15" s="93"/>
      <c r="X15" s="94" t="str">
        <f t="shared" si="6"/>
        <v/>
      </c>
      <c r="Y15" s="94" t="str">
        <f t="shared" si="7"/>
        <v/>
      </c>
      <c r="Z15" s="93"/>
      <c r="AA15" s="94" t="str">
        <f t="shared" si="8"/>
        <v/>
      </c>
      <c r="AB15" s="94" t="str">
        <f t="shared" si="9"/>
        <v/>
      </c>
      <c r="AC15" s="93"/>
      <c r="AD15" s="94" t="str">
        <f t="shared" si="10"/>
        <v/>
      </c>
      <c r="AE15" s="94" t="str">
        <f t="shared" si="11"/>
        <v/>
      </c>
      <c r="AF15" s="272">
        <v>92</v>
      </c>
      <c r="AG15" s="94">
        <f t="shared" si="12"/>
        <v>0.56050840768917354</v>
      </c>
      <c r="AH15" s="94">
        <f t="shared" si="13"/>
        <v>1</v>
      </c>
      <c r="AI15" s="95"/>
      <c r="AJ15" s="94" t="str">
        <f t="shared" si="14"/>
        <v/>
      </c>
      <c r="AK15" s="94" t="str">
        <f t="shared" si="15"/>
        <v/>
      </c>
      <c r="AL15" s="93"/>
      <c r="AM15" s="94" t="str">
        <f t="shared" si="16"/>
        <v/>
      </c>
      <c r="AN15" s="94" t="str">
        <f t="shared" si="17"/>
        <v/>
      </c>
      <c r="AO15" s="93"/>
      <c r="AP15" s="94" t="str">
        <f t="shared" si="18"/>
        <v/>
      </c>
      <c r="AQ15" s="94" t="str">
        <f t="shared" si="19"/>
        <v/>
      </c>
      <c r="AR15" s="93"/>
      <c r="AS15" s="94" t="str">
        <f t="shared" si="20"/>
        <v/>
      </c>
      <c r="AT15" s="94" t="str">
        <f t="shared" si="21"/>
        <v/>
      </c>
      <c r="AU15" s="93"/>
      <c r="AV15" s="94" t="str">
        <f t="shared" si="22"/>
        <v/>
      </c>
      <c r="AW15" s="94" t="str">
        <f t="shared" si="23"/>
        <v/>
      </c>
      <c r="AX15" s="93"/>
      <c r="AY15" s="94" t="str">
        <f t="shared" si="24"/>
        <v/>
      </c>
      <c r="AZ15" s="94" t="str">
        <f t="shared" si="25"/>
        <v/>
      </c>
      <c r="BA15" s="93"/>
      <c r="BB15" s="94" t="str">
        <f t="shared" si="26"/>
        <v/>
      </c>
      <c r="BC15" s="94" t="str">
        <f t="shared" si="27"/>
        <v/>
      </c>
      <c r="BD15" s="93"/>
      <c r="BE15" s="94" t="str">
        <f t="shared" si="28"/>
        <v/>
      </c>
      <c r="BF15" s="94" t="str">
        <f t="shared" si="29"/>
        <v/>
      </c>
      <c r="BG15" s="93"/>
      <c r="BH15" s="94" t="str">
        <f t="shared" si="30"/>
        <v/>
      </c>
      <c r="BI15" s="94" t="str">
        <f t="shared" si="31"/>
        <v/>
      </c>
      <c r="BJ15" s="93"/>
      <c r="BK15" s="94" t="str">
        <f t="shared" si="32"/>
        <v/>
      </c>
      <c r="BL15" s="94" t="str">
        <f t="shared" si="33"/>
        <v/>
      </c>
      <c r="BM15" s="95"/>
      <c r="BN15" s="94" t="str">
        <f t="shared" si="34"/>
        <v/>
      </c>
      <c r="BO15" s="94" t="str">
        <f t="shared" si="35"/>
        <v/>
      </c>
      <c r="BP15" s="66"/>
      <c r="BQ15" s="94" t="str">
        <f t="shared" si="36"/>
        <v/>
      </c>
      <c r="BR15" s="94" t="str">
        <f t="shared" si="37"/>
        <v/>
      </c>
      <c r="BS15" s="93"/>
      <c r="BT15" s="94" t="str">
        <f t="shared" si="38"/>
        <v/>
      </c>
      <c r="BU15" s="94" t="str">
        <f t="shared" si="39"/>
        <v/>
      </c>
      <c r="BV15" s="93"/>
      <c r="BW15" s="94" t="str">
        <f t="shared" si="40"/>
        <v/>
      </c>
      <c r="BX15" s="94" t="str">
        <f t="shared" si="41"/>
        <v/>
      </c>
      <c r="BY15" s="93">
        <v>83</v>
      </c>
      <c r="BZ15" s="94">
        <f t="shared" si="42"/>
        <v>0.56796890280089229</v>
      </c>
      <c r="CA15" s="94">
        <f t="shared" si="43"/>
        <v>0.75</v>
      </c>
      <c r="CB15" s="93"/>
      <c r="CC15" s="94" t="str">
        <f t="shared" si="44"/>
        <v/>
      </c>
      <c r="CD15" s="94" t="str">
        <f t="shared" si="45"/>
        <v/>
      </c>
      <c r="CE15" s="93"/>
      <c r="CF15" s="94" t="str">
        <f t="shared" si="46"/>
        <v/>
      </c>
      <c r="CG15" s="94" t="str">
        <f t="shared" si="47"/>
        <v/>
      </c>
      <c r="CH15" s="93"/>
      <c r="CI15" s="94" t="str">
        <f t="shared" si="48"/>
        <v/>
      </c>
      <c r="CJ15" s="94" t="str">
        <f t="shared" si="49"/>
        <v/>
      </c>
      <c r="CK15" s="96"/>
      <c r="CL15" s="94" t="str">
        <f t="shared" si="50"/>
        <v/>
      </c>
      <c r="CM15" s="94" t="str">
        <f t="shared" si="51"/>
        <v/>
      </c>
      <c r="CN15" s="93"/>
      <c r="CO15" s="94" t="str">
        <f t="shared" si="52"/>
        <v/>
      </c>
      <c r="CP15" s="94" t="str">
        <f t="shared" si="53"/>
        <v/>
      </c>
      <c r="CQ15" s="93"/>
      <c r="CR15" s="94" t="str">
        <f t="shared" si="54"/>
        <v/>
      </c>
      <c r="CS15" s="94" t="str">
        <f t="shared" si="55"/>
        <v/>
      </c>
      <c r="CT15" s="93"/>
      <c r="CU15" s="94" t="str">
        <f t="shared" si="56"/>
        <v/>
      </c>
      <c r="CV15" s="94" t="str">
        <f t="shared" si="57"/>
        <v/>
      </c>
      <c r="CW15" s="93"/>
      <c r="CX15" s="94" t="str">
        <f t="shared" si="58"/>
        <v/>
      </c>
      <c r="CY15" s="94" t="str">
        <f t="shared" si="59"/>
        <v/>
      </c>
      <c r="CZ15" s="93"/>
      <c r="DA15" s="94" t="str">
        <f t="shared" si="60"/>
        <v/>
      </c>
      <c r="DB15" s="94" t="str">
        <f t="shared" si="61"/>
        <v/>
      </c>
      <c r="DC15" s="93"/>
      <c r="DD15" s="94" t="str">
        <f t="shared" si="62"/>
        <v/>
      </c>
      <c r="DE15" s="94" t="str">
        <f t="shared" si="63"/>
        <v/>
      </c>
      <c r="DF15" s="114"/>
      <c r="DG15" s="94"/>
      <c r="DH15" s="94" t="str">
        <f t="shared" si="64"/>
        <v/>
      </c>
      <c r="DI15" s="93"/>
      <c r="DJ15" s="94" t="str">
        <f t="shared" si="65"/>
        <v/>
      </c>
      <c r="DK15" s="94" t="str">
        <f t="shared" si="66"/>
        <v/>
      </c>
      <c r="DL15" s="93"/>
      <c r="DM15" s="94" t="str">
        <f t="shared" si="67"/>
        <v/>
      </c>
      <c r="DN15" s="94" t="str">
        <f t="shared" si="68"/>
        <v/>
      </c>
      <c r="DO15" s="93"/>
      <c r="DP15" s="94" t="str">
        <f t="shared" si="69"/>
        <v/>
      </c>
      <c r="DQ15" s="94" t="str">
        <f t="shared" si="70"/>
        <v/>
      </c>
      <c r="DR15" s="93"/>
      <c r="DS15" s="94" t="str">
        <f t="shared" si="71"/>
        <v/>
      </c>
      <c r="DT15" s="94" t="str">
        <f t="shared" si="72"/>
        <v/>
      </c>
      <c r="DU15" s="93"/>
      <c r="DV15" s="94" t="str">
        <f t="shared" si="73"/>
        <v/>
      </c>
      <c r="DW15" s="94" t="str">
        <f t="shared" si="74"/>
        <v/>
      </c>
      <c r="DX15" s="96"/>
      <c r="DY15" s="94" t="str">
        <f t="shared" si="75"/>
        <v/>
      </c>
      <c r="DZ15" s="94" t="str">
        <f t="shared" si="76"/>
        <v/>
      </c>
      <c r="EA15" s="93"/>
      <c r="EB15" s="94" t="str">
        <f t="shared" si="77"/>
        <v/>
      </c>
      <c r="EC15" s="94" t="str">
        <f t="shared" si="78"/>
        <v/>
      </c>
      <c r="ED15" s="95"/>
      <c r="EE15" s="94" t="str">
        <f t="shared" si="79"/>
        <v/>
      </c>
      <c r="EF15" s="94" t="str">
        <f t="shared" si="80"/>
        <v/>
      </c>
      <c r="EG15" s="93"/>
      <c r="EH15" s="94" t="str">
        <f t="shared" si="81"/>
        <v/>
      </c>
      <c r="EI15" s="94" t="str">
        <f t="shared" si="82"/>
        <v/>
      </c>
      <c r="EJ15" s="93"/>
      <c r="EK15" s="94" t="str">
        <f t="shared" si="83"/>
        <v/>
      </c>
      <c r="EL15" s="94" t="str">
        <f t="shared" si="84"/>
        <v/>
      </c>
      <c r="EM15" s="93">
        <v>88</v>
      </c>
      <c r="EN15" s="94">
        <f t="shared" si="85"/>
        <v>0.49974009577570333</v>
      </c>
      <c r="EO15" s="94">
        <f t="shared" si="86"/>
        <v>0.75</v>
      </c>
      <c r="EP15" s="93"/>
      <c r="EQ15" s="94" t="str">
        <f t="shared" si="87"/>
        <v/>
      </c>
      <c r="ER15" s="94" t="str">
        <f t="shared" si="88"/>
        <v/>
      </c>
      <c r="ES15" s="66"/>
      <c r="ET15" s="94" t="str">
        <f t="shared" si="89"/>
        <v/>
      </c>
      <c r="EU15" s="94" t="str">
        <f t="shared" si="90"/>
        <v/>
      </c>
      <c r="EV15" s="93"/>
      <c r="EW15" s="94" t="str">
        <f t="shared" si="91"/>
        <v/>
      </c>
      <c r="EX15" s="94" t="str">
        <f t="shared" si="92"/>
        <v/>
      </c>
      <c r="EY15" s="93"/>
      <c r="EZ15" s="94" t="str">
        <f t="shared" si="93"/>
        <v/>
      </c>
      <c r="FA15" s="94" t="str">
        <f t="shared" si="94"/>
        <v/>
      </c>
      <c r="FB15" s="93"/>
      <c r="FC15" s="94" t="str">
        <f t="shared" si="95"/>
        <v/>
      </c>
      <c r="FD15" s="94" t="str">
        <f t="shared" si="96"/>
        <v/>
      </c>
      <c r="FE15" s="114"/>
      <c r="FF15" s="94" t="str">
        <f t="shared" si="97"/>
        <v/>
      </c>
      <c r="FG15" s="94" t="str">
        <f t="shared" si="98"/>
        <v/>
      </c>
      <c r="FH15" s="114"/>
      <c r="FI15" s="94" t="str">
        <f t="shared" si="99"/>
        <v/>
      </c>
      <c r="FJ15" s="94" t="str">
        <f t="shared" si="100"/>
        <v/>
      </c>
      <c r="FK15" s="93"/>
      <c r="FL15" s="94" t="str">
        <f t="shared" si="101"/>
        <v/>
      </c>
      <c r="FM15" s="94" t="str">
        <f t="shared" si="102"/>
        <v/>
      </c>
      <c r="FN15" s="93">
        <v>93</v>
      </c>
      <c r="FO15" s="94">
        <f t="shared" si="103"/>
        <v>0.92987669004155238</v>
      </c>
      <c r="FP15" s="94">
        <f t="shared" si="104"/>
        <v>0.75</v>
      </c>
      <c r="FQ15" s="95"/>
      <c r="FR15" s="94" t="str">
        <f t="shared" si="105"/>
        <v/>
      </c>
      <c r="FS15" s="94" t="str">
        <f t="shared" si="106"/>
        <v/>
      </c>
      <c r="FT15" s="95"/>
      <c r="FU15" s="94" t="str">
        <f t="shared" si="107"/>
        <v/>
      </c>
      <c r="FV15" s="94" t="str">
        <f t="shared" si="108"/>
        <v/>
      </c>
      <c r="FW15" s="96"/>
      <c r="FX15" s="94" t="str">
        <f t="shared" si="109"/>
        <v/>
      </c>
      <c r="FY15" s="94" t="str">
        <f t="shared" si="110"/>
        <v/>
      </c>
      <c r="FZ15" s="93"/>
      <c r="GA15" s="94" t="str">
        <f t="shared" si="111"/>
        <v/>
      </c>
      <c r="GB15" s="94" t="str">
        <f t="shared" si="112"/>
        <v/>
      </c>
      <c r="GC15" s="93"/>
      <c r="GD15" s="94" t="str">
        <f t="shared" si="113"/>
        <v/>
      </c>
      <c r="GE15" s="94" t="str">
        <f t="shared" si="114"/>
        <v/>
      </c>
      <c r="GF15" s="114"/>
      <c r="GG15" s="94" t="str">
        <f t="shared" si="115"/>
        <v/>
      </c>
      <c r="GH15" s="94" t="str">
        <f t="shared" si="116"/>
        <v/>
      </c>
      <c r="GI15" s="93"/>
      <c r="GJ15" s="94" t="str">
        <f t="shared" si="117"/>
        <v/>
      </c>
      <c r="GK15" s="94" t="str">
        <f t="shared" si="118"/>
        <v/>
      </c>
      <c r="GL15" s="114" t="s">
        <v>108</v>
      </c>
      <c r="GM15" s="94" t="str">
        <f t="shared" si="119"/>
        <v/>
      </c>
      <c r="GN15" s="94" t="str">
        <f t="shared" si="120"/>
        <v/>
      </c>
      <c r="GO15" s="93"/>
      <c r="GP15" s="94" t="str">
        <f t="shared" si="121"/>
        <v/>
      </c>
      <c r="GQ15" s="94" t="str">
        <f t="shared" si="122"/>
        <v/>
      </c>
      <c r="GR15" s="93"/>
      <c r="GS15" s="94" t="str">
        <f t="shared" si="123"/>
        <v/>
      </c>
      <c r="GT15" s="94" t="str">
        <f t="shared" si="124"/>
        <v/>
      </c>
      <c r="GU15" s="93"/>
      <c r="GV15" s="94" t="str">
        <f t="shared" si="125"/>
        <v/>
      </c>
      <c r="GW15" s="94" t="str">
        <f t="shared" si="126"/>
        <v/>
      </c>
      <c r="GX15" s="93"/>
      <c r="GY15" s="94" t="str">
        <f t="shared" si="127"/>
        <v/>
      </c>
      <c r="GZ15" s="94" t="str">
        <f t="shared" si="128"/>
        <v/>
      </c>
      <c r="HA15" s="93"/>
      <c r="HB15" s="94" t="str">
        <f t="shared" si="129"/>
        <v/>
      </c>
      <c r="HC15" s="94" t="str">
        <f t="shared" si="130"/>
        <v/>
      </c>
      <c r="HD15" s="93"/>
      <c r="HE15" s="94" t="str">
        <f t="shared" si="131"/>
        <v/>
      </c>
      <c r="HF15" s="94" t="str">
        <f t="shared" si="132"/>
        <v/>
      </c>
      <c r="HG15" s="93"/>
      <c r="HH15" s="94" t="str">
        <f t="shared" si="133"/>
        <v/>
      </c>
      <c r="HI15" s="94" t="str">
        <f t="shared" si="134"/>
        <v/>
      </c>
      <c r="HJ15" s="93"/>
      <c r="HK15" s="94" t="str">
        <f t="shared" si="135"/>
        <v/>
      </c>
      <c r="HL15" s="94" t="str">
        <f t="shared" si="136"/>
        <v/>
      </c>
      <c r="HM15" s="93"/>
      <c r="HN15" s="94" t="str">
        <f t="shared" si="137"/>
        <v/>
      </c>
      <c r="HO15" s="94" t="str">
        <f t="shared" si="138"/>
        <v/>
      </c>
      <c r="HP15" s="93"/>
      <c r="HQ15" s="94" t="str">
        <f t="shared" si="139"/>
        <v/>
      </c>
      <c r="HR15" s="94" t="str">
        <f t="shared" si="140"/>
        <v/>
      </c>
      <c r="HS15" s="93"/>
      <c r="HT15" s="94" t="str">
        <f t="shared" si="141"/>
        <v/>
      </c>
      <c r="HU15" s="94" t="str">
        <f t="shared" si="142"/>
        <v/>
      </c>
      <c r="HV15" s="93"/>
      <c r="HW15" s="94" t="str">
        <f t="shared" si="143"/>
        <v/>
      </c>
      <c r="HX15" s="94" t="str">
        <f t="shared" si="144"/>
        <v/>
      </c>
      <c r="HY15" s="93"/>
      <c r="HZ15" s="94" t="str">
        <f t="shared" si="145"/>
        <v/>
      </c>
      <c r="IA15" s="94" t="str">
        <f t="shared" si="146"/>
        <v/>
      </c>
      <c r="IB15" s="93"/>
      <c r="IC15" s="94" t="str">
        <f t="shared" si="147"/>
        <v/>
      </c>
      <c r="ID15" s="94" t="str">
        <f t="shared" si="148"/>
        <v/>
      </c>
      <c r="IE15" s="93"/>
      <c r="IF15" s="94" t="str">
        <f t="shared" si="149"/>
        <v/>
      </c>
      <c r="IG15" s="94" t="str">
        <f t="shared" si="150"/>
        <v/>
      </c>
      <c r="IH15" s="93"/>
      <c r="II15" s="94" t="str">
        <f t="shared" si="151"/>
        <v/>
      </c>
      <c r="IJ15" s="94" t="str">
        <f t="shared" si="152"/>
        <v/>
      </c>
      <c r="IK15" s="93"/>
      <c r="IL15" s="94" t="str">
        <f t="shared" si="153"/>
        <v/>
      </c>
      <c r="IM15" s="94" t="str">
        <f t="shared" si="154"/>
        <v/>
      </c>
      <c r="IN15" s="93"/>
      <c r="IO15" s="94" t="str">
        <f t="shared" si="155"/>
        <v/>
      </c>
      <c r="IP15" s="94" t="str">
        <f t="shared" si="156"/>
        <v/>
      </c>
      <c r="IQ15" s="93"/>
      <c r="IR15" s="94" t="str">
        <f t="shared" si="157"/>
        <v/>
      </c>
      <c r="IS15" s="94" t="str">
        <f t="shared" si="158"/>
        <v/>
      </c>
      <c r="IT15" s="93"/>
      <c r="IU15" s="94" t="str">
        <f t="shared" si="159"/>
        <v/>
      </c>
      <c r="IV15" s="94" t="str">
        <f t="shared" si="160"/>
        <v/>
      </c>
      <c r="IW15" s="93"/>
      <c r="IX15" s="94" t="str">
        <f t="shared" si="161"/>
        <v/>
      </c>
      <c r="IY15" s="94" t="str">
        <f t="shared" si="162"/>
        <v/>
      </c>
      <c r="IZ15" s="93"/>
      <c r="JA15" s="94" t="str">
        <f t="shared" si="163"/>
        <v/>
      </c>
      <c r="JB15" s="94" t="str">
        <f t="shared" si="164"/>
        <v/>
      </c>
      <c r="JC15" s="93"/>
      <c r="JD15" s="94" t="str">
        <f t="shared" si="165"/>
        <v/>
      </c>
      <c r="JE15" s="94" t="str">
        <f t="shared" si="166"/>
        <v/>
      </c>
      <c r="JF15" s="93"/>
      <c r="JG15" s="94" t="str">
        <f t="shared" si="167"/>
        <v/>
      </c>
      <c r="JH15" s="94" t="str">
        <f t="shared" si="168"/>
        <v/>
      </c>
      <c r="JI15" s="93"/>
      <c r="JJ15" s="94" t="str">
        <f t="shared" si="169"/>
        <v/>
      </c>
      <c r="JK15" s="94" t="str">
        <f t="shared" si="170"/>
        <v/>
      </c>
      <c r="JL15" s="93"/>
      <c r="JM15" s="94" t="str">
        <f t="shared" si="171"/>
        <v/>
      </c>
      <c r="JN15" s="94" t="str">
        <f t="shared" si="172"/>
        <v/>
      </c>
      <c r="JO15" s="93"/>
      <c r="JP15" s="94" t="str">
        <f t="shared" si="173"/>
        <v/>
      </c>
      <c r="JQ15" s="94" t="str">
        <f t="shared" si="174"/>
        <v/>
      </c>
      <c r="JR15" s="93"/>
      <c r="JS15" s="94" t="str">
        <f t="shared" si="175"/>
        <v/>
      </c>
      <c r="JT15" s="94" t="str">
        <f t="shared" si="176"/>
        <v/>
      </c>
      <c r="JU15" s="93"/>
      <c r="JV15" s="94" t="str">
        <f t="shared" si="177"/>
        <v/>
      </c>
      <c r="JW15" s="94" t="str">
        <f t="shared" si="178"/>
        <v/>
      </c>
      <c r="JX15" s="93"/>
      <c r="JY15" s="94" t="str">
        <f t="shared" si="179"/>
        <v/>
      </c>
      <c r="JZ15" s="94" t="str">
        <f t="shared" si="180"/>
        <v/>
      </c>
      <c r="KA15" s="93"/>
      <c r="KB15" s="94" t="str">
        <f t="shared" si="181"/>
        <v/>
      </c>
      <c r="KC15" s="94" t="str">
        <f t="shared" si="182"/>
        <v/>
      </c>
      <c r="KD15" s="93"/>
      <c r="KE15" s="94" t="str">
        <f t="shared" si="183"/>
        <v/>
      </c>
      <c r="KF15" s="94" t="str">
        <f t="shared" si="184"/>
        <v/>
      </c>
      <c r="KG15" s="93"/>
      <c r="KH15" s="94" t="str">
        <f t="shared" si="185"/>
        <v/>
      </c>
      <c r="KI15" s="94" t="str">
        <f t="shared" si="186"/>
        <v/>
      </c>
      <c r="KJ15" s="93"/>
      <c r="KK15" s="94" t="str">
        <f t="shared" si="187"/>
        <v/>
      </c>
      <c r="KL15" s="94" t="str">
        <f t="shared" si="188"/>
        <v/>
      </c>
      <c r="KM15" s="93"/>
      <c r="KN15" s="94" t="str">
        <f t="shared" si="189"/>
        <v/>
      </c>
      <c r="KO15" s="94" t="str">
        <f t="shared" si="190"/>
        <v/>
      </c>
      <c r="KP15" s="93"/>
      <c r="KQ15" s="94" t="str">
        <f t="shared" si="191"/>
        <v/>
      </c>
      <c r="KR15" s="94" t="str">
        <f t="shared" si="192"/>
        <v/>
      </c>
      <c r="KS15" s="93"/>
      <c r="KT15" s="94" t="str">
        <f t="shared" si="193"/>
        <v/>
      </c>
      <c r="KU15" s="94" t="str">
        <f t="shared" si="194"/>
        <v/>
      </c>
      <c r="KV15" s="93"/>
      <c r="KW15" s="94" t="str">
        <f t="shared" si="195"/>
        <v/>
      </c>
      <c r="KX15" s="94" t="str">
        <f t="shared" si="196"/>
        <v/>
      </c>
      <c r="KY15" s="96"/>
      <c r="KZ15" s="94" t="str">
        <f t="shared" si="197"/>
        <v/>
      </c>
      <c r="LA15" s="94" t="str">
        <f t="shared" si="198"/>
        <v/>
      </c>
      <c r="LB15" s="65">
        <f t="shared" si="213"/>
        <v>89</v>
      </c>
      <c r="LC15" s="115">
        <f t="shared" si="199"/>
        <v>19</v>
      </c>
      <c r="LD15" s="65">
        <f t="shared" si="207"/>
        <v>0.63952352407683044</v>
      </c>
      <c r="LE15" s="115">
        <f t="shared" si="200"/>
        <v>12</v>
      </c>
      <c r="LF15" s="65">
        <f t="shared" si="208"/>
        <v>0.8125</v>
      </c>
      <c r="LG15" s="115">
        <f t="shared" si="201"/>
        <v>9</v>
      </c>
      <c r="LH15" s="69">
        <f t="shared" si="202"/>
        <v>45.065789473684212</v>
      </c>
      <c r="LI15" s="69">
        <f t="shared" si="203"/>
        <v>45.819040978152231</v>
      </c>
      <c r="LJ15" s="69">
        <f t="shared" si="204"/>
        <v>45.3125</v>
      </c>
      <c r="LK15" s="69">
        <f t="shared" si="205"/>
        <v>86.19733045183645</v>
      </c>
      <c r="LL15" s="71">
        <f t="shared" si="206"/>
        <v>12</v>
      </c>
      <c r="LM15" s="68"/>
      <c r="LN15" s="72">
        <f>IFERROR(RANK(LK15,(LK$15:LK$21),0),"")</f>
        <v>1</v>
      </c>
      <c r="LO15" s="72">
        <f t="shared" si="210"/>
        <v>12</v>
      </c>
      <c r="LP15" s="68"/>
      <c r="LQ15" s="68"/>
      <c r="LR15" s="68"/>
      <c r="LS15" s="74"/>
      <c r="LT15" s="74"/>
      <c r="LU15" s="74"/>
      <c r="LV15" s="74"/>
    </row>
    <row r="16" spans="1:334" s="74" customFormat="1" ht="15" customHeight="1">
      <c r="A16" s="65">
        <f t="shared" si="211"/>
        <v>6</v>
      </c>
      <c r="B16" s="65">
        <f t="shared" si="212"/>
        <v>5</v>
      </c>
      <c r="C16" s="117">
        <v>37</v>
      </c>
      <c r="D16" s="121" t="s">
        <v>145</v>
      </c>
      <c r="E16" s="120" t="s">
        <v>614</v>
      </c>
      <c r="F16" s="120" t="s">
        <v>681</v>
      </c>
      <c r="G16" s="120"/>
      <c r="H16" s="120" t="s">
        <v>5</v>
      </c>
      <c r="I16" s="287" t="s">
        <v>537</v>
      </c>
      <c r="J16" s="120" t="s">
        <v>146</v>
      </c>
      <c r="K16" s="120" t="s">
        <v>4</v>
      </c>
      <c r="L16" s="67" t="s">
        <v>147</v>
      </c>
      <c r="M16" s="120" t="s">
        <v>35</v>
      </c>
      <c r="N16" s="93"/>
      <c r="O16" s="94" t="str">
        <f t="shared" si="0"/>
        <v/>
      </c>
      <c r="P16" s="94" t="str">
        <f t="shared" si="1"/>
        <v/>
      </c>
      <c r="Q16" s="93"/>
      <c r="R16" s="94" t="str">
        <f t="shared" si="2"/>
        <v/>
      </c>
      <c r="S16" s="94" t="str">
        <f t="shared" si="3"/>
        <v/>
      </c>
      <c r="T16" s="93"/>
      <c r="U16" s="94" t="str">
        <f t="shared" si="4"/>
        <v/>
      </c>
      <c r="V16" s="94" t="str">
        <f t="shared" si="5"/>
        <v/>
      </c>
      <c r="W16" s="93"/>
      <c r="X16" s="94" t="str">
        <f t="shared" si="6"/>
        <v/>
      </c>
      <c r="Y16" s="94" t="str">
        <f t="shared" si="7"/>
        <v/>
      </c>
      <c r="Z16" s="93"/>
      <c r="AA16" s="94" t="str">
        <f t="shared" si="8"/>
        <v/>
      </c>
      <c r="AB16" s="94" t="str">
        <f t="shared" si="9"/>
        <v/>
      </c>
      <c r="AC16" s="93"/>
      <c r="AD16" s="94" t="str">
        <f t="shared" si="10"/>
        <v/>
      </c>
      <c r="AE16" s="94" t="str">
        <f t="shared" si="11"/>
        <v/>
      </c>
      <c r="AF16" s="272">
        <v>84</v>
      </c>
      <c r="AG16" s="94">
        <f t="shared" si="12"/>
        <v>0.18050270756092018</v>
      </c>
      <c r="AH16" s="94">
        <f t="shared" si="13"/>
        <v>0.25</v>
      </c>
      <c r="AI16" s="95"/>
      <c r="AJ16" s="94" t="str">
        <f t="shared" si="14"/>
        <v/>
      </c>
      <c r="AK16" s="94" t="str">
        <f t="shared" si="15"/>
        <v/>
      </c>
      <c r="AL16" s="93"/>
      <c r="AM16" s="94" t="str">
        <f t="shared" si="16"/>
        <v/>
      </c>
      <c r="AN16" s="94" t="str">
        <f t="shared" si="17"/>
        <v/>
      </c>
      <c r="AO16" s="93"/>
      <c r="AP16" s="94" t="str">
        <f t="shared" si="18"/>
        <v/>
      </c>
      <c r="AQ16" s="94" t="str">
        <f t="shared" si="19"/>
        <v/>
      </c>
      <c r="AR16" s="93"/>
      <c r="AS16" s="94" t="str">
        <f t="shared" si="20"/>
        <v/>
      </c>
      <c r="AT16" s="94" t="str">
        <f t="shared" si="21"/>
        <v/>
      </c>
      <c r="AU16" s="93"/>
      <c r="AV16" s="94" t="str">
        <f t="shared" si="22"/>
        <v/>
      </c>
      <c r="AW16" s="94" t="str">
        <f t="shared" si="23"/>
        <v/>
      </c>
      <c r="AX16" s="93"/>
      <c r="AY16" s="94" t="str">
        <f t="shared" si="24"/>
        <v/>
      </c>
      <c r="AZ16" s="94" t="str">
        <f t="shared" si="25"/>
        <v/>
      </c>
      <c r="BA16" s="93"/>
      <c r="BB16" s="94" t="str">
        <f t="shared" si="26"/>
        <v/>
      </c>
      <c r="BC16" s="94" t="str">
        <f t="shared" si="27"/>
        <v/>
      </c>
      <c r="BD16" s="93"/>
      <c r="BE16" s="94" t="str">
        <f t="shared" si="28"/>
        <v/>
      </c>
      <c r="BF16" s="94" t="str">
        <f t="shared" si="29"/>
        <v/>
      </c>
      <c r="BG16" s="93"/>
      <c r="BH16" s="94" t="str">
        <f t="shared" si="30"/>
        <v/>
      </c>
      <c r="BI16" s="94" t="str">
        <f t="shared" si="31"/>
        <v/>
      </c>
      <c r="BJ16" s="93"/>
      <c r="BK16" s="94" t="str">
        <f t="shared" si="32"/>
        <v/>
      </c>
      <c r="BL16" s="94" t="str">
        <f t="shared" si="33"/>
        <v/>
      </c>
      <c r="BM16" s="95"/>
      <c r="BN16" s="94" t="str">
        <f t="shared" si="34"/>
        <v/>
      </c>
      <c r="BO16" s="94" t="str">
        <f t="shared" si="35"/>
        <v/>
      </c>
      <c r="BP16" s="66"/>
      <c r="BQ16" s="94" t="str">
        <f t="shared" si="36"/>
        <v/>
      </c>
      <c r="BR16" s="94" t="str">
        <f t="shared" si="37"/>
        <v/>
      </c>
      <c r="BS16" s="93"/>
      <c r="BT16" s="94" t="str">
        <f t="shared" si="38"/>
        <v/>
      </c>
      <c r="BU16" s="94" t="str">
        <f t="shared" si="39"/>
        <v/>
      </c>
      <c r="BV16" s="93"/>
      <c r="BW16" s="94" t="str">
        <f t="shared" si="40"/>
        <v/>
      </c>
      <c r="BX16" s="94" t="str">
        <f t="shared" si="41"/>
        <v/>
      </c>
      <c r="BY16" s="93">
        <v>72</v>
      </c>
      <c r="BZ16" s="94">
        <f t="shared" si="42"/>
        <v>-0.29976136536713727</v>
      </c>
      <c r="CA16" s="94">
        <f t="shared" si="43"/>
        <v>0.25</v>
      </c>
      <c r="CB16" s="93"/>
      <c r="CC16" s="94" t="str">
        <f t="shared" si="44"/>
        <v/>
      </c>
      <c r="CD16" s="94" t="str">
        <f t="shared" si="45"/>
        <v/>
      </c>
      <c r="CE16" s="93"/>
      <c r="CF16" s="94" t="str">
        <f t="shared" si="46"/>
        <v/>
      </c>
      <c r="CG16" s="94" t="str">
        <f t="shared" si="47"/>
        <v/>
      </c>
      <c r="CH16" s="93"/>
      <c r="CI16" s="94" t="str">
        <f t="shared" si="48"/>
        <v/>
      </c>
      <c r="CJ16" s="94" t="str">
        <f t="shared" si="49"/>
        <v/>
      </c>
      <c r="CK16" s="93"/>
      <c r="CL16" s="94" t="str">
        <f t="shared" si="50"/>
        <v/>
      </c>
      <c r="CM16" s="94" t="str">
        <f t="shared" si="51"/>
        <v/>
      </c>
      <c r="CN16" s="93"/>
      <c r="CO16" s="94" t="str">
        <f t="shared" si="52"/>
        <v/>
      </c>
      <c r="CP16" s="94" t="str">
        <f t="shared" si="53"/>
        <v/>
      </c>
      <c r="CQ16" s="93"/>
      <c r="CR16" s="94" t="str">
        <f t="shared" si="54"/>
        <v/>
      </c>
      <c r="CS16" s="94" t="str">
        <f t="shared" si="55"/>
        <v/>
      </c>
      <c r="CT16" s="93">
        <v>85</v>
      </c>
      <c r="CU16" s="94">
        <f t="shared" si="56"/>
        <v>0.13733412557601687</v>
      </c>
      <c r="CV16" s="94">
        <f t="shared" si="57"/>
        <v>0.6</v>
      </c>
      <c r="CW16" s="93"/>
      <c r="CX16" s="94" t="str">
        <f t="shared" si="58"/>
        <v/>
      </c>
      <c r="CY16" s="94" t="str">
        <f t="shared" si="59"/>
        <v/>
      </c>
      <c r="CZ16" s="93"/>
      <c r="DA16" s="94" t="str">
        <f t="shared" si="60"/>
        <v/>
      </c>
      <c r="DB16" s="94" t="str">
        <f t="shared" si="61"/>
        <v/>
      </c>
      <c r="DC16" s="93"/>
      <c r="DD16" s="94" t="str">
        <f t="shared" si="62"/>
        <v/>
      </c>
      <c r="DE16" s="94" t="str">
        <f t="shared" si="63"/>
        <v/>
      </c>
      <c r="DF16" s="93"/>
      <c r="DG16" s="94"/>
      <c r="DH16" s="94" t="str">
        <f t="shared" si="64"/>
        <v/>
      </c>
      <c r="DI16" s="93"/>
      <c r="DJ16" s="94" t="str">
        <f t="shared" si="65"/>
        <v/>
      </c>
      <c r="DK16" s="94" t="str">
        <f t="shared" si="66"/>
        <v/>
      </c>
      <c r="DL16" s="93"/>
      <c r="DM16" s="94" t="str">
        <f t="shared" si="67"/>
        <v/>
      </c>
      <c r="DN16" s="94" t="str">
        <f t="shared" si="68"/>
        <v/>
      </c>
      <c r="DO16" s="93"/>
      <c r="DP16" s="94" t="str">
        <f t="shared" si="69"/>
        <v/>
      </c>
      <c r="DQ16" s="94" t="str">
        <f t="shared" si="70"/>
        <v/>
      </c>
      <c r="DR16" s="95"/>
      <c r="DS16" s="94" t="str">
        <f t="shared" si="71"/>
        <v/>
      </c>
      <c r="DT16" s="94" t="str">
        <f t="shared" si="72"/>
        <v/>
      </c>
      <c r="DU16" s="96"/>
      <c r="DV16" s="94" t="str">
        <f t="shared" si="73"/>
        <v/>
      </c>
      <c r="DW16" s="94" t="str">
        <f t="shared" si="74"/>
        <v/>
      </c>
      <c r="DX16" s="93"/>
      <c r="DY16" s="94" t="str">
        <f t="shared" si="75"/>
        <v/>
      </c>
      <c r="DZ16" s="94" t="str">
        <f t="shared" si="76"/>
        <v/>
      </c>
      <c r="EA16" s="93"/>
      <c r="EB16" s="94" t="str">
        <f t="shared" si="77"/>
        <v/>
      </c>
      <c r="EC16" s="94" t="str">
        <f t="shared" si="78"/>
        <v/>
      </c>
      <c r="ED16" s="93"/>
      <c r="EE16" s="94" t="str">
        <f t="shared" si="79"/>
        <v/>
      </c>
      <c r="EF16" s="94" t="str">
        <f t="shared" si="80"/>
        <v/>
      </c>
      <c r="EG16" s="93"/>
      <c r="EH16" s="94" t="str">
        <f t="shared" si="81"/>
        <v/>
      </c>
      <c r="EI16" s="94" t="str">
        <f t="shared" si="82"/>
        <v/>
      </c>
      <c r="EJ16" s="93"/>
      <c r="EK16" s="94" t="str">
        <f t="shared" si="83"/>
        <v/>
      </c>
      <c r="EL16" s="94" t="str">
        <f t="shared" si="84"/>
        <v/>
      </c>
      <c r="EM16" s="93"/>
      <c r="EN16" s="94" t="str">
        <f t="shared" si="85"/>
        <v/>
      </c>
      <c r="EO16" s="94" t="str">
        <f t="shared" si="86"/>
        <v/>
      </c>
      <c r="EP16" s="93"/>
      <c r="EQ16" s="94" t="str">
        <f t="shared" si="87"/>
        <v/>
      </c>
      <c r="ER16" s="94" t="str">
        <f t="shared" si="88"/>
        <v/>
      </c>
      <c r="ES16" s="95"/>
      <c r="ET16" s="94" t="str">
        <f t="shared" si="89"/>
        <v/>
      </c>
      <c r="EU16" s="94" t="str">
        <f t="shared" si="90"/>
        <v/>
      </c>
      <c r="EV16" s="93"/>
      <c r="EW16" s="94" t="str">
        <f t="shared" si="91"/>
        <v/>
      </c>
      <c r="EX16" s="94" t="str">
        <f t="shared" si="92"/>
        <v/>
      </c>
      <c r="EY16" s="93"/>
      <c r="EZ16" s="94" t="str">
        <f t="shared" si="93"/>
        <v/>
      </c>
      <c r="FA16" s="94" t="str">
        <f t="shared" si="94"/>
        <v/>
      </c>
      <c r="FB16" s="93"/>
      <c r="FC16" s="94" t="str">
        <f t="shared" si="95"/>
        <v/>
      </c>
      <c r="FD16" s="94" t="str">
        <f t="shared" si="96"/>
        <v/>
      </c>
      <c r="FE16" s="93" t="s">
        <v>87</v>
      </c>
      <c r="FF16" s="94" t="str">
        <f t="shared" si="97"/>
        <v/>
      </c>
      <c r="FG16" s="94" t="str">
        <f t="shared" si="98"/>
        <v/>
      </c>
      <c r="FH16" s="93"/>
      <c r="FI16" s="94" t="str">
        <f t="shared" si="99"/>
        <v/>
      </c>
      <c r="FJ16" s="94" t="str">
        <f t="shared" si="100"/>
        <v/>
      </c>
      <c r="FK16" s="93"/>
      <c r="FL16" s="94" t="str">
        <f t="shared" si="101"/>
        <v/>
      </c>
      <c r="FM16" s="94" t="str">
        <f t="shared" si="102"/>
        <v/>
      </c>
      <c r="FN16" s="93">
        <v>94</v>
      </c>
      <c r="FO16" s="94">
        <f t="shared" si="103"/>
        <v>1.1745810821577507</v>
      </c>
      <c r="FP16" s="94">
        <f t="shared" si="104"/>
        <v>1</v>
      </c>
      <c r="FQ16" s="93"/>
      <c r="FR16" s="94" t="str">
        <f t="shared" si="105"/>
        <v/>
      </c>
      <c r="FS16" s="94" t="str">
        <f t="shared" si="106"/>
        <v/>
      </c>
      <c r="FT16" s="93"/>
      <c r="FU16" s="94" t="str">
        <f t="shared" si="107"/>
        <v/>
      </c>
      <c r="FV16" s="94" t="str">
        <f t="shared" si="108"/>
        <v/>
      </c>
      <c r="FW16" s="96"/>
      <c r="FX16" s="94" t="str">
        <f t="shared" si="109"/>
        <v/>
      </c>
      <c r="FY16" s="94" t="str">
        <f t="shared" si="110"/>
        <v/>
      </c>
      <c r="FZ16" s="96"/>
      <c r="GA16" s="94" t="str">
        <f t="shared" si="111"/>
        <v/>
      </c>
      <c r="GB16" s="94" t="str">
        <f t="shared" si="112"/>
        <v/>
      </c>
      <c r="GC16" s="95"/>
      <c r="GD16" s="94" t="str">
        <f t="shared" si="113"/>
        <v/>
      </c>
      <c r="GE16" s="94" t="str">
        <f t="shared" si="114"/>
        <v/>
      </c>
      <c r="GF16" s="93"/>
      <c r="GG16" s="94" t="str">
        <f t="shared" si="115"/>
        <v/>
      </c>
      <c r="GH16" s="94" t="str">
        <f t="shared" si="116"/>
        <v/>
      </c>
      <c r="GI16" s="93"/>
      <c r="GJ16" s="94" t="str">
        <f t="shared" si="117"/>
        <v/>
      </c>
      <c r="GK16" s="94" t="str">
        <f t="shared" si="118"/>
        <v/>
      </c>
      <c r="GL16" s="114">
        <v>81</v>
      </c>
      <c r="GM16" s="94">
        <f t="shared" si="119"/>
        <v>-1.0690449676496976</v>
      </c>
      <c r="GN16" s="94">
        <f t="shared" si="120"/>
        <v>0</v>
      </c>
      <c r="GO16" s="93"/>
      <c r="GP16" s="94" t="str">
        <f t="shared" si="121"/>
        <v/>
      </c>
      <c r="GQ16" s="94" t="str">
        <f t="shared" si="122"/>
        <v/>
      </c>
      <c r="GR16" s="93"/>
      <c r="GS16" s="94" t="str">
        <f t="shared" si="123"/>
        <v/>
      </c>
      <c r="GT16" s="94" t="str">
        <f t="shared" si="124"/>
        <v/>
      </c>
      <c r="GU16" s="93"/>
      <c r="GV16" s="94" t="str">
        <f t="shared" si="125"/>
        <v/>
      </c>
      <c r="GW16" s="94" t="str">
        <f t="shared" si="126"/>
        <v/>
      </c>
      <c r="GX16" s="93"/>
      <c r="GY16" s="94" t="str">
        <f t="shared" si="127"/>
        <v/>
      </c>
      <c r="GZ16" s="94" t="str">
        <f t="shared" si="128"/>
        <v/>
      </c>
      <c r="HA16" s="93"/>
      <c r="HB16" s="94" t="str">
        <f t="shared" si="129"/>
        <v/>
      </c>
      <c r="HC16" s="94" t="str">
        <f t="shared" si="130"/>
        <v/>
      </c>
      <c r="HD16" s="93"/>
      <c r="HE16" s="94" t="str">
        <f t="shared" si="131"/>
        <v/>
      </c>
      <c r="HF16" s="94" t="str">
        <f t="shared" si="132"/>
        <v/>
      </c>
      <c r="HG16" s="93"/>
      <c r="HH16" s="94" t="str">
        <f t="shared" si="133"/>
        <v/>
      </c>
      <c r="HI16" s="94" t="str">
        <f t="shared" si="134"/>
        <v/>
      </c>
      <c r="HJ16" s="93"/>
      <c r="HK16" s="94" t="str">
        <f t="shared" si="135"/>
        <v/>
      </c>
      <c r="HL16" s="94" t="str">
        <f t="shared" si="136"/>
        <v/>
      </c>
      <c r="HM16" s="93"/>
      <c r="HN16" s="94" t="str">
        <f t="shared" si="137"/>
        <v/>
      </c>
      <c r="HO16" s="94" t="str">
        <f t="shared" si="138"/>
        <v/>
      </c>
      <c r="HP16" s="93"/>
      <c r="HQ16" s="94" t="str">
        <f t="shared" si="139"/>
        <v/>
      </c>
      <c r="HR16" s="94" t="str">
        <f t="shared" si="140"/>
        <v/>
      </c>
      <c r="HS16" s="93"/>
      <c r="HT16" s="94" t="str">
        <f t="shared" si="141"/>
        <v/>
      </c>
      <c r="HU16" s="94" t="str">
        <f t="shared" si="142"/>
        <v/>
      </c>
      <c r="HV16" s="93"/>
      <c r="HW16" s="94" t="str">
        <f t="shared" si="143"/>
        <v/>
      </c>
      <c r="HX16" s="94" t="str">
        <f t="shared" si="144"/>
        <v/>
      </c>
      <c r="HY16" s="93"/>
      <c r="HZ16" s="94" t="str">
        <f t="shared" si="145"/>
        <v/>
      </c>
      <c r="IA16" s="94" t="str">
        <f t="shared" si="146"/>
        <v/>
      </c>
      <c r="IB16" s="93"/>
      <c r="IC16" s="94" t="str">
        <f t="shared" si="147"/>
        <v/>
      </c>
      <c r="ID16" s="94" t="str">
        <f t="shared" si="148"/>
        <v/>
      </c>
      <c r="IE16" s="93"/>
      <c r="IF16" s="94" t="str">
        <f t="shared" si="149"/>
        <v/>
      </c>
      <c r="IG16" s="94" t="str">
        <f t="shared" si="150"/>
        <v/>
      </c>
      <c r="IH16" s="93"/>
      <c r="II16" s="94" t="str">
        <f t="shared" si="151"/>
        <v/>
      </c>
      <c r="IJ16" s="94" t="str">
        <f t="shared" si="152"/>
        <v/>
      </c>
      <c r="IK16" s="93"/>
      <c r="IL16" s="94" t="str">
        <f t="shared" si="153"/>
        <v/>
      </c>
      <c r="IM16" s="94" t="str">
        <f t="shared" si="154"/>
        <v/>
      </c>
      <c r="IN16" s="93"/>
      <c r="IO16" s="94" t="str">
        <f t="shared" si="155"/>
        <v/>
      </c>
      <c r="IP16" s="94" t="str">
        <f t="shared" si="156"/>
        <v/>
      </c>
      <c r="IQ16" s="93"/>
      <c r="IR16" s="94" t="str">
        <f t="shared" si="157"/>
        <v/>
      </c>
      <c r="IS16" s="94" t="str">
        <f t="shared" si="158"/>
        <v/>
      </c>
      <c r="IT16" s="93"/>
      <c r="IU16" s="94" t="str">
        <f t="shared" si="159"/>
        <v/>
      </c>
      <c r="IV16" s="94" t="str">
        <f t="shared" si="160"/>
        <v/>
      </c>
      <c r="IW16" s="93"/>
      <c r="IX16" s="94" t="str">
        <f t="shared" si="161"/>
        <v/>
      </c>
      <c r="IY16" s="94" t="str">
        <f t="shared" si="162"/>
        <v/>
      </c>
      <c r="IZ16" s="93"/>
      <c r="JA16" s="94" t="str">
        <f t="shared" si="163"/>
        <v/>
      </c>
      <c r="JB16" s="94" t="str">
        <f t="shared" si="164"/>
        <v/>
      </c>
      <c r="JC16" s="93"/>
      <c r="JD16" s="94" t="str">
        <f t="shared" si="165"/>
        <v/>
      </c>
      <c r="JE16" s="94" t="str">
        <f t="shared" si="166"/>
        <v/>
      </c>
      <c r="JF16" s="93"/>
      <c r="JG16" s="94" t="str">
        <f t="shared" si="167"/>
        <v/>
      </c>
      <c r="JH16" s="94" t="str">
        <f t="shared" si="168"/>
        <v/>
      </c>
      <c r="JI16" s="93"/>
      <c r="JJ16" s="94" t="str">
        <f t="shared" si="169"/>
        <v/>
      </c>
      <c r="JK16" s="94" t="str">
        <f t="shared" si="170"/>
        <v/>
      </c>
      <c r="JL16" s="93"/>
      <c r="JM16" s="94" t="str">
        <f t="shared" si="171"/>
        <v/>
      </c>
      <c r="JN16" s="94" t="str">
        <f t="shared" si="172"/>
        <v/>
      </c>
      <c r="JO16" s="93"/>
      <c r="JP16" s="94" t="str">
        <f t="shared" si="173"/>
        <v/>
      </c>
      <c r="JQ16" s="94" t="str">
        <f t="shared" si="174"/>
        <v/>
      </c>
      <c r="JR16" s="93"/>
      <c r="JS16" s="94" t="str">
        <f t="shared" si="175"/>
        <v/>
      </c>
      <c r="JT16" s="94" t="str">
        <f t="shared" si="176"/>
        <v/>
      </c>
      <c r="JU16" s="93"/>
      <c r="JV16" s="94" t="str">
        <f t="shared" si="177"/>
        <v/>
      </c>
      <c r="JW16" s="94" t="str">
        <f t="shared" si="178"/>
        <v/>
      </c>
      <c r="JX16" s="93"/>
      <c r="JY16" s="94" t="str">
        <f t="shared" si="179"/>
        <v/>
      </c>
      <c r="JZ16" s="94" t="str">
        <f t="shared" si="180"/>
        <v/>
      </c>
      <c r="KA16" s="93"/>
      <c r="KB16" s="94" t="str">
        <f t="shared" si="181"/>
        <v/>
      </c>
      <c r="KC16" s="94" t="str">
        <f t="shared" si="182"/>
        <v/>
      </c>
      <c r="KD16" s="93"/>
      <c r="KE16" s="94" t="str">
        <f t="shared" si="183"/>
        <v/>
      </c>
      <c r="KF16" s="94" t="str">
        <f t="shared" si="184"/>
        <v/>
      </c>
      <c r="KG16" s="93"/>
      <c r="KH16" s="94" t="str">
        <f t="shared" si="185"/>
        <v/>
      </c>
      <c r="KI16" s="94" t="str">
        <f t="shared" si="186"/>
        <v/>
      </c>
      <c r="KJ16" s="93"/>
      <c r="KK16" s="94" t="str">
        <f t="shared" si="187"/>
        <v/>
      </c>
      <c r="KL16" s="94" t="str">
        <f t="shared" si="188"/>
        <v/>
      </c>
      <c r="KM16" s="93"/>
      <c r="KN16" s="94" t="str">
        <f t="shared" si="189"/>
        <v/>
      </c>
      <c r="KO16" s="94" t="str">
        <f t="shared" si="190"/>
        <v/>
      </c>
      <c r="KP16" s="93"/>
      <c r="KQ16" s="94" t="str">
        <f t="shared" si="191"/>
        <v/>
      </c>
      <c r="KR16" s="94" t="str">
        <f t="shared" si="192"/>
        <v/>
      </c>
      <c r="KS16" s="93"/>
      <c r="KT16" s="94" t="str">
        <f t="shared" si="193"/>
        <v/>
      </c>
      <c r="KU16" s="94" t="str">
        <f t="shared" si="194"/>
        <v/>
      </c>
      <c r="KV16" s="93"/>
      <c r="KW16" s="94" t="str">
        <f t="shared" si="195"/>
        <v/>
      </c>
      <c r="KX16" s="94" t="str">
        <f t="shared" si="196"/>
        <v/>
      </c>
      <c r="KY16" s="96"/>
      <c r="KZ16" s="94" t="str">
        <f t="shared" si="197"/>
        <v/>
      </c>
      <c r="LA16" s="94" t="str">
        <f t="shared" si="198"/>
        <v/>
      </c>
      <c r="LB16" s="65">
        <f t="shared" si="213"/>
        <v>83.2</v>
      </c>
      <c r="LC16" s="115">
        <f t="shared" si="199"/>
        <v>40</v>
      </c>
      <c r="LD16" s="65">
        <f t="shared" si="207"/>
        <v>2.4722316455570593E-2</v>
      </c>
      <c r="LE16" s="115">
        <f t="shared" si="200"/>
        <v>36</v>
      </c>
      <c r="LF16" s="65">
        <f t="shared" si="208"/>
        <v>0.42000000000000004</v>
      </c>
      <c r="LG16" s="115">
        <f t="shared" si="201"/>
        <v>40</v>
      </c>
      <c r="LH16" s="69">
        <f t="shared" si="202"/>
        <v>41.885964912280706</v>
      </c>
      <c r="LI16" s="69">
        <f t="shared" si="203"/>
        <v>40.079532738202779</v>
      </c>
      <c r="LJ16" s="69">
        <f t="shared" si="204"/>
        <v>35.5</v>
      </c>
      <c r="LK16" s="69">
        <f t="shared" si="205"/>
        <v>67.465497650483485</v>
      </c>
      <c r="LL16" s="71">
        <f t="shared" si="206"/>
        <v>40</v>
      </c>
      <c r="LM16" s="68"/>
      <c r="LN16" s="72">
        <f>IFERROR(RANK(LK16,(LK$15:LK$21),0),"")</f>
        <v>6</v>
      </c>
      <c r="LO16" s="73">
        <f t="shared" ref="LO16:LO68" si="214">LL16</f>
        <v>40</v>
      </c>
      <c r="LP16" s="68"/>
      <c r="LQ16" s="68"/>
      <c r="LR16" s="68"/>
    </row>
    <row r="17" spans="1:334" s="74" customFormat="1" ht="15" customHeight="1">
      <c r="A17" s="65">
        <f t="shared" si="211"/>
        <v>6</v>
      </c>
      <c r="B17" s="65">
        <f t="shared" si="212"/>
        <v>5</v>
      </c>
      <c r="C17" s="117">
        <v>56</v>
      </c>
      <c r="D17" s="121" t="s">
        <v>148</v>
      </c>
      <c r="E17" s="120" t="s">
        <v>615</v>
      </c>
      <c r="F17" s="120" t="s">
        <v>682</v>
      </c>
      <c r="G17" s="120"/>
      <c r="H17" s="120" t="s">
        <v>5</v>
      </c>
      <c r="I17" s="287" t="s">
        <v>538</v>
      </c>
      <c r="J17" s="120" t="s">
        <v>149</v>
      </c>
      <c r="K17" s="120" t="s">
        <v>4</v>
      </c>
      <c r="L17" s="67" t="s">
        <v>150</v>
      </c>
      <c r="M17" s="120" t="s">
        <v>35</v>
      </c>
      <c r="N17" s="93"/>
      <c r="O17" s="94" t="str">
        <f t="shared" si="0"/>
        <v/>
      </c>
      <c r="P17" s="94" t="str">
        <f t="shared" si="1"/>
        <v/>
      </c>
      <c r="Q17" s="93"/>
      <c r="R17" s="94" t="str">
        <f t="shared" si="2"/>
        <v/>
      </c>
      <c r="S17" s="94" t="str">
        <f t="shared" si="3"/>
        <v/>
      </c>
      <c r="T17" s="93"/>
      <c r="U17" s="94" t="str">
        <f t="shared" si="4"/>
        <v/>
      </c>
      <c r="V17" s="94" t="str">
        <f t="shared" si="5"/>
        <v/>
      </c>
      <c r="W17" s="93"/>
      <c r="X17" s="94" t="str">
        <f t="shared" si="6"/>
        <v/>
      </c>
      <c r="Y17" s="94" t="str">
        <f t="shared" si="7"/>
        <v/>
      </c>
      <c r="Z17" s="93"/>
      <c r="AA17" s="94" t="str">
        <f t="shared" si="8"/>
        <v/>
      </c>
      <c r="AB17" s="94" t="str">
        <f t="shared" si="9"/>
        <v/>
      </c>
      <c r="AC17" s="93"/>
      <c r="AD17" s="94" t="str">
        <f t="shared" si="10"/>
        <v/>
      </c>
      <c r="AE17" s="94" t="str">
        <f t="shared" si="11"/>
        <v/>
      </c>
      <c r="AF17" s="272">
        <v>92</v>
      </c>
      <c r="AG17" s="94">
        <f t="shared" si="12"/>
        <v>0.56050840768917354</v>
      </c>
      <c r="AH17" s="94">
        <f t="shared" si="13"/>
        <v>1</v>
      </c>
      <c r="AI17" s="95"/>
      <c r="AJ17" s="94" t="str">
        <f t="shared" si="14"/>
        <v/>
      </c>
      <c r="AK17" s="94" t="str">
        <f t="shared" si="15"/>
        <v/>
      </c>
      <c r="AL17" s="93"/>
      <c r="AM17" s="94" t="str">
        <f t="shared" si="16"/>
        <v/>
      </c>
      <c r="AN17" s="94" t="str">
        <f t="shared" si="17"/>
        <v/>
      </c>
      <c r="AO17" s="93"/>
      <c r="AP17" s="94" t="str">
        <f t="shared" si="18"/>
        <v/>
      </c>
      <c r="AQ17" s="94" t="str">
        <f t="shared" si="19"/>
        <v/>
      </c>
      <c r="AR17" s="93"/>
      <c r="AS17" s="94" t="str">
        <f t="shared" si="20"/>
        <v/>
      </c>
      <c r="AT17" s="94" t="str">
        <f t="shared" si="21"/>
        <v/>
      </c>
      <c r="AU17" s="93"/>
      <c r="AV17" s="94" t="str">
        <f t="shared" si="22"/>
        <v/>
      </c>
      <c r="AW17" s="94" t="str">
        <f t="shared" si="23"/>
        <v/>
      </c>
      <c r="AX17" s="93"/>
      <c r="AY17" s="94" t="str">
        <f t="shared" si="24"/>
        <v/>
      </c>
      <c r="AZ17" s="94" t="str">
        <f t="shared" si="25"/>
        <v/>
      </c>
      <c r="BA17" s="93"/>
      <c r="BB17" s="94" t="str">
        <f t="shared" si="26"/>
        <v/>
      </c>
      <c r="BC17" s="94" t="str">
        <f t="shared" si="27"/>
        <v/>
      </c>
      <c r="BD17" s="93"/>
      <c r="BE17" s="94" t="str">
        <f t="shared" si="28"/>
        <v/>
      </c>
      <c r="BF17" s="94" t="str">
        <f t="shared" si="29"/>
        <v/>
      </c>
      <c r="BG17" s="93"/>
      <c r="BH17" s="94" t="str">
        <f t="shared" si="30"/>
        <v/>
      </c>
      <c r="BI17" s="94" t="str">
        <f t="shared" si="31"/>
        <v/>
      </c>
      <c r="BJ17" s="93"/>
      <c r="BK17" s="94" t="str">
        <f t="shared" si="32"/>
        <v/>
      </c>
      <c r="BL17" s="94" t="str">
        <f t="shared" si="33"/>
        <v/>
      </c>
      <c r="BM17" s="95"/>
      <c r="BN17" s="94" t="str">
        <f t="shared" si="34"/>
        <v/>
      </c>
      <c r="BO17" s="94" t="str">
        <f t="shared" si="35"/>
        <v/>
      </c>
      <c r="BP17" s="66"/>
      <c r="BQ17" s="94" t="str">
        <f t="shared" si="36"/>
        <v/>
      </c>
      <c r="BR17" s="94" t="str">
        <f t="shared" si="37"/>
        <v/>
      </c>
      <c r="BS17" s="93"/>
      <c r="BT17" s="94" t="str">
        <f t="shared" si="38"/>
        <v/>
      </c>
      <c r="BU17" s="94" t="str">
        <f t="shared" si="39"/>
        <v/>
      </c>
      <c r="BV17" s="93">
        <v>87</v>
      </c>
      <c r="BW17" s="94">
        <f t="shared" si="40"/>
        <v>0.28520684997654971</v>
      </c>
      <c r="BX17" s="94">
        <f t="shared" si="41"/>
        <v>0.5</v>
      </c>
      <c r="BY17" s="93">
        <v>89</v>
      </c>
      <c r="BZ17" s="94">
        <f t="shared" si="42"/>
        <v>1.0412763218016357</v>
      </c>
      <c r="CA17" s="94">
        <f t="shared" si="43"/>
        <v>1</v>
      </c>
      <c r="CB17" s="93"/>
      <c r="CC17" s="94" t="str">
        <f t="shared" si="44"/>
        <v/>
      </c>
      <c r="CD17" s="94" t="str">
        <f t="shared" si="45"/>
        <v/>
      </c>
      <c r="CE17" s="93"/>
      <c r="CF17" s="94" t="str">
        <f t="shared" si="46"/>
        <v/>
      </c>
      <c r="CG17" s="94" t="str">
        <f t="shared" si="47"/>
        <v/>
      </c>
      <c r="CH17" s="93"/>
      <c r="CI17" s="94" t="str">
        <f t="shared" si="48"/>
        <v/>
      </c>
      <c r="CJ17" s="94" t="str">
        <f t="shared" si="49"/>
        <v/>
      </c>
      <c r="CK17" s="93"/>
      <c r="CL17" s="94" t="str">
        <f t="shared" si="50"/>
        <v/>
      </c>
      <c r="CM17" s="94" t="str">
        <f t="shared" si="51"/>
        <v/>
      </c>
      <c r="CN17" s="93"/>
      <c r="CO17" s="94" t="str">
        <f t="shared" si="52"/>
        <v/>
      </c>
      <c r="CP17" s="94" t="str">
        <f t="shared" si="53"/>
        <v/>
      </c>
      <c r="CQ17" s="93"/>
      <c r="CR17" s="94" t="str">
        <f t="shared" si="54"/>
        <v/>
      </c>
      <c r="CS17" s="94" t="str">
        <f t="shared" si="55"/>
        <v/>
      </c>
      <c r="CT17" s="93"/>
      <c r="CU17" s="94" t="str">
        <f t="shared" si="56"/>
        <v/>
      </c>
      <c r="CV17" s="94" t="str">
        <f t="shared" si="57"/>
        <v/>
      </c>
      <c r="CW17" s="93"/>
      <c r="CX17" s="94" t="str">
        <f t="shared" si="58"/>
        <v/>
      </c>
      <c r="CY17" s="94" t="str">
        <f t="shared" si="59"/>
        <v/>
      </c>
      <c r="CZ17" s="93"/>
      <c r="DA17" s="94" t="str">
        <f t="shared" si="60"/>
        <v/>
      </c>
      <c r="DB17" s="94" t="str">
        <f t="shared" si="61"/>
        <v/>
      </c>
      <c r="DC17" s="93"/>
      <c r="DD17" s="94" t="str">
        <f t="shared" si="62"/>
        <v/>
      </c>
      <c r="DE17" s="94" t="str">
        <f t="shared" si="63"/>
        <v/>
      </c>
      <c r="DF17" s="93"/>
      <c r="DG17" s="94"/>
      <c r="DH17" s="94" t="str">
        <f t="shared" si="64"/>
        <v/>
      </c>
      <c r="DI17" s="93"/>
      <c r="DJ17" s="94" t="str">
        <f t="shared" si="65"/>
        <v/>
      </c>
      <c r="DK17" s="94" t="str">
        <f t="shared" si="66"/>
        <v/>
      </c>
      <c r="DL17" s="93"/>
      <c r="DM17" s="94" t="str">
        <f t="shared" si="67"/>
        <v/>
      </c>
      <c r="DN17" s="94" t="str">
        <f t="shared" si="68"/>
        <v/>
      </c>
      <c r="DO17" s="93"/>
      <c r="DP17" s="94" t="str">
        <f t="shared" si="69"/>
        <v/>
      </c>
      <c r="DQ17" s="94" t="str">
        <f t="shared" si="70"/>
        <v/>
      </c>
      <c r="DR17" s="95"/>
      <c r="DS17" s="94" t="str">
        <f t="shared" si="71"/>
        <v/>
      </c>
      <c r="DT17" s="94" t="str">
        <f t="shared" si="72"/>
        <v/>
      </c>
      <c r="DU17" s="96"/>
      <c r="DV17" s="94" t="str">
        <f t="shared" si="73"/>
        <v/>
      </c>
      <c r="DW17" s="94" t="str">
        <f t="shared" si="74"/>
        <v/>
      </c>
      <c r="DX17" s="96"/>
      <c r="DY17" s="94" t="str">
        <f t="shared" si="75"/>
        <v/>
      </c>
      <c r="DZ17" s="94" t="str">
        <f t="shared" si="76"/>
        <v/>
      </c>
      <c r="EA17" s="93"/>
      <c r="EB17" s="94" t="str">
        <f t="shared" si="77"/>
        <v/>
      </c>
      <c r="EC17" s="94" t="str">
        <f t="shared" si="78"/>
        <v/>
      </c>
      <c r="ED17" s="93"/>
      <c r="EE17" s="94" t="str">
        <f t="shared" si="79"/>
        <v/>
      </c>
      <c r="EF17" s="94" t="str">
        <f t="shared" si="80"/>
        <v/>
      </c>
      <c r="EG17" s="93"/>
      <c r="EH17" s="94" t="str">
        <f t="shared" si="81"/>
        <v/>
      </c>
      <c r="EI17" s="94" t="str">
        <f t="shared" si="82"/>
        <v/>
      </c>
      <c r="EJ17" s="93"/>
      <c r="EK17" s="94" t="str">
        <f t="shared" si="83"/>
        <v/>
      </c>
      <c r="EL17" s="94" t="str">
        <f t="shared" si="84"/>
        <v/>
      </c>
      <c r="EM17" s="93"/>
      <c r="EN17" s="94" t="str">
        <f t="shared" si="85"/>
        <v/>
      </c>
      <c r="EO17" s="94" t="str">
        <f t="shared" si="86"/>
        <v/>
      </c>
      <c r="EP17" s="93"/>
      <c r="EQ17" s="94" t="str">
        <f t="shared" si="87"/>
        <v/>
      </c>
      <c r="ER17" s="94" t="str">
        <f t="shared" si="88"/>
        <v/>
      </c>
      <c r="ES17" s="95"/>
      <c r="ET17" s="94" t="str">
        <f t="shared" si="89"/>
        <v/>
      </c>
      <c r="EU17" s="94" t="str">
        <f t="shared" si="90"/>
        <v/>
      </c>
      <c r="EV17" s="93"/>
      <c r="EW17" s="94" t="str">
        <f t="shared" si="91"/>
        <v/>
      </c>
      <c r="EX17" s="94" t="str">
        <f t="shared" si="92"/>
        <v/>
      </c>
      <c r="EY17" s="93"/>
      <c r="EZ17" s="94" t="str">
        <f t="shared" si="93"/>
        <v/>
      </c>
      <c r="FA17" s="94" t="str">
        <f t="shared" si="94"/>
        <v/>
      </c>
      <c r="FB17" s="93"/>
      <c r="FC17" s="94" t="str">
        <f t="shared" si="95"/>
        <v/>
      </c>
      <c r="FD17" s="94" t="str">
        <f t="shared" si="96"/>
        <v/>
      </c>
      <c r="FE17" s="93" t="s">
        <v>87</v>
      </c>
      <c r="FF17" s="94" t="str">
        <f t="shared" si="97"/>
        <v/>
      </c>
      <c r="FG17" s="94" t="str">
        <f t="shared" si="98"/>
        <v/>
      </c>
      <c r="FH17" s="93"/>
      <c r="FI17" s="94" t="str">
        <f t="shared" si="99"/>
        <v/>
      </c>
      <c r="FJ17" s="94" t="str">
        <f t="shared" si="100"/>
        <v/>
      </c>
      <c r="FK17" s="93"/>
      <c r="FL17" s="94" t="str">
        <f t="shared" si="101"/>
        <v/>
      </c>
      <c r="FM17" s="94" t="str">
        <f t="shared" si="102"/>
        <v/>
      </c>
      <c r="FN17" s="93">
        <v>86</v>
      </c>
      <c r="FO17" s="94">
        <f t="shared" si="103"/>
        <v>-0.78305405477183487</v>
      </c>
      <c r="FP17" s="94">
        <f t="shared" si="104"/>
        <v>0.25</v>
      </c>
      <c r="FQ17" s="93"/>
      <c r="FR17" s="94" t="str">
        <f t="shared" si="105"/>
        <v/>
      </c>
      <c r="FS17" s="94" t="str">
        <f t="shared" si="106"/>
        <v/>
      </c>
      <c r="FT17" s="93"/>
      <c r="FU17" s="94" t="str">
        <f t="shared" si="107"/>
        <v/>
      </c>
      <c r="FV17" s="94" t="str">
        <f t="shared" si="108"/>
        <v/>
      </c>
      <c r="FW17" s="96"/>
      <c r="FX17" s="94" t="str">
        <f t="shared" si="109"/>
        <v/>
      </c>
      <c r="FY17" s="94" t="str">
        <f t="shared" si="110"/>
        <v/>
      </c>
      <c r="FZ17" s="93"/>
      <c r="GA17" s="94" t="str">
        <f t="shared" si="111"/>
        <v/>
      </c>
      <c r="GB17" s="94" t="str">
        <f t="shared" si="112"/>
        <v/>
      </c>
      <c r="GC17" s="95"/>
      <c r="GD17" s="94" t="str">
        <f t="shared" si="113"/>
        <v/>
      </c>
      <c r="GE17" s="94" t="str">
        <f t="shared" si="114"/>
        <v/>
      </c>
      <c r="GF17" s="96"/>
      <c r="GG17" s="94" t="str">
        <f t="shared" si="115"/>
        <v/>
      </c>
      <c r="GH17" s="94" t="str">
        <f t="shared" si="116"/>
        <v/>
      </c>
      <c r="GI17" s="93"/>
      <c r="GJ17" s="94" t="str">
        <f t="shared" si="117"/>
        <v/>
      </c>
      <c r="GK17" s="94" t="str">
        <f t="shared" si="118"/>
        <v/>
      </c>
      <c r="GL17" s="114">
        <v>85</v>
      </c>
      <c r="GM17" s="94">
        <f t="shared" si="119"/>
        <v>0</v>
      </c>
      <c r="GN17" s="94">
        <f t="shared" si="120"/>
        <v>0.66666666666666663</v>
      </c>
      <c r="GO17" s="93"/>
      <c r="GP17" s="94" t="str">
        <f t="shared" si="121"/>
        <v/>
      </c>
      <c r="GQ17" s="94" t="str">
        <f t="shared" si="122"/>
        <v/>
      </c>
      <c r="GR17" s="93"/>
      <c r="GS17" s="94" t="str">
        <f t="shared" si="123"/>
        <v/>
      </c>
      <c r="GT17" s="94" t="str">
        <f t="shared" si="124"/>
        <v/>
      </c>
      <c r="GU17" s="93"/>
      <c r="GV17" s="94" t="str">
        <f t="shared" si="125"/>
        <v/>
      </c>
      <c r="GW17" s="94" t="str">
        <f t="shared" si="126"/>
        <v/>
      </c>
      <c r="GX17" s="93"/>
      <c r="GY17" s="94" t="str">
        <f t="shared" si="127"/>
        <v/>
      </c>
      <c r="GZ17" s="94" t="str">
        <f t="shared" si="128"/>
        <v/>
      </c>
      <c r="HA17" s="93"/>
      <c r="HB17" s="94" t="str">
        <f t="shared" si="129"/>
        <v/>
      </c>
      <c r="HC17" s="94" t="str">
        <f t="shared" si="130"/>
        <v/>
      </c>
      <c r="HD17" s="93"/>
      <c r="HE17" s="94" t="str">
        <f t="shared" si="131"/>
        <v/>
      </c>
      <c r="HF17" s="94" t="str">
        <f t="shared" si="132"/>
        <v/>
      </c>
      <c r="HG17" s="93"/>
      <c r="HH17" s="94" t="str">
        <f t="shared" si="133"/>
        <v/>
      </c>
      <c r="HI17" s="94" t="str">
        <f t="shared" si="134"/>
        <v/>
      </c>
      <c r="HJ17" s="93"/>
      <c r="HK17" s="94" t="str">
        <f t="shared" si="135"/>
        <v/>
      </c>
      <c r="HL17" s="94" t="str">
        <f t="shared" si="136"/>
        <v/>
      </c>
      <c r="HM17" s="93"/>
      <c r="HN17" s="94" t="str">
        <f t="shared" si="137"/>
        <v/>
      </c>
      <c r="HO17" s="94" t="str">
        <f t="shared" si="138"/>
        <v/>
      </c>
      <c r="HP17" s="93"/>
      <c r="HQ17" s="94" t="str">
        <f t="shared" si="139"/>
        <v/>
      </c>
      <c r="HR17" s="94" t="str">
        <f t="shared" si="140"/>
        <v/>
      </c>
      <c r="HS17" s="93"/>
      <c r="HT17" s="94" t="str">
        <f t="shared" si="141"/>
        <v/>
      </c>
      <c r="HU17" s="94" t="str">
        <f t="shared" si="142"/>
        <v/>
      </c>
      <c r="HV17" s="93"/>
      <c r="HW17" s="94" t="str">
        <f t="shared" si="143"/>
        <v/>
      </c>
      <c r="HX17" s="94" t="str">
        <f t="shared" si="144"/>
        <v/>
      </c>
      <c r="HY17" s="93"/>
      <c r="HZ17" s="94" t="str">
        <f t="shared" si="145"/>
        <v/>
      </c>
      <c r="IA17" s="94" t="str">
        <f t="shared" si="146"/>
        <v/>
      </c>
      <c r="IB17" s="93"/>
      <c r="IC17" s="94" t="str">
        <f t="shared" si="147"/>
        <v/>
      </c>
      <c r="ID17" s="94" t="str">
        <f t="shared" si="148"/>
        <v/>
      </c>
      <c r="IE17" s="93"/>
      <c r="IF17" s="94" t="str">
        <f t="shared" si="149"/>
        <v/>
      </c>
      <c r="IG17" s="94" t="str">
        <f t="shared" si="150"/>
        <v/>
      </c>
      <c r="IH17" s="93"/>
      <c r="II17" s="94" t="str">
        <f t="shared" si="151"/>
        <v/>
      </c>
      <c r="IJ17" s="94" t="str">
        <f t="shared" si="152"/>
        <v/>
      </c>
      <c r="IK17" s="93"/>
      <c r="IL17" s="94" t="str">
        <f t="shared" si="153"/>
        <v/>
      </c>
      <c r="IM17" s="94" t="str">
        <f t="shared" si="154"/>
        <v/>
      </c>
      <c r="IN17" s="93"/>
      <c r="IO17" s="94" t="str">
        <f t="shared" si="155"/>
        <v/>
      </c>
      <c r="IP17" s="94" t="str">
        <f t="shared" si="156"/>
        <v/>
      </c>
      <c r="IQ17" s="93"/>
      <c r="IR17" s="94" t="str">
        <f t="shared" si="157"/>
        <v/>
      </c>
      <c r="IS17" s="94" t="str">
        <f t="shared" si="158"/>
        <v/>
      </c>
      <c r="IT17" s="93"/>
      <c r="IU17" s="94" t="str">
        <f t="shared" si="159"/>
        <v/>
      </c>
      <c r="IV17" s="94" t="str">
        <f t="shared" si="160"/>
        <v/>
      </c>
      <c r="IW17" s="93"/>
      <c r="IX17" s="94" t="str">
        <f t="shared" si="161"/>
        <v/>
      </c>
      <c r="IY17" s="94" t="str">
        <f t="shared" si="162"/>
        <v/>
      </c>
      <c r="IZ17" s="93"/>
      <c r="JA17" s="94" t="str">
        <f t="shared" si="163"/>
        <v/>
      </c>
      <c r="JB17" s="94" t="str">
        <f t="shared" si="164"/>
        <v/>
      </c>
      <c r="JC17" s="93"/>
      <c r="JD17" s="94" t="str">
        <f t="shared" si="165"/>
        <v/>
      </c>
      <c r="JE17" s="94" t="str">
        <f t="shared" si="166"/>
        <v/>
      </c>
      <c r="JF17" s="93"/>
      <c r="JG17" s="94" t="str">
        <f t="shared" si="167"/>
        <v/>
      </c>
      <c r="JH17" s="94" t="str">
        <f t="shared" si="168"/>
        <v/>
      </c>
      <c r="JI17" s="93"/>
      <c r="JJ17" s="94" t="str">
        <f t="shared" si="169"/>
        <v/>
      </c>
      <c r="JK17" s="94" t="str">
        <f t="shared" si="170"/>
        <v/>
      </c>
      <c r="JL17" s="93"/>
      <c r="JM17" s="94" t="str">
        <f t="shared" si="171"/>
        <v/>
      </c>
      <c r="JN17" s="94" t="str">
        <f t="shared" si="172"/>
        <v/>
      </c>
      <c r="JO17" s="93"/>
      <c r="JP17" s="94" t="str">
        <f t="shared" si="173"/>
        <v/>
      </c>
      <c r="JQ17" s="94" t="str">
        <f t="shared" si="174"/>
        <v/>
      </c>
      <c r="JR17" s="93"/>
      <c r="JS17" s="94" t="str">
        <f t="shared" si="175"/>
        <v/>
      </c>
      <c r="JT17" s="94" t="str">
        <f t="shared" si="176"/>
        <v/>
      </c>
      <c r="JU17" s="93"/>
      <c r="JV17" s="94" t="str">
        <f t="shared" si="177"/>
        <v/>
      </c>
      <c r="JW17" s="94" t="str">
        <f t="shared" si="178"/>
        <v/>
      </c>
      <c r="JX17" s="93"/>
      <c r="JY17" s="94" t="str">
        <f t="shared" si="179"/>
        <v/>
      </c>
      <c r="JZ17" s="94" t="str">
        <f t="shared" si="180"/>
        <v/>
      </c>
      <c r="KA17" s="93"/>
      <c r="KB17" s="94" t="str">
        <f t="shared" si="181"/>
        <v/>
      </c>
      <c r="KC17" s="94" t="str">
        <f t="shared" si="182"/>
        <v/>
      </c>
      <c r="KD17" s="93"/>
      <c r="KE17" s="94" t="str">
        <f t="shared" si="183"/>
        <v/>
      </c>
      <c r="KF17" s="94" t="str">
        <f t="shared" si="184"/>
        <v/>
      </c>
      <c r="KG17" s="93"/>
      <c r="KH17" s="94" t="str">
        <f t="shared" si="185"/>
        <v/>
      </c>
      <c r="KI17" s="94" t="str">
        <f t="shared" si="186"/>
        <v/>
      </c>
      <c r="KJ17" s="93"/>
      <c r="KK17" s="94" t="str">
        <f t="shared" si="187"/>
        <v/>
      </c>
      <c r="KL17" s="94" t="str">
        <f t="shared" si="188"/>
        <v/>
      </c>
      <c r="KM17" s="93"/>
      <c r="KN17" s="94" t="str">
        <f t="shared" si="189"/>
        <v/>
      </c>
      <c r="KO17" s="94" t="str">
        <f t="shared" si="190"/>
        <v/>
      </c>
      <c r="KP17" s="93"/>
      <c r="KQ17" s="94" t="str">
        <f t="shared" si="191"/>
        <v/>
      </c>
      <c r="KR17" s="94" t="str">
        <f t="shared" si="192"/>
        <v/>
      </c>
      <c r="KS17" s="93"/>
      <c r="KT17" s="94" t="str">
        <f t="shared" si="193"/>
        <v/>
      </c>
      <c r="KU17" s="94" t="str">
        <f t="shared" si="194"/>
        <v/>
      </c>
      <c r="KV17" s="93"/>
      <c r="KW17" s="94" t="str">
        <f t="shared" si="195"/>
        <v/>
      </c>
      <c r="KX17" s="94" t="str">
        <f t="shared" si="196"/>
        <v/>
      </c>
      <c r="KY17" s="96"/>
      <c r="KZ17" s="94" t="str">
        <f t="shared" si="197"/>
        <v/>
      </c>
      <c r="LA17" s="94" t="str">
        <f t="shared" si="198"/>
        <v/>
      </c>
      <c r="LB17" s="65">
        <f t="shared" si="213"/>
        <v>87.8</v>
      </c>
      <c r="LC17" s="115">
        <f t="shared" si="199"/>
        <v>23</v>
      </c>
      <c r="LD17" s="65">
        <f t="shared" si="207"/>
        <v>0.22078750493910482</v>
      </c>
      <c r="LE17" s="115">
        <f t="shared" si="200"/>
        <v>29</v>
      </c>
      <c r="LF17" s="65">
        <f t="shared" si="208"/>
        <v>0.68333333333333335</v>
      </c>
      <c r="LG17" s="115">
        <f t="shared" si="201"/>
        <v>20</v>
      </c>
      <c r="LH17" s="69">
        <f t="shared" si="202"/>
        <v>44.40789473684211</v>
      </c>
      <c r="LI17" s="69">
        <f t="shared" si="203"/>
        <v>41.909909372013367</v>
      </c>
      <c r="LJ17" s="69">
        <f t="shared" si="204"/>
        <v>42.083333333333329</v>
      </c>
      <c r="LK17" s="69">
        <f t="shared" si="205"/>
        <v>78.401137442188826</v>
      </c>
      <c r="LL17" s="71">
        <f t="shared" si="206"/>
        <v>25</v>
      </c>
      <c r="LM17" s="68"/>
      <c r="LN17" s="72">
        <f t="shared" ref="LN17:LN21" si="215">IFERROR(RANK(LK17,(LK$15:LK$21),0),"")</f>
        <v>3</v>
      </c>
      <c r="LO17" s="73">
        <f t="shared" ref="LO17:LO25" si="216">LL17</f>
        <v>25</v>
      </c>
      <c r="LP17" s="68"/>
      <c r="LQ17" s="68"/>
      <c r="LR17" s="68"/>
    </row>
    <row r="18" spans="1:334" s="74" customFormat="1" ht="15" customHeight="1">
      <c r="A18" s="65">
        <f t="shared" si="211"/>
        <v>5</v>
      </c>
      <c r="B18" s="65">
        <f t="shared" si="212"/>
        <v>5</v>
      </c>
      <c r="C18" s="117">
        <v>78</v>
      </c>
      <c r="D18" s="121" t="s">
        <v>151</v>
      </c>
      <c r="E18" s="120" t="s">
        <v>616</v>
      </c>
      <c r="F18" s="120" t="s">
        <v>683</v>
      </c>
      <c r="G18" s="120"/>
      <c r="H18" s="120" t="s">
        <v>95</v>
      </c>
      <c r="I18" s="287" t="s">
        <v>539</v>
      </c>
      <c r="J18" s="120" t="s">
        <v>152</v>
      </c>
      <c r="K18" s="120" t="s">
        <v>4</v>
      </c>
      <c r="L18" s="67" t="s">
        <v>153</v>
      </c>
      <c r="M18" s="120" t="s">
        <v>35</v>
      </c>
      <c r="N18" s="93"/>
      <c r="O18" s="94" t="str">
        <f t="shared" si="0"/>
        <v/>
      </c>
      <c r="P18" s="94" t="str">
        <f t="shared" si="1"/>
        <v/>
      </c>
      <c r="Q18" s="93"/>
      <c r="R18" s="94" t="str">
        <f t="shared" si="2"/>
        <v/>
      </c>
      <c r="S18" s="94" t="str">
        <f t="shared" si="3"/>
        <v/>
      </c>
      <c r="T18" s="93"/>
      <c r="U18" s="94" t="str">
        <f t="shared" si="4"/>
        <v/>
      </c>
      <c r="V18" s="94" t="str">
        <f t="shared" si="5"/>
        <v/>
      </c>
      <c r="W18" s="93"/>
      <c r="X18" s="94" t="str">
        <f t="shared" si="6"/>
        <v/>
      </c>
      <c r="Y18" s="94" t="str">
        <f t="shared" si="7"/>
        <v/>
      </c>
      <c r="Z18" s="93"/>
      <c r="AA18" s="94" t="str">
        <f t="shared" si="8"/>
        <v/>
      </c>
      <c r="AB18" s="94" t="str">
        <f t="shared" si="9"/>
        <v/>
      </c>
      <c r="AC18" s="93"/>
      <c r="AD18" s="94" t="str">
        <f t="shared" si="10"/>
        <v/>
      </c>
      <c r="AE18" s="94" t="str">
        <f t="shared" si="11"/>
        <v/>
      </c>
      <c r="AF18" s="272">
        <v>90</v>
      </c>
      <c r="AG18" s="94">
        <f t="shared" si="12"/>
        <v>0.46550698265711016</v>
      </c>
      <c r="AH18" s="94">
        <f t="shared" si="13"/>
        <v>0.5</v>
      </c>
      <c r="AI18" s="93"/>
      <c r="AJ18" s="94" t="str">
        <f t="shared" si="14"/>
        <v/>
      </c>
      <c r="AK18" s="94" t="str">
        <f t="shared" si="15"/>
        <v/>
      </c>
      <c r="AL18" s="95"/>
      <c r="AM18" s="94" t="str">
        <f t="shared" si="16"/>
        <v/>
      </c>
      <c r="AN18" s="94" t="str">
        <f t="shared" si="17"/>
        <v/>
      </c>
      <c r="AO18" s="93"/>
      <c r="AP18" s="94" t="str">
        <f t="shared" si="18"/>
        <v/>
      </c>
      <c r="AQ18" s="94" t="str">
        <f t="shared" si="19"/>
        <v/>
      </c>
      <c r="AR18" s="96"/>
      <c r="AS18" s="94" t="str">
        <f t="shared" si="20"/>
        <v/>
      </c>
      <c r="AT18" s="94" t="str">
        <f t="shared" si="21"/>
        <v/>
      </c>
      <c r="AU18" s="93"/>
      <c r="AV18" s="94" t="str">
        <f t="shared" si="22"/>
        <v/>
      </c>
      <c r="AW18" s="94" t="str">
        <f t="shared" si="23"/>
        <v/>
      </c>
      <c r="AX18" s="93"/>
      <c r="AY18" s="94" t="str">
        <f t="shared" si="24"/>
        <v/>
      </c>
      <c r="AZ18" s="94" t="str">
        <f t="shared" si="25"/>
        <v/>
      </c>
      <c r="BA18" s="93"/>
      <c r="BB18" s="94" t="str">
        <f t="shared" si="26"/>
        <v/>
      </c>
      <c r="BC18" s="94" t="str">
        <f t="shared" si="27"/>
        <v/>
      </c>
      <c r="BD18" s="93"/>
      <c r="BE18" s="94" t="str">
        <f t="shared" si="28"/>
        <v/>
      </c>
      <c r="BF18" s="94" t="str">
        <f t="shared" si="29"/>
        <v/>
      </c>
      <c r="BG18" s="93"/>
      <c r="BH18" s="94" t="str">
        <f t="shared" si="30"/>
        <v/>
      </c>
      <c r="BI18" s="94" t="str">
        <f t="shared" si="31"/>
        <v/>
      </c>
      <c r="BJ18" s="93"/>
      <c r="BK18" s="94" t="str">
        <f t="shared" si="32"/>
        <v/>
      </c>
      <c r="BL18" s="94" t="str">
        <f t="shared" si="33"/>
        <v/>
      </c>
      <c r="BM18" s="93"/>
      <c r="BN18" s="94" t="str">
        <f t="shared" si="34"/>
        <v/>
      </c>
      <c r="BO18" s="94" t="str">
        <f t="shared" si="35"/>
        <v/>
      </c>
      <c r="BP18" s="66"/>
      <c r="BQ18" s="94" t="str">
        <f t="shared" si="36"/>
        <v/>
      </c>
      <c r="BR18" s="94" t="str">
        <f t="shared" si="37"/>
        <v/>
      </c>
      <c r="BS18" s="93"/>
      <c r="BT18" s="94" t="str">
        <f t="shared" si="38"/>
        <v/>
      </c>
      <c r="BU18" s="94" t="str">
        <f t="shared" si="39"/>
        <v/>
      </c>
      <c r="BV18" s="93"/>
      <c r="BW18" s="94" t="str">
        <f t="shared" si="40"/>
        <v/>
      </c>
      <c r="BX18" s="94" t="str">
        <f t="shared" si="41"/>
        <v/>
      </c>
      <c r="BY18" s="93">
        <v>79</v>
      </c>
      <c r="BZ18" s="94">
        <f t="shared" si="42"/>
        <v>0.25243062346706335</v>
      </c>
      <c r="CA18" s="94">
        <f t="shared" si="43"/>
        <v>0.5</v>
      </c>
      <c r="CB18" s="95"/>
      <c r="CC18" s="94" t="str">
        <f t="shared" si="44"/>
        <v/>
      </c>
      <c r="CD18" s="94" t="str">
        <f t="shared" si="45"/>
        <v/>
      </c>
      <c r="CE18" s="93"/>
      <c r="CF18" s="94" t="str">
        <f t="shared" si="46"/>
        <v/>
      </c>
      <c r="CG18" s="94" t="str">
        <f t="shared" si="47"/>
        <v/>
      </c>
      <c r="CH18" s="93"/>
      <c r="CI18" s="94" t="str">
        <f t="shared" si="48"/>
        <v/>
      </c>
      <c r="CJ18" s="94" t="str">
        <f t="shared" si="49"/>
        <v/>
      </c>
      <c r="CK18" s="93"/>
      <c r="CL18" s="94" t="str">
        <f t="shared" si="50"/>
        <v/>
      </c>
      <c r="CM18" s="94" t="str">
        <f t="shared" si="51"/>
        <v/>
      </c>
      <c r="CN18" s="93"/>
      <c r="CO18" s="94" t="str">
        <f t="shared" si="52"/>
        <v/>
      </c>
      <c r="CP18" s="94" t="str">
        <f t="shared" si="53"/>
        <v/>
      </c>
      <c r="CQ18" s="93"/>
      <c r="CR18" s="94" t="str">
        <f t="shared" si="54"/>
        <v/>
      </c>
      <c r="CS18" s="94" t="str">
        <f t="shared" si="55"/>
        <v/>
      </c>
      <c r="CT18" s="93"/>
      <c r="CU18" s="94" t="str">
        <f t="shared" si="56"/>
        <v/>
      </c>
      <c r="CV18" s="94" t="str">
        <f t="shared" si="57"/>
        <v/>
      </c>
      <c r="CW18" s="93"/>
      <c r="CX18" s="94" t="str">
        <f t="shared" si="58"/>
        <v/>
      </c>
      <c r="CY18" s="94" t="str">
        <f t="shared" si="59"/>
        <v/>
      </c>
      <c r="CZ18" s="93"/>
      <c r="DA18" s="94" t="str">
        <f t="shared" si="60"/>
        <v/>
      </c>
      <c r="DB18" s="94" t="str">
        <f t="shared" si="61"/>
        <v/>
      </c>
      <c r="DC18" s="93"/>
      <c r="DD18" s="94" t="str">
        <f t="shared" si="62"/>
        <v/>
      </c>
      <c r="DE18" s="94" t="str">
        <f t="shared" si="63"/>
        <v/>
      </c>
      <c r="DF18" s="93"/>
      <c r="DG18" s="94"/>
      <c r="DH18" s="94" t="str">
        <f t="shared" si="64"/>
        <v/>
      </c>
      <c r="DI18" s="93"/>
      <c r="DJ18" s="94" t="str">
        <f t="shared" si="65"/>
        <v/>
      </c>
      <c r="DK18" s="94" t="str">
        <f t="shared" si="66"/>
        <v/>
      </c>
      <c r="DL18" s="93"/>
      <c r="DM18" s="94" t="str">
        <f t="shared" si="67"/>
        <v/>
      </c>
      <c r="DN18" s="94" t="str">
        <f t="shared" si="68"/>
        <v/>
      </c>
      <c r="DO18" s="93"/>
      <c r="DP18" s="94" t="str">
        <f t="shared" si="69"/>
        <v/>
      </c>
      <c r="DQ18" s="94" t="str">
        <f t="shared" si="70"/>
        <v/>
      </c>
      <c r="DR18" s="95"/>
      <c r="DS18" s="94" t="str">
        <f t="shared" si="71"/>
        <v/>
      </c>
      <c r="DT18" s="94" t="str">
        <f t="shared" si="72"/>
        <v/>
      </c>
      <c r="DU18" s="96"/>
      <c r="DV18" s="94" t="str">
        <f t="shared" si="73"/>
        <v/>
      </c>
      <c r="DW18" s="94" t="str">
        <f t="shared" si="74"/>
        <v/>
      </c>
      <c r="DX18" s="93"/>
      <c r="DY18" s="94" t="str">
        <f t="shared" si="75"/>
        <v/>
      </c>
      <c r="DZ18" s="94" t="str">
        <f t="shared" si="76"/>
        <v/>
      </c>
      <c r="EA18" s="93"/>
      <c r="EB18" s="94" t="str">
        <f t="shared" si="77"/>
        <v/>
      </c>
      <c r="EC18" s="94" t="str">
        <f t="shared" si="78"/>
        <v/>
      </c>
      <c r="ED18" s="93"/>
      <c r="EE18" s="94" t="str">
        <f t="shared" si="79"/>
        <v/>
      </c>
      <c r="EF18" s="94" t="str">
        <f t="shared" si="80"/>
        <v/>
      </c>
      <c r="EG18" s="93"/>
      <c r="EH18" s="94" t="str">
        <f t="shared" si="81"/>
        <v/>
      </c>
      <c r="EI18" s="94" t="str">
        <f t="shared" si="82"/>
        <v/>
      </c>
      <c r="EJ18" s="93"/>
      <c r="EK18" s="94" t="str">
        <f t="shared" si="83"/>
        <v/>
      </c>
      <c r="EL18" s="94" t="str">
        <f t="shared" si="84"/>
        <v/>
      </c>
      <c r="EM18" s="93">
        <v>85</v>
      </c>
      <c r="EN18" s="94">
        <f t="shared" si="85"/>
        <v>0.37049696755784894</v>
      </c>
      <c r="EO18" s="94">
        <f t="shared" si="86"/>
        <v>0.5</v>
      </c>
      <c r="EP18" s="93"/>
      <c r="EQ18" s="94" t="str">
        <f t="shared" si="87"/>
        <v/>
      </c>
      <c r="ER18" s="94" t="str">
        <f t="shared" si="88"/>
        <v/>
      </c>
      <c r="ES18" s="66"/>
      <c r="ET18" s="94" t="str">
        <f t="shared" si="89"/>
        <v/>
      </c>
      <c r="EU18" s="94" t="str">
        <f t="shared" si="90"/>
        <v/>
      </c>
      <c r="EV18" s="95"/>
      <c r="EW18" s="94" t="str">
        <f t="shared" si="91"/>
        <v/>
      </c>
      <c r="EX18" s="94" t="str">
        <f t="shared" si="92"/>
        <v/>
      </c>
      <c r="EY18" s="93"/>
      <c r="EZ18" s="94" t="str">
        <f t="shared" si="93"/>
        <v/>
      </c>
      <c r="FA18" s="94" t="str">
        <f t="shared" si="94"/>
        <v/>
      </c>
      <c r="FB18" s="93"/>
      <c r="FC18" s="94" t="str">
        <f t="shared" si="95"/>
        <v/>
      </c>
      <c r="FD18" s="94" t="str">
        <f t="shared" si="96"/>
        <v/>
      </c>
      <c r="FE18" s="93"/>
      <c r="FF18" s="94" t="str">
        <f t="shared" si="97"/>
        <v/>
      </c>
      <c r="FG18" s="94" t="str">
        <f t="shared" si="98"/>
        <v/>
      </c>
      <c r="FH18" s="93"/>
      <c r="FI18" s="94" t="str">
        <f t="shared" si="99"/>
        <v/>
      </c>
      <c r="FJ18" s="94" t="str">
        <f t="shared" si="100"/>
        <v/>
      </c>
      <c r="FK18" s="93"/>
      <c r="FL18" s="94" t="str">
        <f t="shared" si="101"/>
        <v/>
      </c>
      <c r="FM18" s="94" t="str">
        <f t="shared" si="102"/>
        <v/>
      </c>
      <c r="FN18" s="93">
        <v>88</v>
      </c>
      <c r="FO18" s="94">
        <f t="shared" si="103"/>
        <v>-0.29364527053943851</v>
      </c>
      <c r="FP18" s="94">
        <f t="shared" si="104"/>
        <v>0.5</v>
      </c>
      <c r="FQ18" s="93"/>
      <c r="FR18" s="94" t="str">
        <f t="shared" si="105"/>
        <v/>
      </c>
      <c r="FS18" s="94" t="str">
        <f t="shared" si="106"/>
        <v/>
      </c>
      <c r="FT18" s="93"/>
      <c r="FU18" s="94" t="str">
        <f t="shared" si="107"/>
        <v/>
      </c>
      <c r="FV18" s="94" t="str">
        <f t="shared" si="108"/>
        <v/>
      </c>
      <c r="FW18" s="96"/>
      <c r="FX18" s="94" t="str">
        <f t="shared" si="109"/>
        <v/>
      </c>
      <c r="FY18" s="94" t="str">
        <f t="shared" si="110"/>
        <v/>
      </c>
      <c r="FZ18" s="93"/>
      <c r="GA18" s="94" t="str">
        <f t="shared" si="111"/>
        <v/>
      </c>
      <c r="GB18" s="94" t="str">
        <f t="shared" si="112"/>
        <v/>
      </c>
      <c r="GC18" s="95"/>
      <c r="GD18" s="94" t="str">
        <f t="shared" si="113"/>
        <v/>
      </c>
      <c r="GE18" s="94" t="str">
        <f t="shared" si="114"/>
        <v/>
      </c>
      <c r="GF18" s="96"/>
      <c r="GG18" s="94" t="str">
        <f t="shared" si="115"/>
        <v/>
      </c>
      <c r="GH18" s="94" t="str">
        <f t="shared" si="116"/>
        <v/>
      </c>
      <c r="GI18" s="93"/>
      <c r="GJ18" s="94" t="str">
        <f t="shared" si="117"/>
        <v/>
      </c>
      <c r="GK18" s="94" t="str">
        <f t="shared" si="118"/>
        <v/>
      </c>
      <c r="GL18" s="93"/>
      <c r="GM18" s="94" t="str">
        <f t="shared" si="119"/>
        <v/>
      </c>
      <c r="GN18" s="94" t="str">
        <f t="shared" si="120"/>
        <v/>
      </c>
      <c r="GO18" s="93"/>
      <c r="GP18" s="94" t="str">
        <f t="shared" si="121"/>
        <v/>
      </c>
      <c r="GQ18" s="94" t="str">
        <f t="shared" si="122"/>
        <v/>
      </c>
      <c r="GR18" s="93"/>
      <c r="GS18" s="94" t="str">
        <f t="shared" si="123"/>
        <v/>
      </c>
      <c r="GT18" s="94" t="str">
        <f t="shared" si="124"/>
        <v/>
      </c>
      <c r="GU18" s="93"/>
      <c r="GV18" s="94" t="str">
        <f t="shared" si="125"/>
        <v/>
      </c>
      <c r="GW18" s="94" t="str">
        <f t="shared" si="126"/>
        <v/>
      </c>
      <c r="GX18" s="93"/>
      <c r="GY18" s="94" t="str">
        <f t="shared" si="127"/>
        <v/>
      </c>
      <c r="GZ18" s="94" t="str">
        <f t="shared" si="128"/>
        <v/>
      </c>
      <c r="HA18" s="93"/>
      <c r="HB18" s="94" t="str">
        <f t="shared" si="129"/>
        <v/>
      </c>
      <c r="HC18" s="94" t="str">
        <f t="shared" si="130"/>
        <v/>
      </c>
      <c r="HD18" s="93">
        <v>87</v>
      </c>
      <c r="HE18" s="94">
        <f t="shared" si="131"/>
        <v>0.78687105491259179</v>
      </c>
      <c r="HF18" s="94">
        <f t="shared" si="132"/>
        <v>0.75</v>
      </c>
      <c r="HG18" s="93"/>
      <c r="HH18" s="94" t="str">
        <f t="shared" si="133"/>
        <v/>
      </c>
      <c r="HI18" s="94" t="str">
        <f t="shared" si="134"/>
        <v/>
      </c>
      <c r="HJ18" s="93"/>
      <c r="HK18" s="94" t="str">
        <f t="shared" si="135"/>
        <v/>
      </c>
      <c r="HL18" s="94" t="str">
        <f t="shared" si="136"/>
        <v/>
      </c>
      <c r="HM18" s="93"/>
      <c r="HN18" s="94" t="str">
        <f t="shared" si="137"/>
        <v/>
      </c>
      <c r="HO18" s="94" t="str">
        <f t="shared" si="138"/>
        <v/>
      </c>
      <c r="HP18" s="93"/>
      <c r="HQ18" s="94" t="str">
        <f t="shared" si="139"/>
        <v/>
      </c>
      <c r="HR18" s="94" t="str">
        <f t="shared" si="140"/>
        <v/>
      </c>
      <c r="HS18" s="93"/>
      <c r="HT18" s="94" t="str">
        <f t="shared" si="141"/>
        <v/>
      </c>
      <c r="HU18" s="94" t="str">
        <f t="shared" si="142"/>
        <v/>
      </c>
      <c r="HV18" s="93"/>
      <c r="HW18" s="94" t="str">
        <f t="shared" si="143"/>
        <v/>
      </c>
      <c r="HX18" s="94" t="str">
        <f t="shared" si="144"/>
        <v/>
      </c>
      <c r="HY18" s="93"/>
      <c r="HZ18" s="94" t="str">
        <f t="shared" si="145"/>
        <v/>
      </c>
      <c r="IA18" s="94" t="str">
        <f t="shared" si="146"/>
        <v/>
      </c>
      <c r="IB18" s="93"/>
      <c r="IC18" s="94" t="str">
        <f t="shared" si="147"/>
        <v/>
      </c>
      <c r="ID18" s="94" t="str">
        <f t="shared" si="148"/>
        <v/>
      </c>
      <c r="IE18" s="93"/>
      <c r="IF18" s="94" t="str">
        <f t="shared" si="149"/>
        <v/>
      </c>
      <c r="IG18" s="94" t="str">
        <f t="shared" si="150"/>
        <v/>
      </c>
      <c r="IH18" s="93"/>
      <c r="II18" s="94" t="str">
        <f t="shared" si="151"/>
        <v/>
      </c>
      <c r="IJ18" s="94" t="str">
        <f t="shared" si="152"/>
        <v/>
      </c>
      <c r="IK18" s="93"/>
      <c r="IL18" s="94" t="str">
        <f t="shared" si="153"/>
        <v/>
      </c>
      <c r="IM18" s="94" t="str">
        <f t="shared" si="154"/>
        <v/>
      </c>
      <c r="IN18" s="93"/>
      <c r="IO18" s="94" t="str">
        <f t="shared" si="155"/>
        <v/>
      </c>
      <c r="IP18" s="94" t="str">
        <f t="shared" si="156"/>
        <v/>
      </c>
      <c r="IQ18" s="93"/>
      <c r="IR18" s="94" t="str">
        <f t="shared" si="157"/>
        <v/>
      </c>
      <c r="IS18" s="94" t="str">
        <f t="shared" si="158"/>
        <v/>
      </c>
      <c r="IT18" s="93"/>
      <c r="IU18" s="94" t="str">
        <f t="shared" si="159"/>
        <v/>
      </c>
      <c r="IV18" s="94" t="str">
        <f t="shared" si="160"/>
        <v/>
      </c>
      <c r="IW18" s="93"/>
      <c r="IX18" s="94" t="str">
        <f t="shared" si="161"/>
        <v/>
      </c>
      <c r="IY18" s="94" t="str">
        <f t="shared" si="162"/>
        <v/>
      </c>
      <c r="IZ18" s="93"/>
      <c r="JA18" s="94" t="str">
        <f t="shared" si="163"/>
        <v/>
      </c>
      <c r="JB18" s="94" t="str">
        <f t="shared" si="164"/>
        <v/>
      </c>
      <c r="JC18" s="93"/>
      <c r="JD18" s="94" t="str">
        <f t="shared" si="165"/>
        <v/>
      </c>
      <c r="JE18" s="94" t="str">
        <f t="shared" si="166"/>
        <v/>
      </c>
      <c r="JF18" s="93"/>
      <c r="JG18" s="94" t="str">
        <f t="shared" si="167"/>
        <v/>
      </c>
      <c r="JH18" s="94" t="str">
        <f t="shared" si="168"/>
        <v/>
      </c>
      <c r="JI18" s="93"/>
      <c r="JJ18" s="94" t="str">
        <f t="shared" si="169"/>
        <v/>
      </c>
      <c r="JK18" s="94" t="str">
        <f t="shared" si="170"/>
        <v/>
      </c>
      <c r="JL18" s="93"/>
      <c r="JM18" s="94" t="str">
        <f t="shared" si="171"/>
        <v/>
      </c>
      <c r="JN18" s="94" t="str">
        <f t="shared" si="172"/>
        <v/>
      </c>
      <c r="JO18" s="93"/>
      <c r="JP18" s="94" t="str">
        <f t="shared" si="173"/>
        <v/>
      </c>
      <c r="JQ18" s="94" t="str">
        <f t="shared" si="174"/>
        <v/>
      </c>
      <c r="JR18" s="93"/>
      <c r="JS18" s="94" t="str">
        <f t="shared" si="175"/>
        <v/>
      </c>
      <c r="JT18" s="94" t="str">
        <f t="shared" si="176"/>
        <v/>
      </c>
      <c r="JU18" s="93"/>
      <c r="JV18" s="94" t="str">
        <f t="shared" si="177"/>
        <v/>
      </c>
      <c r="JW18" s="94" t="str">
        <f t="shared" si="178"/>
        <v/>
      </c>
      <c r="JX18" s="93"/>
      <c r="JY18" s="94" t="str">
        <f t="shared" si="179"/>
        <v/>
      </c>
      <c r="JZ18" s="94" t="str">
        <f t="shared" si="180"/>
        <v/>
      </c>
      <c r="KA18" s="93"/>
      <c r="KB18" s="94" t="str">
        <f t="shared" si="181"/>
        <v/>
      </c>
      <c r="KC18" s="94" t="str">
        <f t="shared" si="182"/>
        <v/>
      </c>
      <c r="KD18" s="93"/>
      <c r="KE18" s="94" t="str">
        <f t="shared" si="183"/>
        <v/>
      </c>
      <c r="KF18" s="94" t="str">
        <f t="shared" si="184"/>
        <v/>
      </c>
      <c r="KG18" s="93"/>
      <c r="KH18" s="94" t="str">
        <f t="shared" si="185"/>
        <v/>
      </c>
      <c r="KI18" s="94" t="str">
        <f t="shared" si="186"/>
        <v/>
      </c>
      <c r="KJ18" s="93"/>
      <c r="KK18" s="94" t="str">
        <f t="shared" si="187"/>
        <v/>
      </c>
      <c r="KL18" s="94" t="str">
        <f t="shared" si="188"/>
        <v/>
      </c>
      <c r="KM18" s="93"/>
      <c r="KN18" s="94" t="str">
        <f t="shared" si="189"/>
        <v/>
      </c>
      <c r="KO18" s="94" t="str">
        <f t="shared" si="190"/>
        <v/>
      </c>
      <c r="KP18" s="93"/>
      <c r="KQ18" s="94" t="str">
        <f t="shared" si="191"/>
        <v/>
      </c>
      <c r="KR18" s="94" t="str">
        <f t="shared" si="192"/>
        <v/>
      </c>
      <c r="KS18" s="93"/>
      <c r="KT18" s="94" t="str">
        <f t="shared" si="193"/>
        <v/>
      </c>
      <c r="KU18" s="94" t="str">
        <f t="shared" si="194"/>
        <v/>
      </c>
      <c r="KV18" s="93"/>
      <c r="KW18" s="94" t="str">
        <f t="shared" si="195"/>
        <v/>
      </c>
      <c r="KX18" s="94" t="str">
        <f t="shared" si="196"/>
        <v/>
      </c>
      <c r="KY18" s="96"/>
      <c r="KZ18" s="94" t="str">
        <f t="shared" si="197"/>
        <v/>
      </c>
      <c r="LA18" s="94" t="str">
        <f t="shared" si="198"/>
        <v/>
      </c>
      <c r="LB18" s="65">
        <f t="shared" si="213"/>
        <v>85.8</v>
      </c>
      <c r="LC18" s="115">
        <f t="shared" si="199"/>
        <v>35</v>
      </c>
      <c r="LD18" s="65">
        <f t="shared" si="207"/>
        <v>0.3163320716110351</v>
      </c>
      <c r="LE18" s="115">
        <f t="shared" si="200"/>
        <v>24</v>
      </c>
      <c r="LF18" s="65">
        <f t="shared" si="208"/>
        <v>0.55000000000000004</v>
      </c>
      <c r="LG18" s="115">
        <f t="shared" si="201"/>
        <v>33</v>
      </c>
      <c r="LH18" s="69">
        <f t="shared" si="202"/>
        <v>43.311403508771932</v>
      </c>
      <c r="LI18" s="69">
        <f t="shared" si="203"/>
        <v>42.801870579795775</v>
      </c>
      <c r="LJ18" s="69">
        <f t="shared" si="204"/>
        <v>38.75</v>
      </c>
      <c r="LK18" s="69">
        <f t="shared" si="205"/>
        <v>74.863274088567707</v>
      </c>
      <c r="LL18" s="71">
        <f t="shared" si="206"/>
        <v>31</v>
      </c>
      <c r="LM18" s="68"/>
      <c r="LN18" s="72">
        <f t="shared" si="215"/>
        <v>4</v>
      </c>
      <c r="LO18" s="73">
        <f t="shared" si="216"/>
        <v>31</v>
      </c>
      <c r="LP18" s="68"/>
      <c r="LQ18" s="68"/>
      <c r="LR18" s="68"/>
    </row>
    <row r="19" spans="1:334" s="74" customFormat="1" ht="15" customHeight="1">
      <c r="A19" s="65">
        <f t="shared" si="211"/>
        <v>6</v>
      </c>
      <c r="B19" s="65">
        <f t="shared" si="212"/>
        <v>5</v>
      </c>
      <c r="C19" s="117">
        <v>57</v>
      </c>
      <c r="D19" s="121" t="s">
        <v>154</v>
      </c>
      <c r="E19" s="120" t="s">
        <v>617</v>
      </c>
      <c r="F19" s="120"/>
      <c r="G19" s="120"/>
      <c r="H19" s="120" t="s">
        <v>13</v>
      </c>
      <c r="I19" s="287" t="s">
        <v>540</v>
      </c>
      <c r="J19" s="120" t="s">
        <v>155</v>
      </c>
      <c r="K19" s="120" t="s">
        <v>4</v>
      </c>
      <c r="L19" s="67" t="s">
        <v>156</v>
      </c>
      <c r="M19" s="120" t="s">
        <v>35</v>
      </c>
      <c r="N19" s="93">
        <v>81</v>
      </c>
      <c r="O19" s="94">
        <f t="shared" si="0"/>
        <v>0.38529677944076224</v>
      </c>
      <c r="P19" s="94">
        <f t="shared" si="1"/>
        <v>0.5</v>
      </c>
      <c r="Q19" s="93"/>
      <c r="R19" s="94" t="str">
        <f t="shared" si="2"/>
        <v/>
      </c>
      <c r="S19" s="94" t="str">
        <f t="shared" si="3"/>
        <v/>
      </c>
      <c r="T19" s="93"/>
      <c r="U19" s="94" t="str">
        <f t="shared" si="4"/>
        <v/>
      </c>
      <c r="V19" s="94" t="str">
        <f t="shared" si="5"/>
        <v/>
      </c>
      <c r="W19" s="93"/>
      <c r="X19" s="94" t="str">
        <f t="shared" si="6"/>
        <v/>
      </c>
      <c r="Y19" s="94" t="str">
        <f t="shared" si="7"/>
        <v/>
      </c>
      <c r="Z19" s="95"/>
      <c r="AA19" s="94" t="str">
        <f t="shared" si="8"/>
        <v/>
      </c>
      <c r="AB19" s="94" t="str">
        <f t="shared" si="9"/>
        <v/>
      </c>
      <c r="AC19" s="93"/>
      <c r="AD19" s="94" t="str">
        <f t="shared" si="10"/>
        <v/>
      </c>
      <c r="AE19" s="94" t="str">
        <f t="shared" si="11"/>
        <v/>
      </c>
      <c r="AF19" s="95"/>
      <c r="AG19" s="94" t="str">
        <f t="shared" si="12"/>
        <v/>
      </c>
      <c r="AH19" s="94" t="str">
        <f t="shared" si="13"/>
        <v/>
      </c>
      <c r="AI19" s="95"/>
      <c r="AJ19" s="94" t="str">
        <f t="shared" si="14"/>
        <v/>
      </c>
      <c r="AK19" s="94" t="str">
        <f t="shared" si="15"/>
        <v/>
      </c>
      <c r="AL19" s="95"/>
      <c r="AM19" s="94" t="str">
        <f t="shared" si="16"/>
        <v/>
      </c>
      <c r="AN19" s="94" t="str">
        <f t="shared" si="17"/>
        <v/>
      </c>
      <c r="AO19" s="93">
        <v>90</v>
      </c>
      <c r="AP19" s="94">
        <f t="shared" si="18"/>
        <v>0.93552855392749867</v>
      </c>
      <c r="AQ19" s="94">
        <f t="shared" si="19"/>
        <v>1</v>
      </c>
      <c r="AR19" s="93"/>
      <c r="AS19" s="94" t="str">
        <f t="shared" si="20"/>
        <v/>
      </c>
      <c r="AT19" s="94" t="str">
        <f t="shared" si="21"/>
        <v/>
      </c>
      <c r="AU19" s="93"/>
      <c r="AV19" s="94" t="str">
        <f t="shared" si="22"/>
        <v/>
      </c>
      <c r="AW19" s="94" t="str">
        <f t="shared" si="23"/>
        <v/>
      </c>
      <c r="AX19" s="93"/>
      <c r="AY19" s="94" t="str">
        <f t="shared" si="24"/>
        <v/>
      </c>
      <c r="AZ19" s="94" t="str">
        <f t="shared" si="25"/>
        <v/>
      </c>
      <c r="BA19" s="93"/>
      <c r="BB19" s="94" t="str">
        <f t="shared" si="26"/>
        <v/>
      </c>
      <c r="BC19" s="94" t="str">
        <f t="shared" si="27"/>
        <v/>
      </c>
      <c r="BD19" s="93"/>
      <c r="BE19" s="94" t="str">
        <f t="shared" si="28"/>
        <v/>
      </c>
      <c r="BF19" s="94" t="str">
        <f t="shared" si="29"/>
        <v/>
      </c>
      <c r="BG19" s="93"/>
      <c r="BH19" s="94" t="str">
        <f t="shared" si="30"/>
        <v/>
      </c>
      <c r="BI19" s="94" t="str">
        <f t="shared" si="31"/>
        <v/>
      </c>
      <c r="BJ19" s="93"/>
      <c r="BK19" s="94" t="str">
        <f t="shared" si="32"/>
        <v/>
      </c>
      <c r="BL19" s="94" t="str">
        <f t="shared" si="33"/>
        <v/>
      </c>
      <c r="BM19" s="93"/>
      <c r="BN19" s="94" t="str">
        <f t="shared" si="34"/>
        <v/>
      </c>
      <c r="BO19" s="94" t="str">
        <f t="shared" si="35"/>
        <v/>
      </c>
      <c r="BP19" s="66"/>
      <c r="BQ19" s="94" t="str">
        <f t="shared" si="36"/>
        <v/>
      </c>
      <c r="BR19" s="94" t="str">
        <f t="shared" si="37"/>
        <v/>
      </c>
      <c r="BS19" s="93"/>
      <c r="BT19" s="94" t="str">
        <f t="shared" si="38"/>
        <v/>
      </c>
      <c r="BU19" s="94" t="str">
        <f t="shared" si="39"/>
        <v/>
      </c>
      <c r="BV19" s="93"/>
      <c r="BW19" s="94" t="str">
        <f t="shared" si="40"/>
        <v/>
      </c>
      <c r="BX19" s="94" t="str">
        <f t="shared" si="41"/>
        <v/>
      </c>
      <c r="BY19" s="93"/>
      <c r="BZ19" s="94" t="str">
        <f t="shared" si="42"/>
        <v/>
      </c>
      <c r="CA19" s="94" t="str">
        <f t="shared" si="43"/>
        <v/>
      </c>
      <c r="CB19" s="95"/>
      <c r="CC19" s="94" t="str">
        <f t="shared" si="44"/>
        <v/>
      </c>
      <c r="CD19" s="94" t="str">
        <f t="shared" si="45"/>
        <v/>
      </c>
      <c r="CE19" s="93"/>
      <c r="CF19" s="94" t="str">
        <f t="shared" si="46"/>
        <v/>
      </c>
      <c r="CG19" s="94" t="str">
        <f t="shared" si="47"/>
        <v/>
      </c>
      <c r="CH19" s="93"/>
      <c r="CI19" s="94" t="str">
        <f t="shared" si="48"/>
        <v/>
      </c>
      <c r="CJ19" s="94" t="str">
        <f t="shared" si="49"/>
        <v/>
      </c>
      <c r="CK19" s="272">
        <v>92</v>
      </c>
      <c r="CL19" s="94">
        <f t="shared" si="50"/>
        <v>0.40089186286863659</v>
      </c>
      <c r="CM19" s="94">
        <f t="shared" si="51"/>
        <v>0.75</v>
      </c>
      <c r="CN19" s="93"/>
      <c r="CO19" s="94" t="str">
        <f t="shared" si="52"/>
        <v/>
      </c>
      <c r="CP19" s="94" t="str">
        <f t="shared" si="53"/>
        <v/>
      </c>
      <c r="CQ19" s="93"/>
      <c r="CR19" s="94" t="str">
        <f t="shared" si="54"/>
        <v/>
      </c>
      <c r="CS19" s="94" t="str">
        <f t="shared" si="55"/>
        <v/>
      </c>
      <c r="CT19" s="93"/>
      <c r="CU19" s="94" t="str">
        <f t="shared" si="56"/>
        <v/>
      </c>
      <c r="CV19" s="94" t="str">
        <f t="shared" si="57"/>
        <v/>
      </c>
      <c r="CW19" s="93"/>
      <c r="CX19" s="94" t="str">
        <f t="shared" si="58"/>
        <v/>
      </c>
      <c r="CY19" s="94" t="str">
        <f t="shared" si="59"/>
        <v/>
      </c>
      <c r="CZ19" s="93"/>
      <c r="DA19" s="94" t="str">
        <f t="shared" si="60"/>
        <v/>
      </c>
      <c r="DB19" s="94" t="str">
        <f t="shared" si="61"/>
        <v/>
      </c>
      <c r="DC19" s="93"/>
      <c r="DD19" s="94" t="str">
        <f t="shared" si="62"/>
        <v/>
      </c>
      <c r="DE19" s="94" t="str">
        <f t="shared" si="63"/>
        <v/>
      </c>
      <c r="DF19" s="93"/>
      <c r="DG19" s="94"/>
      <c r="DH19" s="94" t="str">
        <f t="shared" si="64"/>
        <v/>
      </c>
      <c r="DI19" s="93"/>
      <c r="DJ19" s="94" t="str">
        <f t="shared" si="65"/>
        <v/>
      </c>
      <c r="DK19" s="94" t="str">
        <f t="shared" si="66"/>
        <v/>
      </c>
      <c r="DL19" s="93"/>
      <c r="DM19" s="94" t="str">
        <f t="shared" si="67"/>
        <v/>
      </c>
      <c r="DN19" s="94" t="str">
        <f t="shared" si="68"/>
        <v/>
      </c>
      <c r="DO19" s="93"/>
      <c r="DP19" s="94" t="str">
        <f t="shared" si="69"/>
        <v/>
      </c>
      <c r="DQ19" s="94" t="str">
        <f t="shared" si="70"/>
        <v/>
      </c>
      <c r="DR19" s="93"/>
      <c r="DS19" s="94" t="str">
        <f t="shared" si="71"/>
        <v/>
      </c>
      <c r="DT19" s="94" t="str">
        <f t="shared" si="72"/>
        <v/>
      </c>
      <c r="DU19" s="96"/>
      <c r="DV19" s="94" t="str">
        <f t="shared" si="73"/>
        <v/>
      </c>
      <c r="DW19" s="94" t="str">
        <f t="shared" si="74"/>
        <v/>
      </c>
      <c r="DX19" s="93"/>
      <c r="DY19" s="94" t="str">
        <f t="shared" si="75"/>
        <v/>
      </c>
      <c r="DZ19" s="94" t="str">
        <f t="shared" si="76"/>
        <v/>
      </c>
      <c r="EA19" s="93"/>
      <c r="EB19" s="94" t="str">
        <f t="shared" si="77"/>
        <v/>
      </c>
      <c r="EC19" s="94" t="str">
        <f t="shared" si="78"/>
        <v/>
      </c>
      <c r="ED19" s="93"/>
      <c r="EE19" s="94" t="str">
        <f t="shared" si="79"/>
        <v/>
      </c>
      <c r="EF19" s="94" t="str">
        <f t="shared" si="80"/>
        <v/>
      </c>
      <c r="EG19" s="93"/>
      <c r="EH19" s="94" t="str">
        <f t="shared" si="81"/>
        <v/>
      </c>
      <c r="EI19" s="94" t="str">
        <f t="shared" si="82"/>
        <v/>
      </c>
      <c r="EJ19" s="93"/>
      <c r="EK19" s="94" t="str">
        <f t="shared" si="83"/>
        <v/>
      </c>
      <c r="EL19" s="94" t="str">
        <f t="shared" si="84"/>
        <v/>
      </c>
      <c r="EM19" s="93"/>
      <c r="EN19" s="94" t="str">
        <f t="shared" si="85"/>
        <v/>
      </c>
      <c r="EO19" s="94" t="str">
        <f t="shared" si="86"/>
        <v/>
      </c>
      <c r="EP19" s="93"/>
      <c r="EQ19" s="94" t="str">
        <f t="shared" si="87"/>
        <v/>
      </c>
      <c r="ER19" s="94" t="str">
        <f t="shared" si="88"/>
        <v/>
      </c>
      <c r="ES19" s="66"/>
      <c r="ET19" s="94" t="str">
        <f t="shared" si="89"/>
        <v/>
      </c>
      <c r="EU19" s="94" t="str">
        <f t="shared" si="90"/>
        <v/>
      </c>
      <c r="EV19" s="93"/>
      <c r="EW19" s="94" t="str">
        <f t="shared" si="91"/>
        <v/>
      </c>
      <c r="EX19" s="94" t="str">
        <f t="shared" si="92"/>
        <v/>
      </c>
      <c r="EY19" s="93"/>
      <c r="EZ19" s="94" t="str">
        <f t="shared" si="93"/>
        <v/>
      </c>
      <c r="FA19" s="94" t="str">
        <f t="shared" si="94"/>
        <v/>
      </c>
      <c r="FB19" s="93"/>
      <c r="FC19" s="94" t="str">
        <f t="shared" si="95"/>
        <v/>
      </c>
      <c r="FD19" s="94" t="str">
        <f t="shared" si="96"/>
        <v/>
      </c>
      <c r="FE19" s="93" t="s">
        <v>87</v>
      </c>
      <c r="FF19" s="94" t="str">
        <f t="shared" si="97"/>
        <v/>
      </c>
      <c r="FG19" s="94" t="str">
        <f t="shared" si="98"/>
        <v/>
      </c>
      <c r="FH19" s="93"/>
      <c r="FI19" s="94" t="str">
        <f t="shared" si="99"/>
        <v/>
      </c>
      <c r="FJ19" s="94" t="str">
        <f t="shared" si="100"/>
        <v/>
      </c>
      <c r="FK19" s="93"/>
      <c r="FL19" s="94" t="str">
        <f t="shared" si="101"/>
        <v/>
      </c>
      <c r="FM19" s="94" t="str">
        <f t="shared" si="102"/>
        <v/>
      </c>
      <c r="FN19" s="93">
        <v>85</v>
      </c>
      <c r="FO19" s="94">
        <f t="shared" si="103"/>
        <v>-1.027758446888033</v>
      </c>
      <c r="FP19" s="94">
        <f t="shared" si="104"/>
        <v>0</v>
      </c>
      <c r="FQ19" s="93"/>
      <c r="FR19" s="94" t="str">
        <f t="shared" si="105"/>
        <v/>
      </c>
      <c r="FS19" s="94" t="str">
        <f t="shared" si="106"/>
        <v/>
      </c>
      <c r="FT19" s="95"/>
      <c r="FU19" s="94" t="str">
        <f t="shared" si="107"/>
        <v/>
      </c>
      <c r="FV19" s="94" t="str">
        <f t="shared" si="108"/>
        <v/>
      </c>
      <c r="FW19" s="96"/>
      <c r="FX19" s="94" t="str">
        <f t="shared" si="109"/>
        <v/>
      </c>
      <c r="FY19" s="94" t="str">
        <f t="shared" si="110"/>
        <v/>
      </c>
      <c r="FZ19" s="95"/>
      <c r="GA19" s="94" t="str">
        <f t="shared" si="111"/>
        <v/>
      </c>
      <c r="GB19" s="94" t="str">
        <f t="shared" si="112"/>
        <v/>
      </c>
      <c r="GC19" s="93"/>
      <c r="GD19" s="94" t="str">
        <f t="shared" si="113"/>
        <v/>
      </c>
      <c r="GE19" s="94" t="str">
        <f t="shared" si="114"/>
        <v/>
      </c>
      <c r="GF19" s="93"/>
      <c r="GG19" s="94" t="str">
        <f t="shared" si="115"/>
        <v/>
      </c>
      <c r="GH19" s="94" t="str">
        <f t="shared" si="116"/>
        <v/>
      </c>
      <c r="GI19" s="93"/>
      <c r="GJ19" s="94" t="str">
        <f t="shared" si="117"/>
        <v/>
      </c>
      <c r="GK19" s="94" t="str">
        <f t="shared" si="118"/>
        <v/>
      </c>
      <c r="GL19" s="114">
        <v>84</v>
      </c>
      <c r="GM19" s="94">
        <f t="shared" si="119"/>
        <v>-0.2672612419124244</v>
      </c>
      <c r="GN19" s="94">
        <f t="shared" si="120"/>
        <v>0.33333333333333331</v>
      </c>
      <c r="GO19" s="93"/>
      <c r="GP19" s="94" t="str">
        <f t="shared" si="121"/>
        <v/>
      </c>
      <c r="GQ19" s="94" t="str">
        <f t="shared" si="122"/>
        <v/>
      </c>
      <c r="GR19" s="93"/>
      <c r="GS19" s="94" t="str">
        <f t="shared" si="123"/>
        <v/>
      </c>
      <c r="GT19" s="94" t="str">
        <f t="shared" si="124"/>
        <v/>
      </c>
      <c r="GU19" s="93"/>
      <c r="GV19" s="94" t="str">
        <f t="shared" si="125"/>
        <v/>
      </c>
      <c r="GW19" s="94" t="str">
        <f t="shared" si="126"/>
        <v/>
      </c>
      <c r="GX19" s="93"/>
      <c r="GY19" s="94" t="str">
        <f t="shared" si="127"/>
        <v/>
      </c>
      <c r="GZ19" s="94" t="str">
        <f t="shared" si="128"/>
        <v/>
      </c>
      <c r="HA19" s="93"/>
      <c r="HB19" s="94" t="str">
        <f t="shared" si="129"/>
        <v/>
      </c>
      <c r="HC19" s="94" t="str">
        <f t="shared" si="130"/>
        <v/>
      </c>
      <c r="HD19" s="93"/>
      <c r="HE19" s="94" t="str">
        <f t="shared" si="131"/>
        <v/>
      </c>
      <c r="HF19" s="94" t="str">
        <f t="shared" si="132"/>
        <v/>
      </c>
      <c r="HG19" s="93"/>
      <c r="HH19" s="94" t="str">
        <f t="shared" si="133"/>
        <v/>
      </c>
      <c r="HI19" s="94" t="str">
        <f t="shared" si="134"/>
        <v/>
      </c>
      <c r="HJ19" s="93"/>
      <c r="HK19" s="94" t="str">
        <f t="shared" si="135"/>
        <v/>
      </c>
      <c r="HL19" s="94" t="str">
        <f t="shared" si="136"/>
        <v/>
      </c>
      <c r="HM19" s="93"/>
      <c r="HN19" s="94" t="str">
        <f t="shared" si="137"/>
        <v/>
      </c>
      <c r="HO19" s="94" t="str">
        <f t="shared" si="138"/>
        <v/>
      </c>
      <c r="HP19" s="93"/>
      <c r="HQ19" s="94" t="str">
        <f t="shared" si="139"/>
        <v/>
      </c>
      <c r="HR19" s="94" t="str">
        <f t="shared" si="140"/>
        <v/>
      </c>
      <c r="HS19" s="93"/>
      <c r="HT19" s="94" t="str">
        <f t="shared" si="141"/>
        <v/>
      </c>
      <c r="HU19" s="94" t="str">
        <f t="shared" si="142"/>
        <v/>
      </c>
      <c r="HV19" s="93"/>
      <c r="HW19" s="94" t="str">
        <f t="shared" si="143"/>
        <v/>
      </c>
      <c r="HX19" s="94" t="str">
        <f t="shared" si="144"/>
        <v/>
      </c>
      <c r="HY19" s="93"/>
      <c r="HZ19" s="94" t="str">
        <f t="shared" si="145"/>
        <v/>
      </c>
      <c r="IA19" s="94" t="str">
        <f t="shared" si="146"/>
        <v/>
      </c>
      <c r="IB19" s="93"/>
      <c r="IC19" s="94" t="str">
        <f t="shared" si="147"/>
        <v/>
      </c>
      <c r="ID19" s="94" t="str">
        <f t="shared" si="148"/>
        <v/>
      </c>
      <c r="IE19" s="93"/>
      <c r="IF19" s="94" t="str">
        <f t="shared" si="149"/>
        <v/>
      </c>
      <c r="IG19" s="94" t="str">
        <f t="shared" si="150"/>
        <v/>
      </c>
      <c r="IH19" s="93"/>
      <c r="II19" s="94" t="str">
        <f t="shared" si="151"/>
        <v/>
      </c>
      <c r="IJ19" s="94" t="str">
        <f t="shared" si="152"/>
        <v/>
      </c>
      <c r="IK19" s="93"/>
      <c r="IL19" s="94" t="str">
        <f t="shared" si="153"/>
        <v/>
      </c>
      <c r="IM19" s="94" t="str">
        <f t="shared" si="154"/>
        <v/>
      </c>
      <c r="IN19" s="93"/>
      <c r="IO19" s="94" t="str">
        <f t="shared" si="155"/>
        <v/>
      </c>
      <c r="IP19" s="94" t="str">
        <f t="shared" si="156"/>
        <v/>
      </c>
      <c r="IQ19" s="93"/>
      <c r="IR19" s="94" t="str">
        <f t="shared" si="157"/>
        <v/>
      </c>
      <c r="IS19" s="94" t="str">
        <f t="shared" si="158"/>
        <v/>
      </c>
      <c r="IT19" s="93"/>
      <c r="IU19" s="94" t="str">
        <f t="shared" si="159"/>
        <v/>
      </c>
      <c r="IV19" s="94" t="str">
        <f t="shared" si="160"/>
        <v/>
      </c>
      <c r="IW19" s="93"/>
      <c r="IX19" s="94" t="str">
        <f t="shared" si="161"/>
        <v/>
      </c>
      <c r="IY19" s="94" t="str">
        <f t="shared" si="162"/>
        <v/>
      </c>
      <c r="IZ19" s="93"/>
      <c r="JA19" s="94" t="str">
        <f t="shared" si="163"/>
        <v/>
      </c>
      <c r="JB19" s="94" t="str">
        <f t="shared" si="164"/>
        <v/>
      </c>
      <c r="JC19" s="93"/>
      <c r="JD19" s="94" t="str">
        <f t="shared" si="165"/>
        <v/>
      </c>
      <c r="JE19" s="94" t="str">
        <f t="shared" si="166"/>
        <v/>
      </c>
      <c r="JF19" s="93"/>
      <c r="JG19" s="94" t="str">
        <f t="shared" si="167"/>
        <v/>
      </c>
      <c r="JH19" s="94" t="str">
        <f t="shared" si="168"/>
        <v/>
      </c>
      <c r="JI19" s="93"/>
      <c r="JJ19" s="94" t="str">
        <f t="shared" si="169"/>
        <v/>
      </c>
      <c r="JK19" s="94" t="str">
        <f t="shared" si="170"/>
        <v/>
      </c>
      <c r="JL19" s="93"/>
      <c r="JM19" s="94" t="str">
        <f t="shared" si="171"/>
        <v/>
      </c>
      <c r="JN19" s="94" t="str">
        <f t="shared" si="172"/>
        <v/>
      </c>
      <c r="JO19" s="93"/>
      <c r="JP19" s="94" t="str">
        <f t="shared" si="173"/>
        <v/>
      </c>
      <c r="JQ19" s="94" t="str">
        <f t="shared" si="174"/>
        <v/>
      </c>
      <c r="JR19" s="93"/>
      <c r="JS19" s="94" t="str">
        <f t="shared" si="175"/>
        <v/>
      </c>
      <c r="JT19" s="94" t="str">
        <f t="shared" si="176"/>
        <v/>
      </c>
      <c r="JU19" s="93"/>
      <c r="JV19" s="94" t="str">
        <f t="shared" si="177"/>
        <v/>
      </c>
      <c r="JW19" s="94" t="str">
        <f t="shared" si="178"/>
        <v/>
      </c>
      <c r="JX19" s="93"/>
      <c r="JY19" s="94" t="str">
        <f t="shared" si="179"/>
        <v/>
      </c>
      <c r="JZ19" s="94" t="str">
        <f t="shared" si="180"/>
        <v/>
      </c>
      <c r="KA19" s="93"/>
      <c r="KB19" s="94" t="str">
        <f t="shared" si="181"/>
        <v/>
      </c>
      <c r="KC19" s="94" t="str">
        <f t="shared" si="182"/>
        <v/>
      </c>
      <c r="KD19" s="93"/>
      <c r="KE19" s="94" t="str">
        <f t="shared" si="183"/>
        <v/>
      </c>
      <c r="KF19" s="94" t="str">
        <f t="shared" si="184"/>
        <v/>
      </c>
      <c r="KG19" s="93"/>
      <c r="KH19" s="94" t="str">
        <f t="shared" si="185"/>
        <v/>
      </c>
      <c r="KI19" s="94" t="str">
        <f t="shared" si="186"/>
        <v/>
      </c>
      <c r="KJ19" s="93"/>
      <c r="KK19" s="94" t="str">
        <f t="shared" si="187"/>
        <v/>
      </c>
      <c r="KL19" s="94" t="str">
        <f t="shared" si="188"/>
        <v/>
      </c>
      <c r="KM19" s="93"/>
      <c r="KN19" s="94" t="str">
        <f t="shared" si="189"/>
        <v/>
      </c>
      <c r="KO19" s="94" t="str">
        <f t="shared" si="190"/>
        <v/>
      </c>
      <c r="KP19" s="93"/>
      <c r="KQ19" s="94" t="str">
        <f t="shared" si="191"/>
        <v/>
      </c>
      <c r="KR19" s="94" t="str">
        <f t="shared" si="192"/>
        <v/>
      </c>
      <c r="KS19" s="93"/>
      <c r="KT19" s="94" t="str">
        <f t="shared" si="193"/>
        <v/>
      </c>
      <c r="KU19" s="94" t="str">
        <f t="shared" si="194"/>
        <v/>
      </c>
      <c r="KV19" s="93"/>
      <c r="KW19" s="94" t="str">
        <f t="shared" si="195"/>
        <v/>
      </c>
      <c r="KX19" s="94" t="str">
        <f t="shared" si="196"/>
        <v/>
      </c>
      <c r="KY19" s="96"/>
      <c r="KZ19" s="94" t="str">
        <f t="shared" si="197"/>
        <v/>
      </c>
      <c r="LA19" s="94" t="str">
        <f t="shared" si="198"/>
        <v/>
      </c>
      <c r="LB19" s="65">
        <f t="shared" si="213"/>
        <v>86.4</v>
      </c>
      <c r="LC19" s="115">
        <f t="shared" si="199"/>
        <v>31</v>
      </c>
      <c r="LD19" s="65">
        <f t="shared" si="207"/>
        <v>8.5339501487288041E-2</v>
      </c>
      <c r="LE19" s="115">
        <f t="shared" si="200"/>
        <v>35</v>
      </c>
      <c r="LF19" s="65">
        <f t="shared" si="208"/>
        <v>0.51666666666666672</v>
      </c>
      <c r="LG19" s="115">
        <f t="shared" si="201"/>
        <v>35</v>
      </c>
      <c r="LH19" s="69">
        <f t="shared" si="202"/>
        <v>43.640350877192986</v>
      </c>
      <c r="LI19" s="69">
        <f t="shared" si="203"/>
        <v>40.645427581380133</v>
      </c>
      <c r="LJ19" s="69">
        <f t="shared" si="204"/>
        <v>37.916666666666671</v>
      </c>
      <c r="LK19" s="69">
        <f t="shared" si="205"/>
        <v>72.202445125239791</v>
      </c>
      <c r="LL19" s="71">
        <f t="shared" si="206"/>
        <v>34</v>
      </c>
      <c r="LM19" s="68"/>
      <c r="LN19" s="72">
        <f t="shared" si="215"/>
        <v>5</v>
      </c>
      <c r="LO19" s="73">
        <f t="shared" si="216"/>
        <v>34</v>
      </c>
      <c r="LP19" s="68"/>
      <c r="LQ19" s="68"/>
      <c r="LR19" s="68"/>
    </row>
    <row r="20" spans="1:334" s="74" customFormat="1" ht="15" customHeight="1">
      <c r="A20" s="65">
        <f t="shared" si="211"/>
        <v>6</v>
      </c>
      <c r="B20" s="65">
        <f t="shared" si="212"/>
        <v>5</v>
      </c>
      <c r="C20" s="117">
        <v>13</v>
      </c>
      <c r="D20" s="121" t="s">
        <v>157</v>
      </c>
      <c r="E20" s="120" t="s">
        <v>618</v>
      </c>
      <c r="F20" s="120"/>
      <c r="G20" s="120"/>
      <c r="H20" s="120" t="s">
        <v>13</v>
      </c>
      <c r="I20" s="287" t="s">
        <v>541</v>
      </c>
      <c r="J20" s="120" t="s">
        <v>158</v>
      </c>
      <c r="K20" s="120" t="s">
        <v>4</v>
      </c>
      <c r="L20" s="67" t="s">
        <v>159</v>
      </c>
      <c r="M20" s="120" t="s">
        <v>35</v>
      </c>
      <c r="N20" s="93">
        <v>83</v>
      </c>
      <c r="O20" s="94">
        <f t="shared" si="0"/>
        <v>0.70637742897472999</v>
      </c>
      <c r="P20" s="94">
        <f t="shared" si="1"/>
        <v>0.75</v>
      </c>
      <c r="Q20" s="93"/>
      <c r="R20" s="94" t="str">
        <f t="shared" si="2"/>
        <v/>
      </c>
      <c r="S20" s="94" t="str">
        <f t="shared" si="3"/>
        <v/>
      </c>
      <c r="T20" s="93"/>
      <c r="U20" s="94" t="str">
        <f t="shared" si="4"/>
        <v/>
      </c>
      <c r="V20" s="94" t="str">
        <f t="shared" si="5"/>
        <v/>
      </c>
      <c r="W20" s="93"/>
      <c r="X20" s="94" t="str">
        <f t="shared" si="6"/>
        <v/>
      </c>
      <c r="Y20" s="94" t="str">
        <f t="shared" si="7"/>
        <v/>
      </c>
      <c r="Z20" s="95"/>
      <c r="AA20" s="94" t="str">
        <f t="shared" si="8"/>
        <v/>
      </c>
      <c r="AB20" s="94" t="str">
        <f t="shared" si="9"/>
        <v/>
      </c>
      <c r="AC20" s="93"/>
      <c r="AD20" s="94" t="str">
        <f t="shared" si="10"/>
        <v/>
      </c>
      <c r="AE20" s="94" t="str">
        <f t="shared" si="11"/>
        <v/>
      </c>
      <c r="AF20" s="93"/>
      <c r="AG20" s="94" t="str">
        <f t="shared" si="12"/>
        <v/>
      </c>
      <c r="AH20" s="94" t="str">
        <f t="shared" si="13"/>
        <v/>
      </c>
      <c r="AI20" s="93"/>
      <c r="AJ20" s="94" t="str">
        <f t="shared" si="14"/>
        <v/>
      </c>
      <c r="AK20" s="94" t="str">
        <f t="shared" si="15"/>
        <v/>
      </c>
      <c r="AL20" s="93"/>
      <c r="AM20" s="94" t="str">
        <f t="shared" si="16"/>
        <v/>
      </c>
      <c r="AN20" s="94" t="str">
        <f t="shared" si="17"/>
        <v/>
      </c>
      <c r="AO20" s="95"/>
      <c r="AP20" s="94" t="str">
        <f t="shared" si="18"/>
        <v/>
      </c>
      <c r="AQ20" s="94" t="str">
        <f t="shared" si="19"/>
        <v/>
      </c>
      <c r="AR20" s="93"/>
      <c r="AS20" s="94" t="str">
        <f t="shared" si="20"/>
        <v/>
      </c>
      <c r="AT20" s="94" t="str">
        <f t="shared" si="21"/>
        <v/>
      </c>
      <c r="AU20" s="93"/>
      <c r="AV20" s="94" t="str">
        <f t="shared" si="22"/>
        <v/>
      </c>
      <c r="AW20" s="94" t="str">
        <f t="shared" si="23"/>
        <v/>
      </c>
      <c r="AX20" s="93"/>
      <c r="AY20" s="94" t="str">
        <f t="shared" si="24"/>
        <v/>
      </c>
      <c r="AZ20" s="94" t="str">
        <f t="shared" si="25"/>
        <v/>
      </c>
      <c r="BA20" s="93"/>
      <c r="BB20" s="94" t="str">
        <f t="shared" si="26"/>
        <v/>
      </c>
      <c r="BC20" s="94" t="str">
        <f t="shared" si="27"/>
        <v/>
      </c>
      <c r="BD20" s="93"/>
      <c r="BE20" s="94" t="str">
        <f t="shared" si="28"/>
        <v/>
      </c>
      <c r="BF20" s="94" t="str">
        <f t="shared" si="29"/>
        <v/>
      </c>
      <c r="BG20" s="93"/>
      <c r="BH20" s="94" t="str">
        <f t="shared" si="30"/>
        <v/>
      </c>
      <c r="BI20" s="94" t="str">
        <f t="shared" si="31"/>
        <v/>
      </c>
      <c r="BJ20" s="93"/>
      <c r="BK20" s="94" t="str">
        <f t="shared" si="32"/>
        <v/>
      </c>
      <c r="BL20" s="94" t="str">
        <f t="shared" si="33"/>
        <v/>
      </c>
      <c r="BM20" s="93"/>
      <c r="BN20" s="94" t="str">
        <f t="shared" si="34"/>
        <v/>
      </c>
      <c r="BO20" s="94" t="str">
        <f t="shared" si="35"/>
        <v/>
      </c>
      <c r="BP20" s="66"/>
      <c r="BQ20" s="94" t="str">
        <f t="shared" si="36"/>
        <v/>
      </c>
      <c r="BR20" s="94" t="str">
        <f t="shared" si="37"/>
        <v/>
      </c>
      <c r="BS20" s="93"/>
      <c r="BT20" s="94" t="str">
        <f t="shared" si="38"/>
        <v/>
      </c>
      <c r="BU20" s="94" t="str">
        <f t="shared" si="39"/>
        <v/>
      </c>
      <c r="BV20" s="93"/>
      <c r="BW20" s="94" t="str">
        <f t="shared" si="40"/>
        <v/>
      </c>
      <c r="BX20" s="94" t="str">
        <f t="shared" si="41"/>
        <v/>
      </c>
      <c r="BY20" s="93"/>
      <c r="BZ20" s="94" t="str">
        <f t="shared" si="42"/>
        <v/>
      </c>
      <c r="CA20" s="94" t="str">
        <f t="shared" si="43"/>
        <v/>
      </c>
      <c r="CB20" s="93"/>
      <c r="CC20" s="94" t="str">
        <f t="shared" si="44"/>
        <v/>
      </c>
      <c r="CD20" s="94" t="str">
        <f t="shared" si="45"/>
        <v/>
      </c>
      <c r="CE20" s="93"/>
      <c r="CF20" s="94" t="str">
        <f t="shared" si="46"/>
        <v/>
      </c>
      <c r="CG20" s="94" t="str">
        <f t="shared" si="47"/>
        <v/>
      </c>
      <c r="CH20" s="93"/>
      <c r="CI20" s="94" t="str">
        <f t="shared" si="48"/>
        <v/>
      </c>
      <c r="CJ20" s="94" t="str">
        <f t="shared" si="49"/>
        <v/>
      </c>
      <c r="CK20" s="93"/>
      <c r="CL20" s="94" t="str">
        <f t="shared" si="50"/>
        <v/>
      </c>
      <c r="CM20" s="94" t="str">
        <f t="shared" si="51"/>
        <v/>
      </c>
      <c r="CN20" s="93"/>
      <c r="CO20" s="94" t="str">
        <f t="shared" si="52"/>
        <v/>
      </c>
      <c r="CP20" s="94" t="str">
        <f t="shared" si="53"/>
        <v/>
      </c>
      <c r="CQ20" s="93"/>
      <c r="CR20" s="94" t="str">
        <f t="shared" si="54"/>
        <v/>
      </c>
      <c r="CS20" s="94" t="str">
        <f t="shared" si="55"/>
        <v/>
      </c>
      <c r="CT20" s="93"/>
      <c r="CU20" s="94" t="str">
        <f t="shared" si="56"/>
        <v/>
      </c>
      <c r="CV20" s="94" t="str">
        <f t="shared" si="57"/>
        <v/>
      </c>
      <c r="CW20" s="93"/>
      <c r="CX20" s="94" t="str">
        <f t="shared" si="58"/>
        <v/>
      </c>
      <c r="CY20" s="94" t="str">
        <f t="shared" si="59"/>
        <v/>
      </c>
      <c r="CZ20" s="272">
        <v>82</v>
      </c>
      <c r="DA20" s="94">
        <f t="shared" si="60"/>
        <v>0.3131734672703036</v>
      </c>
      <c r="DB20" s="94">
        <f t="shared" si="61"/>
        <v>0.5</v>
      </c>
      <c r="DC20" s="93"/>
      <c r="DD20" s="94" t="str">
        <f t="shared" si="62"/>
        <v/>
      </c>
      <c r="DE20" s="94" t="str">
        <f t="shared" si="63"/>
        <v/>
      </c>
      <c r="DF20" s="93"/>
      <c r="DG20" s="94"/>
      <c r="DH20" s="94" t="str">
        <f t="shared" si="64"/>
        <v/>
      </c>
      <c r="DI20" s="93"/>
      <c r="DJ20" s="94" t="str">
        <f t="shared" si="65"/>
        <v/>
      </c>
      <c r="DK20" s="94" t="str">
        <f t="shared" si="66"/>
        <v/>
      </c>
      <c r="DL20" s="93"/>
      <c r="DM20" s="94" t="str">
        <f t="shared" si="67"/>
        <v/>
      </c>
      <c r="DN20" s="94" t="str">
        <f t="shared" si="68"/>
        <v/>
      </c>
      <c r="DO20" s="93"/>
      <c r="DP20" s="94" t="str">
        <f t="shared" si="69"/>
        <v/>
      </c>
      <c r="DQ20" s="94" t="str">
        <f t="shared" si="70"/>
        <v/>
      </c>
      <c r="DR20" s="93"/>
      <c r="DS20" s="94" t="str">
        <f t="shared" si="71"/>
        <v/>
      </c>
      <c r="DT20" s="94" t="str">
        <f t="shared" si="72"/>
        <v/>
      </c>
      <c r="DU20" s="93"/>
      <c r="DV20" s="94" t="str">
        <f t="shared" si="73"/>
        <v/>
      </c>
      <c r="DW20" s="94" t="str">
        <f t="shared" si="74"/>
        <v/>
      </c>
      <c r="DX20" s="95"/>
      <c r="DY20" s="94" t="str">
        <f t="shared" si="75"/>
        <v/>
      </c>
      <c r="DZ20" s="94" t="str">
        <f t="shared" si="76"/>
        <v/>
      </c>
      <c r="EA20" s="93"/>
      <c r="EB20" s="94" t="str">
        <f t="shared" si="77"/>
        <v/>
      </c>
      <c r="EC20" s="94" t="str">
        <f t="shared" si="78"/>
        <v/>
      </c>
      <c r="ED20" s="93"/>
      <c r="EE20" s="94" t="str">
        <f t="shared" si="79"/>
        <v/>
      </c>
      <c r="EF20" s="94" t="str">
        <f t="shared" si="80"/>
        <v/>
      </c>
      <c r="EG20" s="93"/>
      <c r="EH20" s="94" t="str">
        <f t="shared" si="81"/>
        <v/>
      </c>
      <c r="EI20" s="94" t="str">
        <f t="shared" si="82"/>
        <v/>
      </c>
      <c r="EJ20" s="93"/>
      <c r="EK20" s="94" t="str">
        <f t="shared" si="83"/>
        <v/>
      </c>
      <c r="EL20" s="94" t="str">
        <f t="shared" si="84"/>
        <v/>
      </c>
      <c r="EM20" s="93">
        <v>89</v>
      </c>
      <c r="EN20" s="94">
        <f t="shared" si="85"/>
        <v>0.54282113851498814</v>
      </c>
      <c r="EO20" s="94">
        <f t="shared" si="86"/>
        <v>1</v>
      </c>
      <c r="EP20" s="93"/>
      <c r="EQ20" s="94" t="str">
        <f t="shared" si="87"/>
        <v/>
      </c>
      <c r="ER20" s="94" t="str">
        <f t="shared" si="88"/>
        <v/>
      </c>
      <c r="ES20" s="95"/>
      <c r="ET20" s="94" t="str">
        <f t="shared" si="89"/>
        <v/>
      </c>
      <c r="EU20" s="94" t="str">
        <f t="shared" si="90"/>
        <v/>
      </c>
      <c r="EV20" s="93"/>
      <c r="EW20" s="94" t="str">
        <f t="shared" si="91"/>
        <v/>
      </c>
      <c r="EX20" s="94" t="str">
        <f t="shared" si="92"/>
        <v/>
      </c>
      <c r="EY20" s="93"/>
      <c r="EZ20" s="94" t="str">
        <f t="shared" si="93"/>
        <v/>
      </c>
      <c r="FA20" s="94" t="str">
        <f t="shared" si="94"/>
        <v/>
      </c>
      <c r="FB20" s="93"/>
      <c r="FC20" s="94" t="str">
        <f t="shared" si="95"/>
        <v/>
      </c>
      <c r="FD20" s="94" t="str">
        <f t="shared" si="96"/>
        <v/>
      </c>
      <c r="FE20" s="93" t="s">
        <v>87</v>
      </c>
      <c r="FF20" s="94" t="str">
        <f t="shared" si="97"/>
        <v/>
      </c>
      <c r="FG20" s="94" t="str">
        <f t="shared" si="98"/>
        <v/>
      </c>
      <c r="FH20" s="93"/>
      <c r="FI20" s="94" t="str">
        <f t="shared" si="99"/>
        <v/>
      </c>
      <c r="FJ20" s="94" t="str">
        <f t="shared" si="100"/>
        <v/>
      </c>
      <c r="FK20" s="93"/>
      <c r="FL20" s="94" t="str">
        <f t="shared" si="101"/>
        <v/>
      </c>
      <c r="FM20" s="94" t="str">
        <f t="shared" si="102"/>
        <v/>
      </c>
      <c r="FN20" s="93"/>
      <c r="FO20" s="94" t="str">
        <f t="shared" si="103"/>
        <v/>
      </c>
      <c r="FP20" s="94" t="str">
        <f t="shared" si="104"/>
        <v/>
      </c>
      <c r="FQ20" s="93"/>
      <c r="FR20" s="94" t="str">
        <f t="shared" si="105"/>
        <v/>
      </c>
      <c r="FS20" s="94" t="str">
        <f t="shared" si="106"/>
        <v/>
      </c>
      <c r="FT20" s="93"/>
      <c r="FU20" s="94" t="str">
        <f t="shared" si="107"/>
        <v/>
      </c>
      <c r="FV20" s="94" t="str">
        <f t="shared" si="108"/>
        <v/>
      </c>
      <c r="FW20" s="96"/>
      <c r="FX20" s="94" t="str">
        <f t="shared" si="109"/>
        <v/>
      </c>
      <c r="FY20" s="94" t="str">
        <f t="shared" si="110"/>
        <v/>
      </c>
      <c r="FZ20" s="95"/>
      <c r="GA20" s="94" t="str">
        <f t="shared" si="111"/>
        <v/>
      </c>
      <c r="GB20" s="94" t="str">
        <f t="shared" si="112"/>
        <v/>
      </c>
      <c r="GC20" s="93"/>
      <c r="GD20" s="94" t="str">
        <f t="shared" si="113"/>
        <v/>
      </c>
      <c r="GE20" s="94" t="str">
        <f t="shared" si="114"/>
        <v/>
      </c>
      <c r="GF20" s="93"/>
      <c r="GG20" s="94" t="str">
        <f t="shared" si="115"/>
        <v/>
      </c>
      <c r="GH20" s="94" t="str">
        <f t="shared" si="116"/>
        <v/>
      </c>
      <c r="GI20" s="93"/>
      <c r="GJ20" s="94" t="str">
        <f t="shared" si="117"/>
        <v/>
      </c>
      <c r="GK20" s="94" t="str">
        <f t="shared" si="118"/>
        <v/>
      </c>
      <c r="GL20" s="114">
        <v>90</v>
      </c>
      <c r="GM20" s="94">
        <f t="shared" si="119"/>
        <v>1.3363062095621219</v>
      </c>
      <c r="GN20" s="94">
        <f t="shared" si="120"/>
        <v>1</v>
      </c>
      <c r="GO20" s="93">
        <v>95</v>
      </c>
      <c r="GP20" s="94">
        <f t="shared" si="121"/>
        <v>0.69663123431418528</v>
      </c>
      <c r="GQ20" s="94">
        <f t="shared" si="122"/>
        <v>0.75</v>
      </c>
      <c r="GR20" s="93"/>
      <c r="GS20" s="94" t="str">
        <f t="shared" si="123"/>
        <v/>
      </c>
      <c r="GT20" s="94" t="str">
        <f t="shared" si="124"/>
        <v/>
      </c>
      <c r="GU20" s="93"/>
      <c r="GV20" s="94" t="str">
        <f t="shared" si="125"/>
        <v/>
      </c>
      <c r="GW20" s="94" t="str">
        <f t="shared" si="126"/>
        <v/>
      </c>
      <c r="GX20" s="93"/>
      <c r="GY20" s="94" t="str">
        <f t="shared" si="127"/>
        <v/>
      </c>
      <c r="GZ20" s="94" t="str">
        <f t="shared" si="128"/>
        <v/>
      </c>
      <c r="HA20" s="93"/>
      <c r="HB20" s="94" t="str">
        <f t="shared" si="129"/>
        <v/>
      </c>
      <c r="HC20" s="94" t="str">
        <f t="shared" si="130"/>
        <v/>
      </c>
      <c r="HD20" s="93"/>
      <c r="HE20" s="94" t="str">
        <f t="shared" si="131"/>
        <v/>
      </c>
      <c r="HF20" s="94" t="str">
        <f t="shared" si="132"/>
        <v/>
      </c>
      <c r="HG20" s="93"/>
      <c r="HH20" s="94" t="str">
        <f t="shared" si="133"/>
        <v/>
      </c>
      <c r="HI20" s="94" t="str">
        <f t="shared" si="134"/>
        <v/>
      </c>
      <c r="HJ20" s="93"/>
      <c r="HK20" s="94" t="str">
        <f t="shared" si="135"/>
        <v/>
      </c>
      <c r="HL20" s="94" t="str">
        <f t="shared" si="136"/>
        <v/>
      </c>
      <c r="HM20" s="93"/>
      <c r="HN20" s="94" t="str">
        <f t="shared" si="137"/>
        <v/>
      </c>
      <c r="HO20" s="94" t="str">
        <f t="shared" si="138"/>
        <v/>
      </c>
      <c r="HP20" s="93"/>
      <c r="HQ20" s="94" t="str">
        <f t="shared" si="139"/>
        <v/>
      </c>
      <c r="HR20" s="94" t="str">
        <f t="shared" si="140"/>
        <v/>
      </c>
      <c r="HS20" s="93"/>
      <c r="HT20" s="94" t="str">
        <f t="shared" si="141"/>
        <v/>
      </c>
      <c r="HU20" s="94" t="str">
        <f t="shared" si="142"/>
        <v/>
      </c>
      <c r="HV20" s="93"/>
      <c r="HW20" s="94" t="str">
        <f t="shared" si="143"/>
        <v/>
      </c>
      <c r="HX20" s="94" t="str">
        <f t="shared" si="144"/>
        <v/>
      </c>
      <c r="HY20" s="93"/>
      <c r="HZ20" s="94" t="str">
        <f t="shared" si="145"/>
        <v/>
      </c>
      <c r="IA20" s="94" t="str">
        <f t="shared" si="146"/>
        <v/>
      </c>
      <c r="IB20" s="93"/>
      <c r="IC20" s="94" t="str">
        <f t="shared" si="147"/>
        <v/>
      </c>
      <c r="ID20" s="94" t="str">
        <f t="shared" si="148"/>
        <v/>
      </c>
      <c r="IE20" s="93"/>
      <c r="IF20" s="94" t="str">
        <f t="shared" si="149"/>
        <v/>
      </c>
      <c r="IG20" s="94" t="str">
        <f t="shared" si="150"/>
        <v/>
      </c>
      <c r="IH20" s="93"/>
      <c r="II20" s="94" t="str">
        <f t="shared" si="151"/>
        <v/>
      </c>
      <c r="IJ20" s="94" t="str">
        <f t="shared" si="152"/>
        <v/>
      </c>
      <c r="IK20" s="93"/>
      <c r="IL20" s="94" t="str">
        <f t="shared" si="153"/>
        <v/>
      </c>
      <c r="IM20" s="94" t="str">
        <f t="shared" si="154"/>
        <v/>
      </c>
      <c r="IN20" s="93"/>
      <c r="IO20" s="94" t="str">
        <f t="shared" si="155"/>
        <v/>
      </c>
      <c r="IP20" s="94" t="str">
        <f t="shared" si="156"/>
        <v/>
      </c>
      <c r="IQ20" s="93"/>
      <c r="IR20" s="94" t="str">
        <f t="shared" si="157"/>
        <v/>
      </c>
      <c r="IS20" s="94" t="str">
        <f t="shared" si="158"/>
        <v/>
      </c>
      <c r="IT20" s="93"/>
      <c r="IU20" s="94" t="str">
        <f t="shared" si="159"/>
        <v/>
      </c>
      <c r="IV20" s="94" t="str">
        <f t="shared" si="160"/>
        <v/>
      </c>
      <c r="IW20" s="93"/>
      <c r="IX20" s="94" t="str">
        <f t="shared" si="161"/>
        <v/>
      </c>
      <c r="IY20" s="94" t="str">
        <f t="shared" si="162"/>
        <v/>
      </c>
      <c r="IZ20" s="93"/>
      <c r="JA20" s="94" t="str">
        <f t="shared" si="163"/>
        <v/>
      </c>
      <c r="JB20" s="94" t="str">
        <f t="shared" si="164"/>
        <v/>
      </c>
      <c r="JC20" s="93"/>
      <c r="JD20" s="94" t="str">
        <f t="shared" si="165"/>
        <v/>
      </c>
      <c r="JE20" s="94" t="str">
        <f t="shared" si="166"/>
        <v/>
      </c>
      <c r="JF20" s="93"/>
      <c r="JG20" s="94" t="str">
        <f t="shared" si="167"/>
        <v/>
      </c>
      <c r="JH20" s="94" t="str">
        <f t="shared" si="168"/>
        <v/>
      </c>
      <c r="JI20" s="93"/>
      <c r="JJ20" s="94" t="str">
        <f t="shared" si="169"/>
        <v/>
      </c>
      <c r="JK20" s="94" t="str">
        <f t="shared" si="170"/>
        <v/>
      </c>
      <c r="JL20" s="93"/>
      <c r="JM20" s="94" t="str">
        <f t="shared" si="171"/>
        <v/>
      </c>
      <c r="JN20" s="94" t="str">
        <f t="shared" si="172"/>
        <v/>
      </c>
      <c r="JO20" s="93"/>
      <c r="JP20" s="94" t="str">
        <f t="shared" si="173"/>
        <v/>
      </c>
      <c r="JQ20" s="94" t="str">
        <f t="shared" si="174"/>
        <v/>
      </c>
      <c r="JR20" s="93"/>
      <c r="JS20" s="94" t="str">
        <f t="shared" si="175"/>
        <v/>
      </c>
      <c r="JT20" s="94" t="str">
        <f t="shared" si="176"/>
        <v/>
      </c>
      <c r="JU20" s="93"/>
      <c r="JV20" s="94" t="str">
        <f t="shared" si="177"/>
        <v/>
      </c>
      <c r="JW20" s="94" t="str">
        <f t="shared" si="178"/>
        <v/>
      </c>
      <c r="JX20" s="93"/>
      <c r="JY20" s="94" t="str">
        <f t="shared" si="179"/>
        <v/>
      </c>
      <c r="JZ20" s="94" t="str">
        <f t="shared" si="180"/>
        <v/>
      </c>
      <c r="KA20" s="93"/>
      <c r="KB20" s="94" t="str">
        <f t="shared" si="181"/>
        <v/>
      </c>
      <c r="KC20" s="94" t="str">
        <f t="shared" si="182"/>
        <v/>
      </c>
      <c r="KD20" s="93"/>
      <c r="KE20" s="94" t="str">
        <f t="shared" si="183"/>
        <v/>
      </c>
      <c r="KF20" s="94" t="str">
        <f t="shared" si="184"/>
        <v/>
      </c>
      <c r="KG20" s="93"/>
      <c r="KH20" s="94" t="str">
        <f t="shared" si="185"/>
        <v/>
      </c>
      <c r="KI20" s="94" t="str">
        <f t="shared" si="186"/>
        <v/>
      </c>
      <c r="KJ20" s="93"/>
      <c r="KK20" s="94" t="str">
        <f t="shared" si="187"/>
        <v/>
      </c>
      <c r="KL20" s="94" t="str">
        <f t="shared" si="188"/>
        <v/>
      </c>
      <c r="KM20" s="93"/>
      <c r="KN20" s="94" t="str">
        <f t="shared" si="189"/>
        <v/>
      </c>
      <c r="KO20" s="94" t="str">
        <f t="shared" si="190"/>
        <v/>
      </c>
      <c r="KP20" s="93"/>
      <c r="KQ20" s="94" t="str">
        <f t="shared" si="191"/>
        <v/>
      </c>
      <c r="KR20" s="94" t="str">
        <f t="shared" si="192"/>
        <v/>
      </c>
      <c r="KS20" s="93"/>
      <c r="KT20" s="94" t="str">
        <f t="shared" si="193"/>
        <v/>
      </c>
      <c r="KU20" s="94" t="str">
        <f t="shared" si="194"/>
        <v/>
      </c>
      <c r="KV20" s="93"/>
      <c r="KW20" s="94" t="str">
        <f t="shared" si="195"/>
        <v/>
      </c>
      <c r="KX20" s="94" t="str">
        <f t="shared" si="196"/>
        <v/>
      </c>
      <c r="KY20" s="96"/>
      <c r="KZ20" s="94" t="str">
        <f t="shared" si="197"/>
        <v/>
      </c>
      <c r="LA20" s="94" t="str">
        <f t="shared" si="198"/>
        <v/>
      </c>
      <c r="LB20" s="65">
        <f t="shared" si="213"/>
        <v>87.8</v>
      </c>
      <c r="LC20" s="115">
        <f t="shared" si="199"/>
        <v>23</v>
      </c>
      <c r="LD20" s="65">
        <f t="shared" si="207"/>
        <v>0.71906189572726575</v>
      </c>
      <c r="LE20" s="115">
        <f t="shared" si="200"/>
        <v>10</v>
      </c>
      <c r="LF20" s="65">
        <f t="shared" si="208"/>
        <v>0.8</v>
      </c>
      <c r="LG20" s="115">
        <f t="shared" si="201"/>
        <v>11</v>
      </c>
      <c r="LH20" s="69">
        <f t="shared" si="202"/>
        <v>44.40789473684211</v>
      </c>
      <c r="LI20" s="69">
        <f t="shared" si="203"/>
        <v>46.56157553049335</v>
      </c>
      <c r="LJ20" s="69">
        <f t="shared" si="204"/>
        <v>45</v>
      </c>
      <c r="LK20" s="69">
        <f t="shared" si="205"/>
        <v>85.969470267335453</v>
      </c>
      <c r="LL20" s="71">
        <f t="shared" si="206"/>
        <v>13</v>
      </c>
      <c r="LM20" s="68"/>
      <c r="LN20" s="72">
        <f t="shared" si="215"/>
        <v>2</v>
      </c>
      <c r="LO20" s="73">
        <f t="shared" si="216"/>
        <v>13</v>
      </c>
      <c r="LP20" s="68"/>
      <c r="LQ20" s="68"/>
      <c r="LR20" s="68"/>
    </row>
    <row r="21" spans="1:334" s="74" customFormat="1" ht="15" customHeight="1">
      <c r="A21" s="65">
        <f t="shared" si="211"/>
        <v>6</v>
      </c>
      <c r="B21" s="65">
        <f t="shared" si="212"/>
        <v>5</v>
      </c>
      <c r="C21" s="117">
        <v>62</v>
      </c>
      <c r="D21" s="121" t="s">
        <v>160</v>
      </c>
      <c r="E21" s="120" t="s">
        <v>619</v>
      </c>
      <c r="F21" s="120" t="s">
        <v>684</v>
      </c>
      <c r="G21" s="120"/>
      <c r="H21" s="120" t="s">
        <v>129</v>
      </c>
      <c r="I21" s="287" t="s">
        <v>542</v>
      </c>
      <c r="J21" s="120" t="s">
        <v>161</v>
      </c>
      <c r="K21" s="120" t="s">
        <v>4</v>
      </c>
      <c r="L21" s="67" t="s">
        <v>162</v>
      </c>
      <c r="M21" s="120" t="s">
        <v>35</v>
      </c>
      <c r="N21" s="93"/>
      <c r="O21" s="94" t="str">
        <f t="shared" si="0"/>
        <v/>
      </c>
      <c r="P21" s="94" t="str">
        <f t="shared" si="1"/>
        <v/>
      </c>
      <c r="Q21" s="93"/>
      <c r="R21" s="94" t="str">
        <f t="shared" si="2"/>
        <v/>
      </c>
      <c r="S21" s="94" t="str">
        <f t="shared" si="3"/>
        <v/>
      </c>
      <c r="T21" s="93"/>
      <c r="U21" s="94" t="str">
        <f t="shared" si="4"/>
        <v/>
      </c>
      <c r="V21" s="94" t="str">
        <f t="shared" si="5"/>
        <v/>
      </c>
      <c r="W21" s="93"/>
      <c r="X21" s="94" t="str">
        <f t="shared" si="6"/>
        <v/>
      </c>
      <c r="Y21" s="94" t="str">
        <f t="shared" si="7"/>
        <v/>
      </c>
      <c r="Z21" s="95"/>
      <c r="AA21" s="94" t="str">
        <f t="shared" si="8"/>
        <v/>
      </c>
      <c r="AB21" s="94" t="str">
        <f t="shared" si="9"/>
        <v/>
      </c>
      <c r="AC21" s="93"/>
      <c r="AD21" s="94" t="str">
        <f t="shared" si="10"/>
        <v/>
      </c>
      <c r="AE21" s="94" t="str">
        <f t="shared" si="11"/>
        <v/>
      </c>
      <c r="AF21" s="272">
        <v>43</v>
      </c>
      <c r="AG21" s="94">
        <f t="shared" si="12"/>
        <v>-1.7670265055963781</v>
      </c>
      <c r="AH21" s="94">
        <f t="shared" si="13"/>
        <v>0</v>
      </c>
      <c r="AI21" s="93"/>
      <c r="AJ21" s="94" t="str">
        <f t="shared" si="14"/>
        <v/>
      </c>
      <c r="AK21" s="94" t="str">
        <f t="shared" si="15"/>
        <v/>
      </c>
      <c r="AL21" s="93"/>
      <c r="AM21" s="94" t="str">
        <f t="shared" si="16"/>
        <v/>
      </c>
      <c r="AN21" s="94" t="str">
        <f t="shared" si="17"/>
        <v/>
      </c>
      <c r="AO21" s="95"/>
      <c r="AP21" s="94" t="str">
        <f t="shared" si="18"/>
        <v/>
      </c>
      <c r="AQ21" s="94" t="str">
        <f t="shared" si="19"/>
        <v/>
      </c>
      <c r="AR21" s="272">
        <v>91</v>
      </c>
      <c r="AS21" s="94">
        <f t="shared" si="20"/>
        <v>0.39622690487316259</v>
      </c>
      <c r="AT21" s="94">
        <f t="shared" si="21"/>
        <v>0.5</v>
      </c>
      <c r="AU21" s="93"/>
      <c r="AV21" s="94" t="str">
        <f t="shared" si="22"/>
        <v/>
      </c>
      <c r="AW21" s="94" t="str">
        <f t="shared" si="23"/>
        <v/>
      </c>
      <c r="AX21" s="93"/>
      <c r="AY21" s="94" t="str">
        <f t="shared" si="24"/>
        <v/>
      </c>
      <c r="AZ21" s="94" t="str">
        <f t="shared" si="25"/>
        <v/>
      </c>
      <c r="BA21" s="93"/>
      <c r="BB21" s="94" t="str">
        <f t="shared" si="26"/>
        <v/>
      </c>
      <c r="BC21" s="94" t="str">
        <f t="shared" si="27"/>
        <v/>
      </c>
      <c r="BD21" s="93"/>
      <c r="BE21" s="94" t="str">
        <f t="shared" si="28"/>
        <v/>
      </c>
      <c r="BF21" s="94" t="str">
        <f t="shared" si="29"/>
        <v/>
      </c>
      <c r="BG21" s="93"/>
      <c r="BH21" s="94" t="str">
        <f t="shared" si="30"/>
        <v/>
      </c>
      <c r="BI21" s="94" t="str">
        <f t="shared" si="31"/>
        <v/>
      </c>
      <c r="BJ21" s="93"/>
      <c r="BK21" s="94" t="str">
        <f t="shared" si="32"/>
        <v/>
      </c>
      <c r="BL21" s="94" t="str">
        <f t="shared" si="33"/>
        <v/>
      </c>
      <c r="BM21" s="93"/>
      <c r="BN21" s="94" t="str">
        <f t="shared" si="34"/>
        <v/>
      </c>
      <c r="BO21" s="94" t="str">
        <f t="shared" si="35"/>
        <v/>
      </c>
      <c r="BP21" s="66"/>
      <c r="BQ21" s="94" t="str">
        <f t="shared" si="36"/>
        <v/>
      </c>
      <c r="BR21" s="94" t="str">
        <f t="shared" si="37"/>
        <v/>
      </c>
      <c r="BS21" s="93"/>
      <c r="BT21" s="94" t="str">
        <f t="shared" si="38"/>
        <v/>
      </c>
      <c r="BU21" s="94" t="str">
        <f t="shared" si="39"/>
        <v/>
      </c>
      <c r="BV21" s="93">
        <v>71</v>
      </c>
      <c r="BW21" s="94">
        <f t="shared" si="40"/>
        <v>-1.3960124762010102</v>
      </c>
      <c r="BX21" s="94">
        <f t="shared" si="41"/>
        <v>0</v>
      </c>
      <c r="BY21" s="93">
        <v>56</v>
      </c>
      <c r="BZ21" s="94">
        <f t="shared" si="42"/>
        <v>-1.5619144827024529</v>
      </c>
      <c r="CA21" s="94">
        <f t="shared" si="43"/>
        <v>0</v>
      </c>
      <c r="CB21" s="93"/>
      <c r="CC21" s="94" t="str">
        <f t="shared" si="44"/>
        <v/>
      </c>
      <c r="CD21" s="94" t="str">
        <f t="shared" si="45"/>
        <v/>
      </c>
      <c r="CE21" s="93"/>
      <c r="CF21" s="94" t="str">
        <f t="shared" si="46"/>
        <v/>
      </c>
      <c r="CG21" s="94" t="str">
        <f t="shared" si="47"/>
        <v/>
      </c>
      <c r="CH21" s="93"/>
      <c r="CI21" s="94" t="str">
        <f t="shared" si="48"/>
        <v/>
      </c>
      <c r="CJ21" s="94" t="str">
        <f t="shared" si="49"/>
        <v/>
      </c>
      <c r="CK21" s="93"/>
      <c r="CL21" s="94" t="str">
        <f t="shared" si="50"/>
        <v/>
      </c>
      <c r="CM21" s="94" t="str">
        <f t="shared" si="51"/>
        <v/>
      </c>
      <c r="CN21" s="93"/>
      <c r="CO21" s="94" t="str">
        <f t="shared" si="52"/>
        <v/>
      </c>
      <c r="CP21" s="94" t="str">
        <f t="shared" si="53"/>
        <v/>
      </c>
      <c r="CQ21" s="93"/>
      <c r="CR21" s="94" t="str">
        <f t="shared" si="54"/>
        <v/>
      </c>
      <c r="CS21" s="94" t="str">
        <f t="shared" si="55"/>
        <v/>
      </c>
      <c r="CT21" s="93"/>
      <c r="CU21" s="94" t="str">
        <f t="shared" si="56"/>
        <v/>
      </c>
      <c r="CV21" s="94" t="str">
        <f t="shared" si="57"/>
        <v/>
      </c>
      <c r="CW21" s="93"/>
      <c r="CX21" s="94" t="str">
        <f t="shared" si="58"/>
        <v/>
      </c>
      <c r="CY21" s="94" t="str">
        <f t="shared" si="59"/>
        <v/>
      </c>
      <c r="CZ21" s="93"/>
      <c r="DA21" s="94" t="str">
        <f t="shared" si="60"/>
        <v/>
      </c>
      <c r="DB21" s="94" t="str">
        <f t="shared" si="61"/>
        <v/>
      </c>
      <c r="DC21" s="93"/>
      <c r="DD21" s="94" t="str">
        <f t="shared" si="62"/>
        <v/>
      </c>
      <c r="DE21" s="94" t="str">
        <f t="shared" si="63"/>
        <v/>
      </c>
      <c r="DF21" s="93"/>
      <c r="DG21" s="94"/>
      <c r="DH21" s="94" t="str">
        <f t="shared" si="64"/>
        <v/>
      </c>
      <c r="DI21" s="93"/>
      <c r="DJ21" s="94" t="str">
        <f t="shared" si="65"/>
        <v/>
      </c>
      <c r="DK21" s="94" t="str">
        <f t="shared" si="66"/>
        <v/>
      </c>
      <c r="DL21" s="93"/>
      <c r="DM21" s="94" t="str">
        <f t="shared" si="67"/>
        <v/>
      </c>
      <c r="DN21" s="94" t="str">
        <f t="shared" si="68"/>
        <v/>
      </c>
      <c r="DO21" s="93"/>
      <c r="DP21" s="94" t="str">
        <f t="shared" si="69"/>
        <v/>
      </c>
      <c r="DQ21" s="94" t="str">
        <f t="shared" si="70"/>
        <v/>
      </c>
      <c r="DR21" s="93"/>
      <c r="DS21" s="94" t="str">
        <f t="shared" si="71"/>
        <v/>
      </c>
      <c r="DT21" s="94" t="str">
        <f t="shared" si="72"/>
        <v/>
      </c>
      <c r="DU21" s="93"/>
      <c r="DV21" s="94" t="str">
        <f t="shared" si="73"/>
        <v/>
      </c>
      <c r="DW21" s="94" t="str">
        <f t="shared" si="74"/>
        <v/>
      </c>
      <c r="DX21" s="93"/>
      <c r="DY21" s="94" t="str">
        <f t="shared" si="75"/>
        <v/>
      </c>
      <c r="DZ21" s="94" t="str">
        <f t="shared" si="76"/>
        <v/>
      </c>
      <c r="EA21" s="95"/>
      <c r="EB21" s="94" t="str">
        <f t="shared" si="77"/>
        <v/>
      </c>
      <c r="EC21" s="94" t="str">
        <f t="shared" si="78"/>
        <v/>
      </c>
      <c r="ED21" s="93"/>
      <c r="EE21" s="94" t="str">
        <f t="shared" si="79"/>
        <v/>
      </c>
      <c r="EF21" s="94" t="str">
        <f t="shared" si="80"/>
        <v/>
      </c>
      <c r="EG21" s="93"/>
      <c r="EH21" s="94" t="str">
        <f t="shared" si="81"/>
        <v/>
      </c>
      <c r="EI21" s="94" t="str">
        <f t="shared" si="82"/>
        <v/>
      </c>
      <c r="EJ21" s="93"/>
      <c r="EK21" s="94" t="str">
        <f t="shared" si="83"/>
        <v/>
      </c>
      <c r="EL21" s="94" t="str">
        <f t="shared" si="84"/>
        <v/>
      </c>
      <c r="EM21" s="93"/>
      <c r="EN21" s="94" t="str">
        <f t="shared" si="85"/>
        <v/>
      </c>
      <c r="EO21" s="94" t="str">
        <f t="shared" si="86"/>
        <v/>
      </c>
      <c r="EP21" s="93"/>
      <c r="EQ21" s="94" t="str">
        <f t="shared" si="87"/>
        <v/>
      </c>
      <c r="ER21" s="94" t="str">
        <f t="shared" si="88"/>
        <v/>
      </c>
      <c r="ES21" s="66"/>
      <c r="ET21" s="94" t="str">
        <f t="shared" si="89"/>
        <v/>
      </c>
      <c r="EU21" s="94" t="str">
        <f t="shared" si="90"/>
        <v/>
      </c>
      <c r="EV21" s="95"/>
      <c r="EW21" s="94" t="str">
        <f t="shared" si="91"/>
        <v/>
      </c>
      <c r="EX21" s="94" t="str">
        <f t="shared" si="92"/>
        <v/>
      </c>
      <c r="EY21" s="93"/>
      <c r="EZ21" s="94" t="str">
        <f t="shared" si="93"/>
        <v/>
      </c>
      <c r="FA21" s="94" t="str">
        <f t="shared" si="94"/>
        <v/>
      </c>
      <c r="FB21" s="93"/>
      <c r="FC21" s="94" t="str">
        <f t="shared" si="95"/>
        <v/>
      </c>
      <c r="FD21" s="94" t="str">
        <f t="shared" si="96"/>
        <v/>
      </c>
      <c r="FE21" s="93" t="s">
        <v>87</v>
      </c>
      <c r="FF21" s="94" t="str">
        <f t="shared" si="97"/>
        <v/>
      </c>
      <c r="FG21" s="94" t="str">
        <f t="shared" si="98"/>
        <v/>
      </c>
      <c r="FH21" s="93"/>
      <c r="FI21" s="94" t="str">
        <f t="shared" si="99"/>
        <v/>
      </c>
      <c r="FJ21" s="94" t="str">
        <f t="shared" si="100"/>
        <v/>
      </c>
      <c r="FK21" s="93"/>
      <c r="FL21" s="94" t="str">
        <f t="shared" si="101"/>
        <v/>
      </c>
      <c r="FM21" s="94" t="str">
        <f t="shared" si="102"/>
        <v/>
      </c>
      <c r="FN21" s="95"/>
      <c r="FO21" s="94" t="str">
        <f t="shared" si="103"/>
        <v/>
      </c>
      <c r="FP21" s="94" t="str">
        <f t="shared" si="104"/>
        <v/>
      </c>
      <c r="FQ21" s="93"/>
      <c r="FR21" s="94" t="str">
        <f t="shared" si="105"/>
        <v/>
      </c>
      <c r="FS21" s="94" t="str">
        <f t="shared" si="106"/>
        <v/>
      </c>
      <c r="FT21" s="93"/>
      <c r="FU21" s="94" t="str">
        <f t="shared" si="107"/>
        <v/>
      </c>
      <c r="FV21" s="94" t="str">
        <f t="shared" si="108"/>
        <v/>
      </c>
      <c r="FW21" s="96"/>
      <c r="FX21" s="94" t="str">
        <f t="shared" si="109"/>
        <v/>
      </c>
      <c r="FY21" s="94" t="str">
        <f t="shared" si="110"/>
        <v/>
      </c>
      <c r="FZ21" s="93"/>
      <c r="GA21" s="94" t="str">
        <f t="shared" si="111"/>
        <v/>
      </c>
      <c r="GB21" s="94" t="str">
        <f t="shared" si="112"/>
        <v/>
      </c>
      <c r="GC21" s="93"/>
      <c r="GD21" s="94" t="str">
        <f t="shared" si="113"/>
        <v/>
      </c>
      <c r="GE21" s="94" t="str">
        <f t="shared" si="114"/>
        <v/>
      </c>
      <c r="GF21" s="93"/>
      <c r="GG21" s="94" t="str">
        <f t="shared" si="115"/>
        <v/>
      </c>
      <c r="GH21" s="94" t="str">
        <f t="shared" si="116"/>
        <v/>
      </c>
      <c r="GI21" s="93"/>
      <c r="GJ21" s="94" t="str">
        <f t="shared" si="117"/>
        <v/>
      </c>
      <c r="GK21" s="94" t="str">
        <f t="shared" si="118"/>
        <v/>
      </c>
      <c r="GL21" s="93"/>
      <c r="GM21" s="94" t="str">
        <f t="shared" si="119"/>
        <v/>
      </c>
      <c r="GN21" s="94" t="str">
        <f t="shared" si="120"/>
        <v/>
      </c>
      <c r="GO21" s="93"/>
      <c r="GP21" s="94" t="str">
        <f t="shared" si="121"/>
        <v/>
      </c>
      <c r="GQ21" s="94" t="str">
        <f t="shared" si="122"/>
        <v/>
      </c>
      <c r="GR21" s="93"/>
      <c r="GS21" s="94" t="str">
        <f t="shared" si="123"/>
        <v/>
      </c>
      <c r="GT21" s="94" t="str">
        <f t="shared" si="124"/>
        <v/>
      </c>
      <c r="GU21" s="93"/>
      <c r="GV21" s="94" t="str">
        <f t="shared" si="125"/>
        <v/>
      </c>
      <c r="GW21" s="94" t="str">
        <f t="shared" si="126"/>
        <v/>
      </c>
      <c r="GX21" s="93"/>
      <c r="GY21" s="94" t="str">
        <f t="shared" si="127"/>
        <v/>
      </c>
      <c r="GZ21" s="94" t="str">
        <f t="shared" si="128"/>
        <v/>
      </c>
      <c r="HA21" s="93"/>
      <c r="HB21" s="94" t="str">
        <f t="shared" si="129"/>
        <v/>
      </c>
      <c r="HC21" s="94" t="str">
        <f t="shared" si="130"/>
        <v/>
      </c>
      <c r="HD21" s="93">
        <v>72</v>
      </c>
      <c r="HE21" s="94">
        <f t="shared" si="131"/>
        <v>-0.49607088244489439</v>
      </c>
      <c r="HF21" s="94">
        <f t="shared" si="132"/>
        <v>0.5</v>
      </c>
      <c r="HG21" s="93"/>
      <c r="HH21" s="94" t="str">
        <f t="shared" si="133"/>
        <v/>
      </c>
      <c r="HI21" s="94" t="str">
        <f t="shared" si="134"/>
        <v/>
      </c>
      <c r="HJ21" s="93"/>
      <c r="HK21" s="94" t="str">
        <f t="shared" si="135"/>
        <v/>
      </c>
      <c r="HL21" s="94" t="str">
        <f t="shared" si="136"/>
        <v/>
      </c>
      <c r="HM21" s="93"/>
      <c r="HN21" s="94" t="str">
        <f t="shared" si="137"/>
        <v/>
      </c>
      <c r="HO21" s="94" t="str">
        <f t="shared" si="138"/>
        <v/>
      </c>
      <c r="HP21" s="93"/>
      <c r="HQ21" s="94" t="str">
        <f t="shared" si="139"/>
        <v/>
      </c>
      <c r="HR21" s="94" t="str">
        <f t="shared" si="140"/>
        <v/>
      </c>
      <c r="HS21" s="93"/>
      <c r="HT21" s="94" t="str">
        <f t="shared" si="141"/>
        <v/>
      </c>
      <c r="HU21" s="94" t="str">
        <f t="shared" si="142"/>
        <v/>
      </c>
      <c r="HV21" s="93"/>
      <c r="HW21" s="94" t="str">
        <f t="shared" si="143"/>
        <v/>
      </c>
      <c r="HX21" s="94" t="str">
        <f t="shared" si="144"/>
        <v/>
      </c>
      <c r="HY21" s="93"/>
      <c r="HZ21" s="94" t="str">
        <f t="shared" si="145"/>
        <v/>
      </c>
      <c r="IA21" s="94" t="str">
        <f t="shared" si="146"/>
        <v/>
      </c>
      <c r="IB21" s="93"/>
      <c r="IC21" s="94" t="str">
        <f t="shared" si="147"/>
        <v/>
      </c>
      <c r="ID21" s="94" t="str">
        <f t="shared" si="148"/>
        <v/>
      </c>
      <c r="IE21" s="93"/>
      <c r="IF21" s="94" t="str">
        <f t="shared" si="149"/>
        <v/>
      </c>
      <c r="IG21" s="94" t="str">
        <f t="shared" si="150"/>
        <v/>
      </c>
      <c r="IH21" s="93"/>
      <c r="II21" s="94" t="str">
        <f t="shared" si="151"/>
        <v/>
      </c>
      <c r="IJ21" s="94" t="str">
        <f t="shared" si="152"/>
        <v/>
      </c>
      <c r="IK21" s="93"/>
      <c r="IL21" s="94" t="str">
        <f t="shared" si="153"/>
        <v/>
      </c>
      <c r="IM21" s="94" t="str">
        <f t="shared" si="154"/>
        <v/>
      </c>
      <c r="IN21" s="93"/>
      <c r="IO21" s="94" t="str">
        <f t="shared" si="155"/>
        <v/>
      </c>
      <c r="IP21" s="94" t="str">
        <f t="shared" si="156"/>
        <v/>
      </c>
      <c r="IQ21" s="93"/>
      <c r="IR21" s="94" t="str">
        <f t="shared" si="157"/>
        <v/>
      </c>
      <c r="IS21" s="94" t="str">
        <f t="shared" si="158"/>
        <v/>
      </c>
      <c r="IT21" s="93"/>
      <c r="IU21" s="94" t="str">
        <f t="shared" si="159"/>
        <v/>
      </c>
      <c r="IV21" s="94" t="str">
        <f t="shared" si="160"/>
        <v/>
      </c>
      <c r="IW21" s="93"/>
      <c r="IX21" s="94" t="str">
        <f t="shared" si="161"/>
        <v/>
      </c>
      <c r="IY21" s="94" t="str">
        <f t="shared" si="162"/>
        <v/>
      </c>
      <c r="IZ21" s="93"/>
      <c r="JA21" s="94" t="str">
        <f t="shared" si="163"/>
        <v/>
      </c>
      <c r="JB21" s="94" t="str">
        <f t="shared" si="164"/>
        <v/>
      </c>
      <c r="JC21" s="93"/>
      <c r="JD21" s="94" t="str">
        <f t="shared" si="165"/>
        <v/>
      </c>
      <c r="JE21" s="94" t="str">
        <f t="shared" si="166"/>
        <v/>
      </c>
      <c r="JF21" s="93"/>
      <c r="JG21" s="94" t="str">
        <f t="shared" si="167"/>
        <v/>
      </c>
      <c r="JH21" s="94" t="str">
        <f t="shared" si="168"/>
        <v/>
      </c>
      <c r="JI21" s="93"/>
      <c r="JJ21" s="94" t="str">
        <f t="shared" si="169"/>
        <v/>
      </c>
      <c r="JK21" s="94" t="str">
        <f t="shared" si="170"/>
        <v/>
      </c>
      <c r="JL21" s="93"/>
      <c r="JM21" s="94" t="str">
        <f t="shared" si="171"/>
        <v/>
      </c>
      <c r="JN21" s="94" t="str">
        <f t="shared" si="172"/>
        <v/>
      </c>
      <c r="JO21" s="93"/>
      <c r="JP21" s="94" t="str">
        <f t="shared" si="173"/>
        <v/>
      </c>
      <c r="JQ21" s="94" t="str">
        <f t="shared" si="174"/>
        <v/>
      </c>
      <c r="JR21" s="93"/>
      <c r="JS21" s="94" t="str">
        <f t="shared" si="175"/>
        <v/>
      </c>
      <c r="JT21" s="94" t="str">
        <f t="shared" si="176"/>
        <v/>
      </c>
      <c r="JU21" s="93"/>
      <c r="JV21" s="94" t="str">
        <f t="shared" si="177"/>
        <v/>
      </c>
      <c r="JW21" s="94" t="str">
        <f t="shared" si="178"/>
        <v/>
      </c>
      <c r="JX21" s="93"/>
      <c r="JY21" s="94" t="str">
        <f t="shared" si="179"/>
        <v/>
      </c>
      <c r="JZ21" s="94" t="str">
        <f t="shared" si="180"/>
        <v/>
      </c>
      <c r="KA21" s="93"/>
      <c r="KB21" s="94" t="str">
        <f t="shared" si="181"/>
        <v/>
      </c>
      <c r="KC21" s="94" t="str">
        <f t="shared" si="182"/>
        <v/>
      </c>
      <c r="KD21" s="93"/>
      <c r="KE21" s="94" t="str">
        <f t="shared" si="183"/>
        <v/>
      </c>
      <c r="KF21" s="94" t="str">
        <f t="shared" si="184"/>
        <v/>
      </c>
      <c r="KG21" s="93"/>
      <c r="KH21" s="94" t="str">
        <f t="shared" si="185"/>
        <v/>
      </c>
      <c r="KI21" s="94" t="str">
        <f t="shared" si="186"/>
        <v/>
      </c>
      <c r="KJ21" s="93"/>
      <c r="KK21" s="94" t="str">
        <f t="shared" si="187"/>
        <v/>
      </c>
      <c r="KL21" s="94" t="str">
        <f t="shared" si="188"/>
        <v/>
      </c>
      <c r="KM21" s="93"/>
      <c r="KN21" s="94" t="str">
        <f t="shared" si="189"/>
        <v/>
      </c>
      <c r="KO21" s="94" t="str">
        <f t="shared" si="190"/>
        <v/>
      </c>
      <c r="KP21" s="93"/>
      <c r="KQ21" s="94" t="str">
        <f t="shared" si="191"/>
        <v/>
      </c>
      <c r="KR21" s="94" t="str">
        <f t="shared" si="192"/>
        <v/>
      </c>
      <c r="KS21" s="93"/>
      <c r="KT21" s="94" t="str">
        <f t="shared" si="193"/>
        <v/>
      </c>
      <c r="KU21" s="94" t="str">
        <f t="shared" si="194"/>
        <v/>
      </c>
      <c r="KV21" s="93"/>
      <c r="KW21" s="94" t="str">
        <f t="shared" si="195"/>
        <v/>
      </c>
      <c r="KX21" s="94" t="str">
        <f t="shared" si="196"/>
        <v/>
      </c>
      <c r="KY21" s="96"/>
      <c r="KZ21" s="94" t="str">
        <f t="shared" si="197"/>
        <v/>
      </c>
      <c r="LA21" s="94" t="str">
        <f t="shared" si="198"/>
        <v/>
      </c>
      <c r="LB21" s="65">
        <f t="shared" si="213"/>
        <v>66.599999999999994</v>
      </c>
      <c r="LC21" s="115">
        <f t="shared" si="199"/>
        <v>58</v>
      </c>
      <c r="LD21" s="65">
        <f t="shared" si="207"/>
        <v>-0.96495948841431467</v>
      </c>
      <c r="LE21" s="115">
        <f t="shared" si="200"/>
        <v>54</v>
      </c>
      <c r="LF21" s="65">
        <f t="shared" si="208"/>
        <v>0.2</v>
      </c>
      <c r="LG21" s="115">
        <f t="shared" si="201"/>
        <v>51</v>
      </c>
      <c r="LH21" s="69">
        <f t="shared" si="202"/>
        <v>32.785087719298247</v>
      </c>
      <c r="LI21" s="69">
        <f t="shared" si="203"/>
        <v>30.840307434862098</v>
      </c>
      <c r="LJ21" s="69">
        <f t="shared" si="204"/>
        <v>30</v>
      </c>
      <c r="LK21" s="69">
        <f t="shared" si="205"/>
        <v>43.625395154160344</v>
      </c>
      <c r="LL21" s="71">
        <f t="shared" si="206"/>
        <v>57</v>
      </c>
      <c r="LM21" s="68"/>
      <c r="LN21" s="72">
        <f t="shared" si="215"/>
        <v>7</v>
      </c>
      <c r="LO21" s="73">
        <f t="shared" si="216"/>
        <v>57</v>
      </c>
      <c r="LP21" s="68"/>
      <c r="LQ21" s="68"/>
      <c r="LR21" s="68"/>
    </row>
    <row r="22" spans="1:334" s="74" customFormat="1" ht="15" customHeight="1">
      <c r="A22" s="106">
        <f t="shared" si="211"/>
        <v>5</v>
      </c>
      <c r="B22" s="106">
        <f t="shared" si="212"/>
        <v>5</v>
      </c>
      <c r="C22" s="117">
        <v>22</v>
      </c>
      <c r="D22" s="118" t="s">
        <v>163</v>
      </c>
      <c r="E22" s="286" t="s">
        <v>620</v>
      </c>
      <c r="F22" s="286" t="s">
        <v>621</v>
      </c>
      <c r="G22" s="76"/>
      <c r="H22" s="119" t="s">
        <v>5</v>
      </c>
      <c r="I22" s="286" t="s">
        <v>543</v>
      </c>
      <c r="J22" s="119" t="s">
        <v>164</v>
      </c>
      <c r="K22" s="119" t="s">
        <v>2</v>
      </c>
      <c r="L22" s="53" t="s">
        <v>165</v>
      </c>
      <c r="M22" s="292" t="s">
        <v>35</v>
      </c>
      <c r="N22" s="86"/>
      <c r="O22" s="91" t="str">
        <f t="shared" si="0"/>
        <v/>
      </c>
      <c r="P22" s="91" t="str">
        <f t="shared" si="1"/>
        <v/>
      </c>
      <c r="Q22" s="86"/>
      <c r="R22" s="91" t="str">
        <f t="shared" si="2"/>
        <v/>
      </c>
      <c r="S22" s="91" t="str">
        <f t="shared" si="3"/>
        <v/>
      </c>
      <c r="T22" s="86"/>
      <c r="U22" s="91" t="str">
        <f t="shared" si="4"/>
        <v/>
      </c>
      <c r="V22" s="91" t="str">
        <f t="shared" si="5"/>
        <v/>
      </c>
      <c r="W22" s="86"/>
      <c r="X22" s="91" t="str">
        <f t="shared" si="6"/>
        <v/>
      </c>
      <c r="Y22" s="91" t="str">
        <f t="shared" si="7"/>
        <v/>
      </c>
      <c r="Z22" s="89"/>
      <c r="AA22" s="91" t="str">
        <f t="shared" si="8"/>
        <v/>
      </c>
      <c r="AB22" s="91" t="str">
        <f t="shared" si="9"/>
        <v/>
      </c>
      <c r="AC22" s="86"/>
      <c r="AD22" s="91" t="str">
        <f t="shared" si="10"/>
        <v/>
      </c>
      <c r="AE22" s="91" t="str">
        <f t="shared" si="11"/>
        <v/>
      </c>
      <c r="AF22" s="86"/>
      <c r="AG22" s="91" t="str">
        <f t="shared" si="12"/>
        <v/>
      </c>
      <c r="AH22" s="91" t="str">
        <f t="shared" si="13"/>
        <v/>
      </c>
      <c r="AI22" s="86"/>
      <c r="AJ22" s="91" t="str">
        <f t="shared" si="14"/>
        <v/>
      </c>
      <c r="AK22" s="91" t="str">
        <f t="shared" si="15"/>
        <v/>
      </c>
      <c r="AL22" s="86"/>
      <c r="AM22" s="91" t="str">
        <f t="shared" si="16"/>
        <v/>
      </c>
      <c r="AN22" s="91" t="str">
        <f t="shared" si="17"/>
        <v/>
      </c>
      <c r="AO22" s="86"/>
      <c r="AP22" s="91" t="str">
        <f t="shared" si="18"/>
        <v/>
      </c>
      <c r="AQ22" s="91" t="str">
        <f t="shared" si="19"/>
        <v/>
      </c>
      <c r="AR22" s="86"/>
      <c r="AS22" s="91" t="str">
        <f t="shared" si="20"/>
        <v/>
      </c>
      <c r="AT22" s="91" t="str">
        <f t="shared" si="21"/>
        <v/>
      </c>
      <c r="AU22" s="89"/>
      <c r="AV22" s="91" t="str">
        <f t="shared" si="22"/>
        <v/>
      </c>
      <c r="AW22" s="91" t="str">
        <f t="shared" si="23"/>
        <v/>
      </c>
      <c r="AX22" s="86"/>
      <c r="AY22" s="91" t="str">
        <f t="shared" si="24"/>
        <v/>
      </c>
      <c r="AZ22" s="91" t="str">
        <f t="shared" si="25"/>
        <v/>
      </c>
      <c r="BA22" s="86"/>
      <c r="BB22" s="91" t="str">
        <f t="shared" si="26"/>
        <v/>
      </c>
      <c r="BC22" s="91" t="str">
        <f t="shared" si="27"/>
        <v/>
      </c>
      <c r="BD22" s="86"/>
      <c r="BE22" s="91" t="str">
        <f t="shared" si="28"/>
        <v/>
      </c>
      <c r="BF22" s="91" t="str">
        <f t="shared" si="29"/>
        <v/>
      </c>
      <c r="BG22" s="86"/>
      <c r="BH22" s="91" t="str">
        <f t="shared" si="30"/>
        <v/>
      </c>
      <c r="BI22" s="91" t="str">
        <f t="shared" si="31"/>
        <v/>
      </c>
      <c r="BJ22" s="86">
        <v>86</v>
      </c>
      <c r="BK22" s="91">
        <f t="shared" si="32"/>
        <v>-0.42008402520840293</v>
      </c>
      <c r="BL22" s="91">
        <f t="shared" si="33"/>
        <v>0.5</v>
      </c>
      <c r="BM22" s="86"/>
      <c r="BN22" s="91" t="str">
        <f t="shared" si="34"/>
        <v/>
      </c>
      <c r="BO22" s="91" t="str">
        <f t="shared" si="35"/>
        <v/>
      </c>
      <c r="BP22" s="252">
        <v>100</v>
      </c>
      <c r="BQ22" s="91">
        <f t="shared" si="36"/>
        <v>0.95987542470357812</v>
      </c>
      <c r="BR22" s="91">
        <f t="shared" si="37"/>
        <v>1</v>
      </c>
      <c r="BS22" s="86"/>
      <c r="BT22" s="91" t="str">
        <f t="shared" si="38"/>
        <v/>
      </c>
      <c r="BU22" s="91" t="str">
        <f t="shared" si="39"/>
        <v/>
      </c>
      <c r="BV22" s="252">
        <v>98</v>
      </c>
      <c r="BW22" s="91">
        <f t="shared" si="40"/>
        <v>1.4410451367236221</v>
      </c>
      <c r="BX22" s="91">
        <f t="shared" si="41"/>
        <v>1</v>
      </c>
      <c r="BY22" s="86"/>
      <c r="BZ22" s="91" t="str">
        <f t="shared" si="42"/>
        <v/>
      </c>
      <c r="CA22" s="91" t="str">
        <f t="shared" si="43"/>
        <v/>
      </c>
      <c r="CB22" s="86"/>
      <c r="CC22" s="91" t="str">
        <f t="shared" si="44"/>
        <v/>
      </c>
      <c r="CD22" s="91" t="str">
        <f t="shared" si="45"/>
        <v/>
      </c>
      <c r="CE22" s="86"/>
      <c r="CF22" s="91" t="str">
        <f t="shared" si="46"/>
        <v/>
      </c>
      <c r="CG22" s="91" t="str">
        <f t="shared" si="47"/>
        <v/>
      </c>
      <c r="CH22" s="86"/>
      <c r="CI22" s="91" t="str">
        <f t="shared" si="48"/>
        <v/>
      </c>
      <c r="CJ22" s="91" t="str">
        <f t="shared" si="49"/>
        <v/>
      </c>
      <c r="CK22" s="86"/>
      <c r="CL22" s="91" t="str">
        <f t="shared" si="50"/>
        <v/>
      </c>
      <c r="CM22" s="91" t="str">
        <f t="shared" si="51"/>
        <v/>
      </c>
      <c r="CN22" s="86"/>
      <c r="CO22" s="91" t="str">
        <f t="shared" si="52"/>
        <v/>
      </c>
      <c r="CP22" s="91" t="str">
        <f t="shared" si="53"/>
        <v/>
      </c>
      <c r="CQ22" s="89"/>
      <c r="CR22" s="91" t="str">
        <f t="shared" si="54"/>
        <v/>
      </c>
      <c r="CS22" s="91" t="str">
        <f t="shared" si="55"/>
        <v/>
      </c>
      <c r="CT22" s="86"/>
      <c r="CU22" s="91" t="str">
        <f t="shared" si="56"/>
        <v/>
      </c>
      <c r="CV22" s="91" t="str">
        <f t="shared" si="57"/>
        <v/>
      </c>
      <c r="CW22" s="86"/>
      <c r="CX22" s="91" t="str">
        <f t="shared" si="58"/>
        <v/>
      </c>
      <c r="CY22" s="91" t="str">
        <f t="shared" si="59"/>
        <v/>
      </c>
      <c r="CZ22" s="86"/>
      <c r="DA22" s="91" t="str">
        <f t="shared" si="60"/>
        <v/>
      </c>
      <c r="DB22" s="91" t="str">
        <f t="shared" si="61"/>
        <v/>
      </c>
      <c r="DC22" s="86"/>
      <c r="DD22" s="91" t="str">
        <f t="shared" si="62"/>
        <v/>
      </c>
      <c r="DE22" s="91" t="str">
        <f t="shared" si="63"/>
        <v/>
      </c>
      <c r="DF22" s="86"/>
      <c r="DG22" s="91"/>
      <c r="DH22" s="91" t="str">
        <f t="shared" si="64"/>
        <v/>
      </c>
      <c r="DI22" s="86"/>
      <c r="DJ22" s="91" t="str">
        <f t="shared" si="65"/>
        <v/>
      </c>
      <c r="DK22" s="91" t="str">
        <f t="shared" si="66"/>
        <v/>
      </c>
      <c r="DL22" s="86"/>
      <c r="DM22" s="91" t="str">
        <f t="shared" si="67"/>
        <v/>
      </c>
      <c r="DN22" s="91" t="str">
        <f t="shared" si="68"/>
        <v/>
      </c>
      <c r="DO22" s="86"/>
      <c r="DP22" s="91" t="str">
        <f t="shared" si="69"/>
        <v/>
      </c>
      <c r="DQ22" s="91" t="str">
        <f t="shared" si="70"/>
        <v/>
      </c>
      <c r="DR22" s="89"/>
      <c r="DS22" s="91" t="str">
        <f t="shared" si="71"/>
        <v/>
      </c>
      <c r="DT22" s="91" t="str">
        <f t="shared" si="72"/>
        <v/>
      </c>
      <c r="DU22" s="86"/>
      <c r="DV22" s="91" t="str">
        <f t="shared" si="73"/>
        <v/>
      </c>
      <c r="DW22" s="91" t="str">
        <f t="shared" si="74"/>
        <v/>
      </c>
      <c r="DX22" s="86">
        <v>100</v>
      </c>
      <c r="DY22" s="91">
        <f t="shared" si="75"/>
        <v>1.5293068781507055</v>
      </c>
      <c r="DZ22" s="91">
        <f t="shared" si="76"/>
        <v>1</v>
      </c>
      <c r="EA22" s="86"/>
      <c r="EB22" s="91" t="str">
        <f t="shared" si="77"/>
        <v/>
      </c>
      <c r="EC22" s="91" t="str">
        <f t="shared" si="78"/>
        <v/>
      </c>
      <c r="ED22" s="86"/>
      <c r="EE22" s="91" t="str">
        <f t="shared" si="79"/>
        <v/>
      </c>
      <c r="EF22" s="91" t="str">
        <f t="shared" si="80"/>
        <v/>
      </c>
      <c r="EG22" s="86"/>
      <c r="EH22" s="91" t="str">
        <f t="shared" si="81"/>
        <v/>
      </c>
      <c r="EI22" s="91" t="str">
        <f t="shared" si="82"/>
        <v/>
      </c>
      <c r="EJ22" s="86"/>
      <c r="EK22" s="91" t="str">
        <f t="shared" si="83"/>
        <v/>
      </c>
      <c r="EL22" s="91" t="str">
        <f t="shared" si="84"/>
        <v/>
      </c>
      <c r="EM22" s="86"/>
      <c r="EN22" s="91" t="str">
        <f t="shared" si="85"/>
        <v/>
      </c>
      <c r="EO22" s="91" t="str">
        <f t="shared" si="86"/>
        <v/>
      </c>
      <c r="EP22" s="86"/>
      <c r="EQ22" s="91" t="str">
        <f t="shared" si="87"/>
        <v/>
      </c>
      <c r="ER22" s="91" t="str">
        <f t="shared" si="88"/>
        <v/>
      </c>
      <c r="ES22" s="89">
        <v>84</v>
      </c>
      <c r="ET22" s="91">
        <f t="shared" si="89"/>
        <v>-0.10408972546332611</v>
      </c>
      <c r="EU22" s="91">
        <f t="shared" si="90"/>
        <v>0.5</v>
      </c>
      <c r="EV22" s="86"/>
      <c r="EW22" s="91" t="str">
        <f t="shared" si="91"/>
        <v/>
      </c>
      <c r="EX22" s="91" t="str">
        <f t="shared" si="92"/>
        <v/>
      </c>
      <c r="EY22" s="86"/>
      <c r="EZ22" s="91" t="str">
        <f t="shared" si="93"/>
        <v/>
      </c>
      <c r="FA22" s="91" t="str">
        <f t="shared" si="94"/>
        <v/>
      </c>
      <c r="FB22" s="86"/>
      <c r="FC22" s="91" t="str">
        <f t="shared" si="95"/>
        <v/>
      </c>
      <c r="FD22" s="91" t="str">
        <f t="shared" si="96"/>
        <v/>
      </c>
      <c r="FE22" s="86"/>
      <c r="FF22" s="91" t="str">
        <f t="shared" si="97"/>
        <v/>
      </c>
      <c r="FG22" s="91" t="str">
        <f t="shared" si="98"/>
        <v/>
      </c>
      <c r="FH22" s="86"/>
      <c r="FI22" s="91" t="str">
        <f t="shared" si="99"/>
        <v/>
      </c>
      <c r="FJ22" s="91" t="str">
        <f t="shared" si="100"/>
        <v/>
      </c>
      <c r="FK22" s="86"/>
      <c r="FL22" s="91" t="str">
        <f t="shared" si="101"/>
        <v/>
      </c>
      <c r="FM22" s="91" t="str">
        <f t="shared" si="102"/>
        <v/>
      </c>
      <c r="FN22" s="89"/>
      <c r="FO22" s="91" t="str">
        <f t="shared" si="103"/>
        <v/>
      </c>
      <c r="FP22" s="91" t="str">
        <f t="shared" si="104"/>
        <v/>
      </c>
      <c r="FQ22" s="86"/>
      <c r="FR22" s="91" t="str">
        <f t="shared" si="105"/>
        <v/>
      </c>
      <c r="FS22" s="91" t="str">
        <f t="shared" si="106"/>
        <v/>
      </c>
      <c r="FT22" s="86"/>
      <c r="FU22" s="91" t="str">
        <f t="shared" si="107"/>
        <v/>
      </c>
      <c r="FV22" s="91" t="str">
        <f t="shared" si="108"/>
        <v/>
      </c>
      <c r="FW22" s="92"/>
      <c r="FX22" s="91" t="str">
        <f t="shared" si="109"/>
        <v/>
      </c>
      <c r="FY22" s="91" t="str">
        <f t="shared" si="110"/>
        <v/>
      </c>
      <c r="FZ22" s="86"/>
      <c r="GA22" s="91" t="str">
        <f t="shared" si="111"/>
        <v/>
      </c>
      <c r="GB22" s="91" t="str">
        <f t="shared" si="112"/>
        <v/>
      </c>
      <c r="GC22" s="89"/>
      <c r="GD22" s="91" t="str">
        <f t="shared" si="113"/>
        <v/>
      </c>
      <c r="GE22" s="91" t="str">
        <f t="shared" si="114"/>
        <v/>
      </c>
      <c r="GF22" s="86"/>
      <c r="GG22" s="91" t="str">
        <f t="shared" si="115"/>
        <v/>
      </c>
      <c r="GH22" s="91" t="str">
        <f t="shared" si="116"/>
        <v/>
      </c>
      <c r="GI22" s="86"/>
      <c r="GJ22" s="91" t="str">
        <f t="shared" si="117"/>
        <v/>
      </c>
      <c r="GK22" s="91" t="str">
        <f t="shared" si="118"/>
        <v/>
      </c>
      <c r="GL22" s="86"/>
      <c r="GM22" s="91" t="str">
        <f t="shared" si="119"/>
        <v/>
      </c>
      <c r="GN22" s="91" t="str">
        <f t="shared" si="120"/>
        <v/>
      </c>
      <c r="GO22" s="86"/>
      <c r="GP22" s="91" t="str">
        <f t="shared" si="121"/>
        <v/>
      </c>
      <c r="GQ22" s="91" t="str">
        <f t="shared" si="122"/>
        <v/>
      </c>
      <c r="GR22" s="86"/>
      <c r="GS22" s="91" t="str">
        <f t="shared" si="123"/>
        <v/>
      </c>
      <c r="GT22" s="91" t="str">
        <f t="shared" si="124"/>
        <v/>
      </c>
      <c r="GU22" s="86"/>
      <c r="GV22" s="91" t="str">
        <f t="shared" si="125"/>
        <v/>
      </c>
      <c r="GW22" s="91" t="str">
        <f t="shared" si="126"/>
        <v/>
      </c>
      <c r="GX22" s="86"/>
      <c r="GY22" s="91" t="str">
        <f t="shared" si="127"/>
        <v/>
      </c>
      <c r="GZ22" s="91" t="str">
        <f t="shared" si="128"/>
        <v/>
      </c>
      <c r="HA22" s="86"/>
      <c r="HB22" s="91" t="str">
        <f t="shared" si="129"/>
        <v/>
      </c>
      <c r="HC22" s="91" t="str">
        <f t="shared" si="130"/>
        <v/>
      </c>
      <c r="HD22" s="86"/>
      <c r="HE22" s="91" t="str">
        <f t="shared" si="131"/>
        <v/>
      </c>
      <c r="HF22" s="91" t="str">
        <f t="shared" si="132"/>
        <v/>
      </c>
      <c r="HG22" s="86"/>
      <c r="HH22" s="91" t="str">
        <f t="shared" si="133"/>
        <v/>
      </c>
      <c r="HI22" s="91" t="str">
        <f t="shared" si="134"/>
        <v/>
      </c>
      <c r="HJ22" s="86"/>
      <c r="HK22" s="91" t="str">
        <f t="shared" si="135"/>
        <v/>
      </c>
      <c r="HL22" s="91" t="str">
        <f t="shared" si="136"/>
        <v/>
      </c>
      <c r="HM22" s="86"/>
      <c r="HN22" s="91" t="str">
        <f t="shared" si="137"/>
        <v/>
      </c>
      <c r="HO22" s="91" t="str">
        <f t="shared" si="138"/>
        <v/>
      </c>
      <c r="HP22" s="86"/>
      <c r="HQ22" s="91" t="str">
        <f t="shared" si="139"/>
        <v/>
      </c>
      <c r="HR22" s="91" t="str">
        <f t="shared" si="140"/>
        <v/>
      </c>
      <c r="HS22" s="86"/>
      <c r="HT22" s="91" t="str">
        <f t="shared" si="141"/>
        <v/>
      </c>
      <c r="HU22" s="91" t="str">
        <f t="shared" si="142"/>
        <v/>
      </c>
      <c r="HV22" s="86"/>
      <c r="HW22" s="91" t="str">
        <f t="shared" si="143"/>
        <v/>
      </c>
      <c r="HX22" s="91" t="str">
        <f t="shared" si="144"/>
        <v/>
      </c>
      <c r="HY22" s="86"/>
      <c r="HZ22" s="91" t="str">
        <f t="shared" si="145"/>
        <v/>
      </c>
      <c r="IA22" s="91" t="str">
        <f t="shared" si="146"/>
        <v/>
      </c>
      <c r="IB22" s="86"/>
      <c r="IC22" s="91" t="str">
        <f t="shared" si="147"/>
        <v/>
      </c>
      <c r="ID22" s="91" t="str">
        <f t="shared" si="148"/>
        <v/>
      </c>
      <c r="IE22" s="86"/>
      <c r="IF22" s="91" t="str">
        <f t="shared" si="149"/>
        <v/>
      </c>
      <c r="IG22" s="91" t="str">
        <f t="shared" si="150"/>
        <v/>
      </c>
      <c r="IH22" s="86"/>
      <c r="II22" s="91" t="str">
        <f t="shared" si="151"/>
        <v/>
      </c>
      <c r="IJ22" s="91" t="str">
        <f t="shared" si="152"/>
        <v/>
      </c>
      <c r="IK22" s="86"/>
      <c r="IL22" s="91" t="str">
        <f t="shared" si="153"/>
        <v/>
      </c>
      <c r="IM22" s="91" t="str">
        <f t="shared" si="154"/>
        <v/>
      </c>
      <c r="IN22" s="86"/>
      <c r="IO22" s="91" t="str">
        <f t="shared" si="155"/>
        <v/>
      </c>
      <c r="IP22" s="91" t="str">
        <f t="shared" si="156"/>
        <v/>
      </c>
      <c r="IQ22" s="86"/>
      <c r="IR22" s="91" t="str">
        <f t="shared" si="157"/>
        <v/>
      </c>
      <c r="IS22" s="91" t="str">
        <f t="shared" si="158"/>
        <v/>
      </c>
      <c r="IT22" s="86"/>
      <c r="IU22" s="91" t="str">
        <f t="shared" si="159"/>
        <v/>
      </c>
      <c r="IV22" s="91" t="str">
        <f t="shared" si="160"/>
        <v/>
      </c>
      <c r="IW22" s="86"/>
      <c r="IX22" s="91" t="str">
        <f t="shared" si="161"/>
        <v/>
      </c>
      <c r="IY22" s="91" t="str">
        <f t="shared" si="162"/>
        <v/>
      </c>
      <c r="IZ22" s="86"/>
      <c r="JA22" s="91" t="str">
        <f t="shared" si="163"/>
        <v/>
      </c>
      <c r="JB22" s="91" t="str">
        <f t="shared" si="164"/>
        <v/>
      </c>
      <c r="JC22" s="86"/>
      <c r="JD22" s="91" t="str">
        <f t="shared" si="165"/>
        <v/>
      </c>
      <c r="JE22" s="91" t="str">
        <f t="shared" si="166"/>
        <v/>
      </c>
      <c r="JF22" s="86"/>
      <c r="JG22" s="91" t="str">
        <f t="shared" si="167"/>
        <v/>
      </c>
      <c r="JH22" s="91" t="str">
        <f t="shared" si="168"/>
        <v/>
      </c>
      <c r="JI22" s="86"/>
      <c r="JJ22" s="91" t="str">
        <f t="shared" si="169"/>
        <v/>
      </c>
      <c r="JK22" s="91" t="str">
        <f t="shared" si="170"/>
        <v/>
      </c>
      <c r="JL22" s="86"/>
      <c r="JM22" s="91" t="str">
        <f t="shared" si="171"/>
        <v/>
      </c>
      <c r="JN22" s="91" t="str">
        <f t="shared" si="172"/>
        <v/>
      </c>
      <c r="JO22" s="86"/>
      <c r="JP22" s="91" t="str">
        <f t="shared" si="173"/>
        <v/>
      </c>
      <c r="JQ22" s="91" t="str">
        <f t="shared" si="174"/>
        <v/>
      </c>
      <c r="JR22" s="86"/>
      <c r="JS22" s="91" t="str">
        <f t="shared" si="175"/>
        <v/>
      </c>
      <c r="JT22" s="91" t="str">
        <f t="shared" si="176"/>
        <v/>
      </c>
      <c r="JU22" s="86"/>
      <c r="JV22" s="91" t="str">
        <f t="shared" si="177"/>
        <v/>
      </c>
      <c r="JW22" s="91" t="str">
        <f t="shared" si="178"/>
        <v/>
      </c>
      <c r="JX22" s="86"/>
      <c r="JY22" s="91" t="str">
        <f t="shared" si="179"/>
        <v/>
      </c>
      <c r="JZ22" s="91" t="str">
        <f t="shared" si="180"/>
        <v/>
      </c>
      <c r="KA22" s="86"/>
      <c r="KB22" s="91" t="str">
        <f t="shared" si="181"/>
        <v/>
      </c>
      <c r="KC22" s="91" t="str">
        <f t="shared" si="182"/>
        <v/>
      </c>
      <c r="KD22" s="86"/>
      <c r="KE22" s="91" t="str">
        <f t="shared" si="183"/>
        <v/>
      </c>
      <c r="KF22" s="91" t="str">
        <f t="shared" si="184"/>
        <v/>
      </c>
      <c r="KG22" s="86"/>
      <c r="KH22" s="91" t="str">
        <f t="shared" si="185"/>
        <v/>
      </c>
      <c r="KI22" s="91" t="str">
        <f t="shared" si="186"/>
        <v/>
      </c>
      <c r="KJ22" s="86"/>
      <c r="KK22" s="91" t="str">
        <f t="shared" si="187"/>
        <v/>
      </c>
      <c r="KL22" s="91" t="str">
        <f t="shared" si="188"/>
        <v/>
      </c>
      <c r="KM22" s="86"/>
      <c r="KN22" s="91" t="str">
        <f t="shared" si="189"/>
        <v/>
      </c>
      <c r="KO22" s="91" t="str">
        <f t="shared" si="190"/>
        <v/>
      </c>
      <c r="KP22" s="86"/>
      <c r="KQ22" s="91" t="str">
        <f t="shared" si="191"/>
        <v/>
      </c>
      <c r="KR22" s="91" t="str">
        <f t="shared" si="192"/>
        <v/>
      </c>
      <c r="KS22" s="86"/>
      <c r="KT22" s="91" t="str">
        <f t="shared" si="193"/>
        <v/>
      </c>
      <c r="KU22" s="91" t="str">
        <f t="shared" si="194"/>
        <v/>
      </c>
      <c r="KV22" s="86"/>
      <c r="KW22" s="91" t="str">
        <f t="shared" si="195"/>
        <v/>
      </c>
      <c r="KX22" s="91" t="str">
        <f t="shared" si="196"/>
        <v/>
      </c>
      <c r="KY22" s="92"/>
      <c r="KZ22" s="91" t="str">
        <f t="shared" si="197"/>
        <v/>
      </c>
      <c r="LA22" s="91" t="str">
        <f t="shared" si="198"/>
        <v/>
      </c>
      <c r="LB22" s="106">
        <f t="shared" si="213"/>
        <v>93.6</v>
      </c>
      <c r="LC22" s="108">
        <f t="shared" si="199"/>
        <v>8</v>
      </c>
      <c r="LD22" s="106">
        <f t="shared" si="207"/>
        <v>0.68121073778123542</v>
      </c>
      <c r="LE22" s="108">
        <f t="shared" si="200"/>
        <v>11</v>
      </c>
      <c r="LF22" s="106">
        <f t="shared" si="208"/>
        <v>0.8</v>
      </c>
      <c r="LG22" s="108">
        <f t="shared" si="201"/>
        <v>11</v>
      </c>
      <c r="LH22" s="109">
        <f t="shared" si="202"/>
        <v>47.587719298245617</v>
      </c>
      <c r="LI22" s="109">
        <f t="shared" si="203"/>
        <v>46.208214102067686</v>
      </c>
      <c r="LJ22" s="109">
        <f t="shared" si="204"/>
        <v>45</v>
      </c>
      <c r="LK22" s="109">
        <f t="shared" si="205"/>
        <v>88.795933400313288</v>
      </c>
      <c r="LL22" s="111">
        <f t="shared" si="206"/>
        <v>9</v>
      </c>
      <c r="LM22" s="64"/>
      <c r="LN22" s="112">
        <f>IFERROR(RANK(LK22,(LK$22:LK$46),0),"")</f>
        <v>4</v>
      </c>
      <c r="LO22" s="113">
        <f t="shared" si="216"/>
        <v>9</v>
      </c>
      <c r="LP22" s="64"/>
      <c r="LQ22" s="64"/>
      <c r="LR22" s="64"/>
      <c r="LS22" s="62"/>
      <c r="LT22" s="62"/>
      <c r="LU22" s="62"/>
      <c r="LV22" s="62"/>
    </row>
    <row r="23" spans="1:334" s="62" customFormat="1" ht="15" customHeight="1">
      <c r="A23" s="106">
        <f t="shared" si="211"/>
        <v>6</v>
      </c>
      <c r="B23" s="106">
        <f t="shared" si="212"/>
        <v>5</v>
      </c>
      <c r="C23" s="117">
        <v>70</v>
      </c>
      <c r="D23" s="118" t="s">
        <v>166</v>
      </c>
      <c r="E23" s="286" t="s">
        <v>622</v>
      </c>
      <c r="F23" s="76"/>
      <c r="G23" s="76"/>
      <c r="H23" s="119" t="s">
        <v>5</v>
      </c>
      <c r="I23" s="286" t="s">
        <v>544</v>
      </c>
      <c r="J23" s="119" t="s">
        <v>167</v>
      </c>
      <c r="K23" s="119" t="s">
        <v>2</v>
      </c>
      <c r="L23" s="53" t="s">
        <v>168</v>
      </c>
      <c r="M23" s="292" t="s">
        <v>35</v>
      </c>
      <c r="N23" s="86"/>
      <c r="O23" s="91" t="str">
        <f t="shared" si="0"/>
        <v/>
      </c>
      <c r="P23" s="91" t="str">
        <f t="shared" si="1"/>
        <v/>
      </c>
      <c r="Q23" s="86">
        <v>83</v>
      </c>
      <c r="R23" s="91">
        <f t="shared" si="2"/>
        <v>0.31199103038681325</v>
      </c>
      <c r="S23" s="91">
        <f t="shared" si="3"/>
        <v>0.75</v>
      </c>
      <c r="T23" s="86"/>
      <c r="U23" s="91" t="str">
        <f t="shared" si="4"/>
        <v/>
      </c>
      <c r="V23" s="91" t="str">
        <f t="shared" si="5"/>
        <v/>
      </c>
      <c r="W23" s="86"/>
      <c r="X23" s="91" t="str">
        <f t="shared" si="6"/>
        <v/>
      </c>
      <c r="Y23" s="91" t="str">
        <f t="shared" si="7"/>
        <v/>
      </c>
      <c r="Z23" s="89"/>
      <c r="AA23" s="91" t="str">
        <f t="shared" si="8"/>
        <v/>
      </c>
      <c r="AB23" s="91" t="str">
        <f t="shared" si="9"/>
        <v/>
      </c>
      <c r="AC23" s="86"/>
      <c r="AD23" s="91" t="str">
        <f t="shared" si="10"/>
        <v/>
      </c>
      <c r="AE23" s="91" t="str">
        <f t="shared" si="11"/>
        <v/>
      </c>
      <c r="AF23" s="86"/>
      <c r="AG23" s="91" t="str">
        <f t="shared" si="12"/>
        <v/>
      </c>
      <c r="AH23" s="91" t="str">
        <f t="shared" si="13"/>
        <v/>
      </c>
      <c r="AI23" s="86"/>
      <c r="AJ23" s="91" t="str">
        <f t="shared" si="14"/>
        <v/>
      </c>
      <c r="AK23" s="91" t="str">
        <f t="shared" si="15"/>
        <v/>
      </c>
      <c r="AL23" s="86"/>
      <c r="AM23" s="91" t="str">
        <f t="shared" si="16"/>
        <v/>
      </c>
      <c r="AN23" s="91" t="str">
        <f t="shared" si="17"/>
        <v/>
      </c>
      <c r="AO23" s="86"/>
      <c r="AP23" s="91" t="str">
        <f t="shared" si="18"/>
        <v/>
      </c>
      <c r="AQ23" s="91" t="str">
        <f t="shared" si="19"/>
        <v/>
      </c>
      <c r="AR23" s="86"/>
      <c r="AS23" s="91" t="str">
        <f t="shared" si="20"/>
        <v/>
      </c>
      <c r="AT23" s="91" t="str">
        <f t="shared" si="21"/>
        <v/>
      </c>
      <c r="AU23" s="86"/>
      <c r="AV23" s="91" t="str">
        <f t="shared" si="22"/>
        <v/>
      </c>
      <c r="AW23" s="91" t="str">
        <f t="shared" si="23"/>
        <v/>
      </c>
      <c r="AX23" s="86"/>
      <c r="AY23" s="91" t="str">
        <f t="shared" si="24"/>
        <v/>
      </c>
      <c r="AZ23" s="91" t="str">
        <f t="shared" si="25"/>
        <v/>
      </c>
      <c r="BA23" s="86"/>
      <c r="BB23" s="91" t="str">
        <f t="shared" si="26"/>
        <v/>
      </c>
      <c r="BC23" s="91" t="str">
        <f t="shared" si="27"/>
        <v/>
      </c>
      <c r="BD23" s="86"/>
      <c r="BE23" s="91" t="str">
        <f t="shared" si="28"/>
        <v/>
      </c>
      <c r="BF23" s="91" t="str">
        <f t="shared" si="29"/>
        <v/>
      </c>
      <c r="BG23" s="86"/>
      <c r="BH23" s="91" t="str">
        <f t="shared" si="30"/>
        <v/>
      </c>
      <c r="BI23" s="91" t="str">
        <f t="shared" si="31"/>
        <v/>
      </c>
      <c r="BJ23" s="86"/>
      <c r="BK23" s="91" t="str">
        <f t="shared" si="32"/>
        <v/>
      </c>
      <c r="BL23" s="91" t="str">
        <f t="shared" si="33"/>
        <v/>
      </c>
      <c r="BM23" s="89"/>
      <c r="BN23" s="91" t="str">
        <f t="shared" si="34"/>
        <v/>
      </c>
      <c r="BO23" s="91" t="str">
        <f t="shared" si="35"/>
        <v/>
      </c>
      <c r="BP23" s="51"/>
      <c r="BQ23" s="91" t="str">
        <f t="shared" si="36"/>
        <v/>
      </c>
      <c r="BR23" s="91" t="str">
        <f t="shared" si="37"/>
        <v/>
      </c>
      <c r="BS23" s="86"/>
      <c r="BT23" s="91" t="str">
        <f t="shared" si="38"/>
        <v/>
      </c>
      <c r="BU23" s="91" t="str">
        <f t="shared" si="39"/>
        <v/>
      </c>
      <c r="BV23" s="86"/>
      <c r="BW23" s="91" t="str">
        <f t="shared" si="40"/>
        <v/>
      </c>
      <c r="BX23" s="91" t="str">
        <f t="shared" si="41"/>
        <v/>
      </c>
      <c r="BY23" s="86"/>
      <c r="BZ23" s="91" t="str">
        <f t="shared" si="42"/>
        <v/>
      </c>
      <c r="CA23" s="91" t="str">
        <f t="shared" si="43"/>
        <v/>
      </c>
      <c r="CB23" s="86"/>
      <c r="CC23" s="91" t="str">
        <f t="shared" si="44"/>
        <v/>
      </c>
      <c r="CD23" s="91" t="str">
        <f t="shared" si="45"/>
        <v/>
      </c>
      <c r="CE23" s="86"/>
      <c r="CF23" s="91" t="str">
        <f t="shared" si="46"/>
        <v/>
      </c>
      <c r="CG23" s="91" t="str">
        <f t="shared" si="47"/>
        <v/>
      </c>
      <c r="CH23" s="271" t="s">
        <v>64</v>
      </c>
      <c r="CI23" s="91" t="str">
        <f t="shared" si="48"/>
        <v/>
      </c>
      <c r="CJ23" s="91" t="str">
        <f t="shared" si="49"/>
        <v/>
      </c>
      <c r="CK23" s="86"/>
      <c r="CL23" s="91" t="str">
        <f t="shared" si="50"/>
        <v/>
      </c>
      <c r="CM23" s="91" t="str">
        <f t="shared" si="51"/>
        <v/>
      </c>
      <c r="CN23" s="86"/>
      <c r="CO23" s="91" t="str">
        <f t="shared" si="52"/>
        <v/>
      </c>
      <c r="CP23" s="91" t="str">
        <f t="shared" si="53"/>
        <v/>
      </c>
      <c r="CQ23" s="86"/>
      <c r="CR23" s="91" t="str">
        <f t="shared" si="54"/>
        <v/>
      </c>
      <c r="CS23" s="91" t="str">
        <f t="shared" si="55"/>
        <v/>
      </c>
      <c r="CT23" s="86"/>
      <c r="CU23" s="91" t="str">
        <f t="shared" si="56"/>
        <v/>
      </c>
      <c r="CV23" s="91" t="str">
        <f t="shared" si="57"/>
        <v/>
      </c>
      <c r="CW23" s="86">
        <v>94</v>
      </c>
      <c r="CX23" s="91">
        <f t="shared" si="58"/>
        <v>0.85199921875539941</v>
      </c>
      <c r="CY23" s="91">
        <f t="shared" si="59"/>
        <v>1</v>
      </c>
      <c r="CZ23" s="86"/>
      <c r="DA23" s="91" t="str">
        <f t="shared" si="60"/>
        <v/>
      </c>
      <c r="DB23" s="91" t="str">
        <f t="shared" si="61"/>
        <v/>
      </c>
      <c r="DC23" s="86"/>
      <c r="DD23" s="91" t="str">
        <f t="shared" si="62"/>
        <v/>
      </c>
      <c r="DE23" s="91" t="str">
        <f t="shared" si="63"/>
        <v/>
      </c>
      <c r="DF23" s="86"/>
      <c r="DG23" s="91"/>
      <c r="DH23" s="91" t="str">
        <f t="shared" si="64"/>
        <v/>
      </c>
      <c r="DI23" s="86"/>
      <c r="DJ23" s="91" t="str">
        <f t="shared" si="65"/>
        <v/>
      </c>
      <c r="DK23" s="91" t="str">
        <f t="shared" si="66"/>
        <v/>
      </c>
      <c r="DL23" s="86"/>
      <c r="DM23" s="91" t="str">
        <f t="shared" si="67"/>
        <v/>
      </c>
      <c r="DN23" s="91" t="str">
        <f t="shared" si="68"/>
        <v/>
      </c>
      <c r="DO23" s="86"/>
      <c r="DP23" s="91" t="str">
        <f t="shared" si="69"/>
        <v/>
      </c>
      <c r="DQ23" s="91" t="str">
        <f t="shared" si="70"/>
        <v/>
      </c>
      <c r="DR23" s="89"/>
      <c r="DS23" s="91" t="str">
        <f t="shared" si="71"/>
        <v/>
      </c>
      <c r="DT23" s="91" t="str">
        <f t="shared" si="72"/>
        <v/>
      </c>
      <c r="DU23" s="86"/>
      <c r="DV23" s="91" t="str">
        <f t="shared" si="73"/>
        <v/>
      </c>
      <c r="DW23" s="91" t="str">
        <f t="shared" si="74"/>
        <v/>
      </c>
      <c r="DX23" s="86"/>
      <c r="DY23" s="91" t="str">
        <f t="shared" si="75"/>
        <v/>
      </c>
      <c r="DZ23" s="91" t="str">
        <f t="shared" si="76"/>
        <v/>
      </c>
      <c r="EA23" s="86"/>
      <c r="EB23" s="91" t="str">
        <f t="shared" si="77"/>
        <v/>
      </c>
      <c r="EC23" s="91" t="str">
        <f t="shared" si="78"/>
        <v/>
      </c>
      <c r="ED23" s="89"/>
      <c r="EE23" s="91" t="str">
        <f t="shared" si="79"/>
        <v/>
      </c>
      <c r="EF23" s="91" t="str">
        <f t="shared" si="80"/>
        <v/>
      </c>
      <c r="EG23" s="86"/>
      <c r="EH23" s="91" t="str">
        <f t="shared" si="81"/>
        <v/>
      </c>
      <c r="EI23" s="91" t="str">
        <f t="shared" si="82"/>
        <v/>
      </c>
      <c r="EJ23" s="86">
        <v>83</v>
      </c>
      <c r="EK23" s="91">
        <f t="shared" si="83"/>
        <v>0.14815022187591101</v>
      </c>
      <c r="EL23" s="91">
        <f t="shared" si="84"/>
        <v>0.25</v>
      </c>
      <c r="EM23" s="86"/>
      <c r="EN23" s="91" t="str">
        <f t="shared" si="85"/>
        <v/>
      </c>
      <c r="EO23" s="91" t="str">
        <f t="shared" si="86"/>
        <v/>
      </c>
      <c r="EP23" s="271">
        <v>93</v>
      </c>
      <c r="EQ23" s="91">
        <f t="shared" si="87"/>
        <v>1.1584966054109522</v>
      </c>
      <c r="ER23" s="91">
        <f t="shared" si="88"/>
        <v>1</v>
      </c>
      <c r="ES23" s="51">
        <v>79</v>
      </c>
      <c r="ET23" s="91">
        <f t="shared" si="89"/>
        <v>-1.3184698558687915</v>
      </c>
      <c r="EU23" s="91">
        <f t="shared" si="90"/>
        <v>0</v>
      </c>
      <c r="EV23" s="86"/>
      <c r="EW23" s="91" t="str">
        <f t="shared" si="91"/>
        <v/>
      </c>
      <c r="EX23" s="91" t="str">
        <f t="shared" si="92"/>
        <v/>
      </c>
      <c r="EY23" s="86"/>
      <c r="EZ23" s="91" t="str">
        <f t="shared" si="93"/>
        <v/>
      </c>
      <c r="FA23" s="91" t="str">
        <f t="shared" si="94"/>
        <v/>
      </c>
      <c r="FB23" s="86"/>
      <c r="FC23" s="91" t="str">
        <f t="shared" si="95"/>
        <v/>
      </c>
      <c r="FD23" s="91" t="str">
        <f t="shared" si="96"/>
        <v/>
      </c>
      <c r="FE23" s="86"/>
      <c r="FF23" s="91" t="str">
        <f t="shared" si="97"/>
        <v/>
      </c>
      <c r="FG23" s="91" t="str">
        <f t="shared" si="98"/>
        <v/>
      </c>
      <c r="FH23" s="86"/>
      <c r="FI23" s="91" t="str">
        <f t="shared" si="99"/>
        <v/>
      </c>
      <c r="FJ23" s="91" t="str">
        <f t="shared" si="100"/>
        <v/>
      </c>
      <c r="FK23" s="86"/>
      <c r="FL23" s="91" t="str">
        <f t="shared" si="101"/>
        <v/>
      </c>
      <c r="FM23" s="91" t="str">
        <f t="shared" si="102"/>
        <v/>
      </c>
      <c r="FN23" s="86"/>
      <c r="FO23" s="91" t="str">
        <f t="shared" si="103"/>
        <v/>
      </c>
      <c r="FP23" s="91" t="str">
        <f t="shared" si="104"/>
        <v/>
      </c>
      <c r="FQ23" s="89"/>
      <c r="FR23" s="91" t="str">
        <f t="shared" si="105"/>
        <v/>
      </c>
      <c r="FS23" s="91" t="str">
        <f t="shared" si="106"/>
        <v/>
      </c>
      <c r="FT23" s="86"/>
      <c r="FU23" s="91" t="str">
        <f t="shared" si="107"/>
        <v/>
      </c>
      <c r="FV23" s="91" t="str">
        <f t="shared" si="108"/>
        <v/>
      </c>
      <c r="FW23" s="92"/>
      <c r="FX23" s="91" t="str">
        <f t="shared" si="109"/>
        <v/>
      </c>
      <c r="FY23" s="91" t="str">
        <f t="shared" si="110"/>
        <v/>
      </c>
      <c r="FZ23" s="86"/>
      <c r="GA23" s="91" t="str">
        <f t="shared" si="111"/>
        <v/>
      </c>
      <c r="GB23" s="91" t="str">
        <f t="shared" si="112"/>
        <v/>
      </c>
      <c r="GC23" s="86"/>
      <c r="GD23" s="91" t="str">
        <f t="shared" si="113"/>
        <v/>
      </c>
      <c r="GE23" s="91" t="str">
        <f t="shared" si="114"/>
        <v/>
      </c>
      <c r="GF23" s="86"/>
      <c r="GG23" s="91" t="str">
        <f t="shared" si="115"/>
        <v/>
      </c>
      <c r="GH23" s="91" t="str">
        <f t="shared" si="116"/>
        <v/>
      </c>
      <c r="GI23" s="86"/>
      <c r="GJ23" s="91" t="str">
        <f t="shared" si="117"/>
        <v/>
      </c>
      <c r="GK23" s="91" t="str">
        <f t="shared" si="118"/>
        <v/>
      </c>
      <c r="GL23" s="86"/>
      <c r="GM23" s="91" t="str">
        <f t="shared" si="119"/>
        <v/>
      </c>
      <c r="GN23" s="91" t="str">
        <f t="shared" si="120"/>
        <v/>
      </c>
      <c r="GO23" s="86"/>
      <c r="GP23" s="91" t="str">
        <f t="shared" si="121"/>
        <v/>
      </c>
      <c r="GQ23" s="91" t="str">
        <f t="shared" si="122"/>
        <v/>
      </c>
      <c r="GR23" s="86"/>
      <c r="GS23" s="91" t="str">
        <f t="shared" si="123"/>
        <v/>
      </c>
      <c r="GT23" s="91" t="str">
        <f t="shared" si="124"/>
        <v/>
      </c>
      <c r="GU23" s="86"/>
      <c r="GV23" s="91" t="str">
        <f t="shared" si="125"/>
        <v/>
      </c>
      <c r="GW23" s="91" t="str">
        <f t="shared" si="126"/>
        <v/>
      </c>
      <c r="GX23" s="86"/>
      <c r="GY23" s="91" t="str">
        <f t="shared" si="127"/>
        <v/>
      </c>
      <c r="GZ23" s="91" t="str">
        <f t="shared" si="128"/>
        <v/>
      </c>
      <c r="HA23" s="86"/>
      <c r="HB23" s="91" t="str">
        <f t="shared" si="129"/>
        <v/>
      </c>
      <c r="HC23" s="91" t="str">
        <f t="shared" si="130"/>
        <v/>
      </c>
      <c r="HD23" s="86"/>
      <c r="HE23" s="91" t="str">
        <f t="shared" si="131"/>
        <v/>
      </c>
      <c r="HF23" s="91" t="str">
        <f t="shared" si="132"/>
        <v/>
      </c>
      <c r="HG23" s="86"/>
      <c r="HH23" s="91" t="str">
        <f t="shared" si="133"/>
        <v/>
      </c>
      <c r="HI23" s="91" t="str">
        <f t="shared" si="134"/>
        <v/>
      </c>
      <c r="HJ23" s="86"/>
      <c r="HK23" s="91" t="str">
        <f t="shared" si="135"/>
        <v/>
      </c>
      <c r="HL23" s="91" t="str">
        <f t="shared" si="136"/>
        <v/>
      </c>
      <c r="HM23" s="86"/>
      <c r="HN23" s="91" t="str">
        <f t="shared" si="137"/>
        <v/>
      </c>
      <c r="HO23" s="91" t="str">
        <f t="shared" si="138"/>
        <v/>
      </c>
      <c r="HP23" s="86"/>
      <c r="HQ23" s="91" t="str">
        <f t="shared" si="139"/>
        <v/>
      </c>
      <c r="HR23" s="91" t="str">
        <f t="shared" si="140"/>
        <v/>
      </c>
      <c r="HS23" s="86"/>
      <c r="HT23" s="91" t="str">
        <f t="shared" si="141"/>
        <v/>
      </c>
      <c r="HU23" s="91" t="str">
        <f t="shared" si="142"/>
        <v/>
      </c>
      <c r="HV23" s="86"/>
      <c r="HW23" s="91" t="str">
        <f t="shared" si="143"/>
        <v/>
      </c>
      <c r="HX23" s="91" t="str">
        <f t="shared" si="144"/>
        <v/>
      </c>
      <c r="HY23" s="86"/>
      <c r="HZ23" s="91" t="str">
        <f t="shared" si="145"/>
        <v/>
      </c>
      <c r="IA23" s="91" t="str">
        <f t="shared" si="146"/>
        <v/>
      </c>
      <c r="IB23" s="86"/>
      <c r="IC23" s="91" t="str">
        <f t="shared" si="147"/>
        <v/>
      </c>
      <c r="ID23" s="91" t="str">
        <f t="shared" si="148"/>
        <v/>
      </c>
      <c r="IE23" s="86"/>
      <c r="IF23" s="91" t="str">
        <f t="shared" si="149"/>
        <v/>
      </c>
      <c r="IG23" s="91" t="str">
        <f t="shared" si="150"/>
        <v/>
      </c>
      <c r="IH23" s="86"/>
      <c r="II23" s="91" t="str">
        <f t="shared" si="151"/>
        <v/>
      </c>
      <c r="IJ23" s="91" t="str">
        <f t="shared" si="152"/>
        <v/>
      </c>
      <c r="IK23" s="86"/>
      <c r="IL23" s="91" t="str">
        <f t="shared" si="153"/>
        <v/>
      </c>
      <c r="IM23" s="91" t="str">
        <f t="shared" si="154"/>
        <v/>
      </c>
      <c r="IN23" s="86"/>
      <c r="IO23" s="91" t="str">
        <f t="shared" si="155"/>
        <v/>
      </c>
      <c r="IP23" s="91" t="str">
        <f t="shared" si="156"/>
        <v/>
      </c>
      <c r="IQ23" s="86"/>
      <c r="IR23" s="91" t="str">
        <f t="shared" si="157"/>
        <v/>
      </c>
      <c r="IS23" s="91" t="str">
        <f t="shared" si="158"/>
        <v/>
      </c>
      <c r="IT23" s="86"/>
      <c r="IU23" s="91" t="str">
        <f t="shared" si="159"/>
        <v/>
      </c>
      <c r="IV23" s="91" t="str">
        <f t="shared" si="160"/>
        <v/>
      </c>
      <c r="IW23" s="86"/>
      <c r="IX23" s="91" t="str">
        <f t="shared" si="161"/>
        <v/>
      </c>
      <c r="IY23" s="91" t="str">
        <f t="shared" si="162"/>
        <v/>
      </c>
      <c r="IZ23" s="86"/>
      <c r="JA23" s="91" t="str">
        <f t="shared" si="163"/>
        <v/>
      </c>
      <c r="JB23" s="91" t="str">
        <f t="shared" si="164"/>
        <v/>
      </c>
      <c r="JC23" s="86"/>
      <c r="JD23" s="91" t="str">
        <f t="shared" si="165"/>
        <v/>
      </c>
      <c r="JE23" s="91" t="str">
        <f t="shared" si="166"/>
        <v/>
      </c>
      <c r="JF23" s="86"/>
      <c r="JG23" s="91" t="str">
        <f t="shared" si="167"/>
        <v/>
      </c>
      <c r="JH23" s="91" t="str">
        <f t="shared" si="168"/>
        <v/>
      </c>
      <c r="JI23" s="86"/>
      <c r="JJ23" s="91" t="str">
        <f t="shared" si="169"/>
        <v/>
      </c>
      <c r="JK23" s="91" t="str">
        <f t="shared" si="170"/>
        <v/>
      </c>
      <c r="JL23" s="86"/>
      <c r="JM23" s="91" t="str">
        <f t="shared" si="171"/>
        <v/>
      </c>
      <c r="JN23" s="91" t="str">
        <f t="shared" si="172"/>
        <v/>
      </c>
      <c r="JO23" s="86"/>
      <c r="JP23" s="91" t="str">
        <f t="shared" si="173"/>
        <v/>
      </c>
      <c r="JQ23" s="91" t="str">
        <f t="shared" si="174"/>
        <v/>
      </c>
      <c r="JR23" s="86"/>
      <c r="JS23" s="91" t="str">
        <f t="shared" si="175"/>
        <v/>
      </c>
      <c r="JT23" s="91" t="str">
        <f t="shared" si="176"/>
        <v/>
      </c>
      <c r="JU23" s="86"/>
      <c r="JV23" s="91" t="str">
        <f t="shared" si="177"/>
        <v/>
      </c>
      <c r="JW23" s="91" t="str">
        <f t="shared" si="178"/>
        <v/>
      </c>
      <c r="JX23" s="86"/>
      <c r="JY23" s="91" t="str">
        <f t="shared" si="179"/>
        <v/>
      </c>
      <c r="JZ23" s="91" t="str">
        <f t="shared" si="180"/>
        <v/>
      </c>
      <c r="KA23" s="86"/>
      <c r="KB23" s="91" t="str">
        <f t="shared" si="181"/>
        <v/>
      </c>
      <c r="KC23" s="91" t="str">
        <f t="shared" si="182"/>
        <v/>
      </c>
      <c r="KD23" s="86"/>
      <c r="KE23" s="91" t="str">
        <f t="shared" si="183"/>
        <v/>
      </c>
      <c r="KF23" s="91" t="str">
        <f t="shared" si="184"/>
        <v/>
      </c>
      <c r="KG23" s="86"/>
      <c r="KH23" s="91" t="str">
        <f t="shared" si="185"/>
        <v/>
      </c>
      <c r="KI23" s="91" t="str">
        <f t="shared" si="186"/>
        <v/>
      </c>
      <c r="KJ23" s="86"/>
      <c r="KK23" s="91" t="str">
        <f t="shared" si="187"/>
        <v/>
      </c>
      <c r="KL23" s="91" t="str">
        <f t="shared" si="188"/>
        <v/>
      </c>
      <c r="KM23" s="86"/>
      <c r="KN23" s="91" t="str">
        <f t="shared" si="189"/>
        <v/>
      </c>
      <c r="KO23" s="91" t="str">
        <f t="shared" si="190"/>
        <v/>
      </c>
      <c r="KP23" s="86"/>
      <c r="KQ23" s="91" t="str">
        <f t="shared" si="191"/>
        <v/>
      </c>
      <c r="KR23" s="91" t="str">
        <f t="shared" si="192"/>
        <v/>
      </c>
      <c r="KS23" s="86"/>
      <c r="KT23" s="91" t="str">
        <f t="shared" si="193"/>
        <v/>
      </c>
      <c r="KU23" s="91" t="str">
        <f t="shared" si="194"/>
        <v/>
      </c>
      <c r="KV23" s="86"/>
      <c r="KW23" s="91" t="str">
        <f t="shared" si="195"/>
        <v/>
      </c>
      <c r="KX23" s="91" t="str">
        <f t="shared" si="196"/>
        <v/>
      </c>
      <c r="KY23" s="92"/>
      <c r="KZ23" s="91" t="str">
        <f t="shared" si="197"/>
        <v/>
      </c>
      <c r="LA23" s="91" t="str">
        <f t="shared" si="198"/>
        <v/>
      </c>
      <c r="LB23" s="106">
        <f t="shared" si="213"/>
        <v>86.4</v>
      </c>
      <c r="LC23" s="108">
        <f t="shared" si="199"/>
        <v>31</v>
      </c>
      <c r="LD23" s="106">
        <f t="shared" si="207"/>
        <v>0.23043344411205688</v>
      </c>
      <c r="LE23" s="108">
        <f t="shared" si="200"/>
        <v>27</v>
      </c>
      <c r="LF23" s="106">
        <f t="shared" si="208"/>
        <v>0.6</v>
      </c>
      <c r="LG23" s="108">
        <f t="shared" si="201"/>
        <v>29</v>
      </c>
      <c r="LH23" s="109">
        <f t="shared" si="202"/>
        <v>43.640350877192986</v>
      </c>
      <c r="LI23" s="109">
        <f t="shared" si="203"/>
        <v>41.999959532421173</v>
      </c>
      <c r="LJ23" s="109">
        <f t="shared" si="204"/>
        <v>40</v>
      </c>
      <c r="LK23" s="109">
        <f t="shared" si="205"/>
        <v>75.640310409614159</v>
      </c>
      <c r="LL23" s="111">
        <f t="shared" si="206"/>
        <v>30</v>
      </c>
      <c r="LM23" s="64"/>
      <c r="LN23" s="112">
        <f t="shared" ref="LN23:LN46" si="217">IFERROR(RANK(LK23,(LK$22:LK$46),0),"")</f>
        <v>12</v>
      </c>
      <c r="LO23" s="113">
        <f t="shared" si="216"/>
        <v>30</v>
      </c>
      <c r="LP23" s="64"/>
      <c r="LQ23" s="64"/>
      <c r="LR23" s="64"/>
    </row>
    <row r="24" spans="1:334" s="62" customFormat="1" ht="15" customHeight="1">
      <c r="A24" s="106">
        <f t="shared" si="211"/>
        <v>5</v>
      </c>
      <c r="B24" s="106">
        <f t="shared" si="212"/>
        <v>4</v>
      </c>
      <c r="C24" s="117">
        <v>15</v>
      </c>
      <c r="D24" s="118" t="s">
        <v>169</v>
      </c>
      <c r="E24" s="286" t="s">
        <v>623</v>
      </c>
      <c r="F24" s="76"/>
      <c r="G24" s="76"/>
      <c r="H24" s="119" t="s">
        <v>5</v>
      </c>
      <c r="I24" s="286" t="s">
        <v>545</v>
      </c>
      <c r="J24" s="119" t="s">
        <v>170</v>
      </c>
      <c r="K24" s="119" t="s">
        <v>2</v>
      </c>
      <c r="L24" s="53" t="s">
        <v>171</v>
      </c>
      <c r="M24" s="292" t="s">
        <v>35</v>
      </c>
      <c r="N24" s="86"/>
      <c r="O24" s="91" t="str">
        <f t="shared" si="0"/>
        <v/>
      </c>
      <c r="P24" s="91" t="str">
        <f t="shared" si="1"/>
        <v/>
      </c>
      <c r="Q24" s="86">
        <v>81</v>
      </c>
      <c r="R24" s="91">
        <f t="shared" si="2"/>
        <v>0.11699663639505516</v>
      </c>
      <c r="S24" s="91">
        <f t="shared" si="3"/>
        <v>0.5</v>
      </c>
      <c r="T24" s="86"/>
      <c r="U24" s="91" t="str">
        <f t="shared" si="4"/>
        <v/>
      </c>
      <c r="V24" s="91" t="str">
        <f t="shared" si="5"/>
        <v/>
      </c>
      <c r="W24" s="86"/>
      <c r="X24" s="91" t="str">
        <f t="shared" si="6"/>
        <v/>
      </c>
      <c r="Y24" s="91" t="str">
        <f t="shared" si="7"/>
        <v/>
      </c>
      <c r="Z24" s="86"/>
      <c r="AA24" s="91" t="str">
        <f t="shared" si="8"/>
        <v/>
      </c>
      <c r="AB24" s="91" t="str">
        <f t="shared" si="9"/>
        <v/>
      </c>
      <c r="AC24" s="86"/>
      <c r="AD24" s="91" t="str">
        <f t="shared" si="10"/>
        <v/>
      </c>
      <c r="AE24" s="91" t="str">
        <f t="shared" si="11"/>
        <v/>
      </c>
      <c r="AF24" s="86"/>
      <c r="AG24" s="91" t="str">
        <f t="shared" si="12"/>
        <v/>
      </c>
      <c r="AH24" s="91" t="str">
        <f t="shared" si="13"/>
        <v/>
      </c>
      <c r="AI24" s="86"/>
      <c r="AJ24" s="91" t="str">
        <f t="shared" si="14"/>
        <v/>
      </c>
      <c r="AK24" s="91" t="str">
        <f t="shared" si="15"/>
        <v/>
      </c>
      <c r="AL24" s="89"/>
      <c r="AM24" s="91" t="str">
        <f t="shared" si="16"/>
        <v/>
      </c>
      <c r="AN24" s="91" t="str">
        <f t="shared" si="17"/>
        <v/>
      </c>
      <c r="AO24" s="86"/>
      <c r="AP24" s="91" t="str">
        <f t="shared" si="18"/>
        <v/>
      </c>
      <c r="AQ24" s="91" t="str">
        <f t="shared" si="19"/>
        <v/>
      </c>
      <c r="AR24" s="86"/>
      <c r="AS24" s="91" t="str">
        <f t="shared" si="20"/>
        <v/>
      </c>
      <c r="AT24" s="91" t="str">
        <f t="shared" si="21"/>
        <v/>
      </c>
      <c r="AU24" s="86"/>
      <c r="AV24" s="91" t="str">
        <f t="shared" si="22"/>
        <v/>
      </c>
      <c r="AW24" s="91" t="str">
        <f t="shared" si="23"/>
        <v/>
      </c>
      <c r="AX24" s="86"/>
      <c r="AY24" s="91" t="str">
        <f t="shared" si="24"/>
        <v/>
      </c>
      <c r="AZ24" s="91" t="str">
        <f t="shared" si="25"/>
        <v/>
      </c>
      <c r="BA24" s="86"/>
      <c r="BB24" s="91" t="str">
        <f t="shared" si="26"/>
        <v/>
      </c>
      <c r="BC24" s="91" t="str">
        <f t="shared" si="27"/>
        <v/>
      </c>
      <c r="BD24" s="86"/>
      <c r="BE24" s="91" t="str">
        <f t="shared" si="28"/>
        <v/>
      </c>
      <c r="BF24" s="91" t="str">
        <f t="shared" si="29"/>
        <v/>
      </c>
      <c r="BG24" s="86"/>
      <c r="BH24" s="91" t="str">
        <f t="shared" si="30"/>
        <v/>
      </c>
      <c r="BI24" s="91" t="str">
        <f t="shared" si="31"/>
        <v/>
      </c>
      <c r="BJ24" s="86"/>
      <c r="BK24" s="91" t="str">
        <f t="shared" si="32"/>
        <v/>
      </c>
      <c r="BL24" s="91" t="str">
        <f t="shared" si="33"/>
        <v/>
      </c>
      <c r="BM24" s="86"/>
      <c r="BN24" s="91" t="str">
        <f t="shared" si="34"/>
        <v/>
      </c>
      <c r="BO24" s="91" t="str">
        <f t="shared" si="35"/>
        <v/>
      </c>
      <c r="BP24" s="51"/>
      <c r="BQ24" s="91" t="str">
        <f t="shared" si="36"/>
        <v/>
      </c>
      <c r="BR24" s="91" t="str">
        <f t="shared" si="37"/>
        <v/>
      </c>
      <c r="BS24" s="86"/>
      <c r="BT24" s="91" t="str">
        <f t="shared" si="38"/>
        <v/>
      </c>
      <c r="BU24" s="91" t="str">
        <f t="shared" si="39"/>
        <v/>
      </c>
      <c r="BV24" s="86"/>
      <c r="BW24" s="91" t="str">
        <f t="shared" si="40"/>
        <v/>
      </c>
      <c r="BX24" s="91" t="str">
        <f t="shared" si="41"/>
        <v/>
      </c>
      <c r="BY24" s="86"/>
      <c r="BZ24" s="91" t="str">
        <f t="shared" si="42"/>
        <v/>
      </c>
      <c r="CA24" s="91" t="str">
        <f t="shared" si="43"/>
        <v/>
      </c>
      <c r="CB24" s="89"/>
      <c r="CC24" s="91" t="str">
        <f t="shared" si="44"/>
        <v/>
      </c>
      <c r="CD24" s="91" t="str">
        <f t="shared" si="45"/>
        <v/>
      </c>
      <c r="CE24" s="86"/>
      <c r="CF24" s="91" t="str">
        <f t="shared" si="46"/>
        <v/>
      </c>
      <c r="CG24" s="91" t="str">
        <f t="shared" si="47"/>
        <v/>
      </c>
      <c r="CH24" s="271"/>
      <c r="CI24" s="91" t="str">
        <f t="shared" si="48"/>
        <v/>
      </c>
      <c r="CJ24" s="91" t="str">
        <f t="shared" si="49"/>
        <v/>
      </c>
      <c r="CK24" s="86"/>
      <c r="CL24" s="91" t="str">
        <f t="shared" si="50"/>
        <v/>
      </c>
      <c r="CM24" s="91" t="str">
        <f t="shared" si="51"/>
        <v/>
      </c>
      <c r="CN24" s="86">
        <v>78</v>
      </c>
      <c r="CO24" s="91">
        <f t="shared" si="52"/>
        <v>-1.0852221000188971</v>
      </c>
      <c r="CP24" s="91">
        <f t="shared" si="53"/>
        <v>0</v>
      </c>
      <c r="CQ24" s="86"/>
      <c r="CR24" s="91" t="str">
        <f t="shared" si="54"/>
        <v/>
      </c>
      <c r="CS24" s="91" t="str">
        <f t="shared" si="55"/>
        <v/>
      </c>
      <c r="CT24" s="86"/>
      <c r="CU24" s="91" t="str">
        <f t="shared" si="56"/>
        <v/>
      </c>
      <c r="CV24" s="91" t="str">
        <f t="shared" si="57"/>
        <v/>
      </c>
      <c r="CW24" s="86"/>
      <c r="CX24" s="91" t="str">
        <f t="shared" si="58"/>
        <v/>
      </c>
      <c r="CY24" s="91" t="str">
        <f t="shared" si="59"/>
        <v/>
      </c>
      <c r="CZ24" s="86"/>
      <c r="DA24" s="91" t="str">
        <f t="shared" si="60"/>
        <v/>
      </c>
      <c r="DB24" s="91" t="str">
        <f t="shared" si="61"/>
        <v/>
      </c>
      <c r="DC24" s="86"/>
      <c r="DD24" s="91" t="str">
        <f t="shared" si="62"/>
        <v/>
      </c>
      <c r="DE24" s="91" t="str">
        <f t="shared" si="63"/>
        <v/>
      </c>
      <c r="DF24" s="86"/>
      <c r="DG24" s="91"/>
      <c r="DH24" s="91" t="str">
        <f t="shared" si="64"/>
        <v/>
      </c>
      <c r="DI24" s="271">
        <v>71</v>
      </c>
      <c r="DJ24" s="91">
        <f t="shared" si="65"/>
        <v>-0.69150555887312337</v>
      </c>
      <c r="DK24" s="91">
        <f t="shared" si="66"/>
        <v>0.25</v>
      </c>
      <c r="DL24" s="86"/>
      <c r="DM24" s="91" t="str">
        <f t="shared" si="67"/>
        <v/>
      </c>
      <c r="DN24" s="91" t="str">
        <f t="shared" si="68"/>
        <v/>
      </c>
      <c r="DO24" s="86"/>
      <c r="DP24" s="91" t="str">
        <f t="shared" si="69"/>
        <v/>
      </c>
      <c r="DQ24" s="91" t="str">
        <f t="shared" si="70"/>
        <v/>
      </c>
      <c r="DR24" s="86"/>
      <c r="DS24" s="91" t="str">
        <f t="shared" si="71"/>
        <v/>
      </c>
      <c r="DT24" s="91" t="str">
        <f t="shared" si="72"/>
        <v/>
      </c>
      <c r="DU24" s="86"/>
      <c r="DV24" s="91" t="str">
        <f t="shared" si="73"/>
        <v/>
      </c>
      <c r="DW24" s="91" t="str">
        <f t="shared" si="74"/>
        <v/>
      </c>
      <c r="DX24" s="86"/>
      <c r="DY24" s="91" t="str">
        <f t="shared" si="75"/>
        <v/>
      </c>
      <c r="DZ24" s="91" t="str">
        <f t="shared" si="76"/>
        <v/>
      </c>
      <c r="EA24" s="86"/>
      <c r="EB24" s="91" t="str">
        <f t="shared" si="77"/>
        <v/>
      </c>
      <c r="EC24" s="91" t="str">
        <f t="shared" si="78"/>
        <v/>
      </c>
      <c r="ED24" s="271" t="s">
        <v>80</v>
      </c>
      <c r="EE24" s="91" t="str">
        <f t="shared" si="79"/>
        <v/>
      </c>
      <c r="EF24" s="91" t="str">
        <f t="shared" si="80"/>
        <v/>
      </c>
      <c r="EG24" s="86"/>
      <c r="EH24" s="91" t="str">
        <f t="shared" si="81"/>
        <v/>
      </c>
      <c r="EI24" s="91" t="str">
        <f t="shared" si="82"/>
        <v/>
      </c>
      <c r="EJ24" s="86"/>
      <c r="EK24" s="91" t="str">
        <f t="shared" si="83"/>
        <v/>
      </c>
      <c r="EL24" s="91" t="str">
        <f t="shared" si="84"/>
        <v/>
      </c>
      <c r="EM24" s="86"/>
      <c r="EN24" s="91" t="str">
        <f t="shared" si="85"/>
        <v/>
      </c>
      <c r="EO24" s="91" t="str">
        <f t="shared" si="86"/>
        <v/>
      </c>
      <c r="EP24" s="86"/>
      <c r="EQ24" s="91" t="str">
        <f t="shared" si="87"/>
        <v/>
      </c>
      <c r="ER24" s="91" t="str">
        <f t="shared" si="88"/>
        <v/>
      </c>
      <c r="ES24" s="89">
        <v>80</v>
      </c>
      <c r="ET24" s="91">
        <f t="shared" si="89"/>
        <v>-1.0755938297876984</v>
      </c>
      <c r="EU24" s="91">
        <f t="shared" si="90"/>
        <v>0.16666666666666666</v>
      </c>
      <c r="EV24" s="86"/>
      <c r="EW24" s="91" t="str">
        <f t="shared" si="91"/>
        <v/>
      </c>
      <c r="EX24" s="91" t="str">
        <f t="shared" si="92"/>
        <v/>
      </c>
      <c r="EY24" s="86"/>
      <c r="EZ24" s="91" t="str">
        <f t="shared" si="93"/>
        <v/>
      </c>
      <c r="FA24" s="91" t="str">
        <f t="shared" si="94"/>
        <v/>
      </c>
      <c r="FB24" s="86"/>
      <c r="FC24" s="91" t="str">
        <f t="shared" si="95"/>
        <v/>
      </c>
      <c r="FD24" s="91" t="str">
        <f t="shared" si="96"/>
        <v/>
      </c>
      <c r="FE24" s="86"/>
      <c r="FF24" s="91" t="str">
        <f t="shared" si="97"/>
        <v/>
      </c>
      <c r="FG24" s="91" t="str">
        <f t="shared" si="98"/>
        <v/>
      </c>
      <c r="FH24" s="89"/>
      <c r="FI24" s="91" t="str">
        <f t="shared" si="99"/>
        <v/>
      </c>
      <c r="FJ24" s="91" t="str">
        <f t="shared" si="100"/>
        <v/>
      </c>
      <c r="FK24" s="86"/>
      <c r="FL24" s="91" t="str">
        <f t="shared" si="101"/>
        <v/>
      </c>
      <c r="FM24" s="91" t="str">
        <f t="shared" si="102"/>
        <v/>
      </c>
      <c r="FN24" s="86"/>
      <c r="FO24" s="91" t="str">
        <f t="shared" si="103"/>
        <v/>
      </c>
      <c r="FP24" s="91" t="str">
        <f t="shared" si="104"/>
        <v/>
      </c>
      <c r="FQ24" s="86"/>
      <c r="FR24" s="91" t="str">
        <f t="shared" si="105"/>
        <v/>
      </c>
      <c r="FS24" s="91" t="str">
        <f t="shared" si="106"/>
        <v/>
      </c>
      <c r="FT24" s="86"/>
      <c r="FU24" s="91" t="str">
        <f t="shared" si="107"/>
        <v/>
      </c>
      <c r="FV24" s="91" t="str">
        <f t="shared" si="108"/>
        <v/>
      </c>
      <c r="FW24" s="92"/>
      <c r="FX24" s="91" t="str">
        <f t="shared" si="109"/>
        <v/>
      </c>
      <c r="FY24" s="91" t="str">
        <f t="shared" si="110"/>
        <v/>
      </c>
      <c r="FZ24" s="86"/>
      <c r="GA24" s="91" t="str">
        <f t="shared" si="111"/>
        <v/>
      </c>
      <c r="GB24" s="91" t="str">
        <f t="shared" si="112"/>
        <v/>
      </c>
      <c r="GC24" s="86"/>
      <c r="GD24" s="91" t="str">
        <f t="shared" si="113"/>
        <v/>
      </c>
      <c r="GE24" s="91" t="str">
        <f t="shared" si="114"/>
        <v/>
      </c>
      <c r="GF24" s="86"/>
      <c r="GG24" s="91" t="str">
        <f t="shared" si="115"/>
        <v/>
      </c>
      <c r="GH24" s="91" t="str">
        <f t="shared" si="116"/>
        <v/>
      </c>
      <c r="GI24" s="86"/>
      <c r="GJ24" s="91" t="str">
        <f t="shared" si="117"/>
        <v/>
      </c>
      <c r="GK24" s="91" t="str">
        <f t="shared" si="118"/>
        <v/>
      </c>
      <c r="GL24" s="86"/>
      <c r="GM24" s="91" t="str">
        <f t="shared" si="119"/>
        <v/>
      </c>
      <c r="GN24" s="91" t="str">
        <f t="shared" si="120"/>
        <v/>
      </c>
      <c r="GO24" s="86"/>
      <c r="GP24" s="91" t="str">
        <f t="shared" si="121"/>
        <v/>
      </c>
      <c r="GQ24" s="91" t="str">
        <f t="shared" si="122"/>
        <v/>
      </c>
      <c r="GR24" s="86"/>
      <c r="GS24" s="91" t="str">
        <f t="shared" si="123"/>
        <v/>
      </c>
      <c r="GT24" s="91" t="str">
        <f t="shared" si="124"/>
        <v/>
      </c>
      <c r="GU24" s="86"/>
      <c r="GV24" s="91" t="str">
        <f t="shared" si="125"/>
        <v/>
      </c>
      <c r="GW24" s="91" t="str">
        <f t="shared" si="126"/>
        <v/>
      </c>
      <c r="GX24" s="86"/>
      <c r="GY24" s="91" t="str">
        <f t="shared" si="127"/>
        <v/>
      </c>
      <c r="GZ24" s="91" t="str">
        <f t="shared" si="128"/>
        <v/>
      </c>
      <c r="HA24" s="86"/>
      <c r="HB24" s="91" t="str">
        <f t="shared" si="129"/>
        <v/>
      </c>
      <c r="HC24" s="91" t="str">
        <f t="shared" si="130"/>
        <v/>
      </c>
      <c r="HD24" s="86"/>
      <c r="HE24" s="91" t="str">
        <f t="shared" si="131"/>
        <v/>
      </c>
      <c r="HF24" s="91" t="str">
        <f t="shared" si="132"/>
        <v/>
      </c>
      <c r="HG24" s="86"/>
      <c r="HH24" s="91" t="str">
        <f t="shared" si="133"/>
        <v/>
      </c>
      <c r="HI24" s="91" t="str">
        <f t="shared" si="134"/>
        <v/>
      </c>
      <c r="HJ24" s="86"/>
      <c r="HK24" s="91" t="str">
        <f t="shared" si="135"/>
        <v/>
      </c>
      <c r="HL24" s="91" t="str">
        <f t="shared" si="136"/>
        <v/>
      </c>
      <c r="HM24" s="86"/>
      <c r="HN24" s="91" t="str">
        <f t="shared" si="137"/>
        <v/>
      </c>
      <c r="HO24" s="91" t="str">
        <f t="shared" si="138"/>
        <v/>
      </c>
      <c r="HP24" s="86"/>
      <c r="HQ24" s="91" t="str">
        <f t="shared" si="139"/>
        <v/>
      </c>
      <c r="HR24" s="91" t="str">
        <f t="shared" si="140"/>
        <v/>
      </c>
      <c r="HS24" s="86"/>
      <c r="HT24" s="91" t="str">
        <f t="shared" si="141"/>
        <v/>
      </c>
      <c r="HU24" s="91" t="str">
        <f t="shared" si="142"/>
        <v/>
      </c>
      <c r="HV24" s="86"/>
      <c r="HW24" s="91" t="str">
        <f t="shared" si="143"/>
        <v/>
      </c>
      <c r="HX24" s="91" t="str">
        <f t="shared" si="144"/>
        <v/>
      </c>
      <c r="HY24" s="86"/>
      <c r="HZ24" s="91" t="str">
        <f t="shared" si="145"/>
        <v/>
      </c>
      <c r="IA24" s="91" t="str">
        <f t="shared" si="146"/>
        <v/>
      </c>
      <c r="IB24" s="86"/>
      <c r="IC24" s="91" t="str">
        <f t="shared" si="147"/>
        <v/>
      </c>
      <c r="ID24" s="91" t="str">
        <f t="shared" si="148"/>
        <v/>
      </c>
      <c r="IE24" s="86"/>
      <c r="IF24" s="91" t="str">
        <f t="shared" si="149"/>
        <v/>
      </c>
      <c r="IG24" s="91" t="str">
        <f t="shared" si="150"/>
        <v/>
      </c>
      <c r="IH24" s="86"/>
      <c r="II24" s="91" t="str">
        <f t="shared" si="151"/>
        <v/>
      </c>
      <c r="IJ24" s="91" t="str">
        <f t="shared" si="152"/>
        <v/>
      </c>
      <c r="IK24" s="86"/>
      <c r="IL24" s="91" t="str">
        <f t="shared" si="153"/>
        <v/>
      </c>
      <c r="IM24" s="91" t="str">
        <f t="shared" si="154"/>
        <v/>
      </c>
      <c r="IN24" s="86"/>
      <c r="IO24" s="91" t="str">
        <f t="shared" si="155"/>
        <v/>
      </c>
      <c r="IP24" s="91" t="str">
        <f t="shared" si="156"/>
        <v/>
      </c>
      <c r="IQ24" s="86"/>
      <c r="IR24" s="91" t="str">
        <f t="shared" si="157"/>
        <v/>
      </c>
      <c r="IS24" s="91" t="str">
        <f t="shared" si="158"/>
        <v/>
      </c>
      <c r="IT24" s="86"/>
      <c r="IU24" s="91" t="str">
        <f t="shared" si="159"/>
        <v/>
      </c>
      <c r="IV24" s="91" t="str">
        <f t="shared" si="160"/>
        <v/>
      </c>
      <c r="IW24" s="86"/>
      <c r="IX24" s="91" t="str">
        <f t="shared" si="161"/>
        <v/>
      </c>
      <c r="IY24" s="91" t="str">
        <f t="shared" si="162"/>
        <v/>
      </c>
      <c r="IZ24" s="86"/>
      <c r="JA24" s="91" t="str">
        <f t="shared" si="163"/>
        <v/>
      </c>
      <c r="JB24" s="91" t="str">
        <f t="shared" si="164"/>
        <v/>
      </c>
      <c r="JC24" s="86"/>
      <c r="JD24" s="91" t="str">
        <f t="shared" si="165"/>
        <v/>
      </c>
      <c r="JE24" s="91" t="str">
        <f t="shared" si="166"/>
        <v/>
      </c>
      <c r="JF24" s="86"/>
      <c r="JG24" s="91" t="str">
        <f t="shared" si="167"/>
        <v/>
      </c>
      <c r="JH24" s="91" t="str">
        <f t="shared" si="168"/>
        <v/>
      </c>
      <c r="JI24" s="86"/>
      <c r="JJ24" s="91" t="str">
        <f t="shared" si="169"/>
        <v/>
      </c>
      <c r="JK24" s="91" t="str">
        <f t="shared" si="170"/>
        <v/>
      </c>
      <c r="JL24" s="86"/>
      <c r="JM24" s="91" t="str">
        <f t="shared" si="171"/>
        <v/>
      </c>
      <c r="JN24" s="91" t="str">
        <f t="shared" si="172"/>
        <v/>
      </c>
      <c r="JO24" s="86"/>
      <c r="JP24" s="91" t="str">
        <f t="shared" si="173"/>
        <v/>
      </c>
      <c r="JQ24" s="91" t="str">
        <f t="shared" si="174"/>
        <v/>
      </c>
      <c r="JR24" s="86"/>
      <c r="JS24" s="91" t="str">
        <f t="shared" si="175"/>
        <v/>
      </c>
      <c r="JT24" s="91" t="str">
        <f t="shared" si="176"/>
        <v/>
      </c>
      <c r="JU24" s="86"/>
      <c r="JV24" s="91" t="str">
        <f t="shared" si="177"/>
        <v/>
      </c>
      <c r="JW24" s="91" t="str">
        <f t="shared" si="178"/>
        <v/>
      </c>
      <c r="JX24" s="86"/>
      <c r="JY24" s="91" t="str">
        <f t="shared" si="179"/>
        <v/>
      </c>
      <c r="JZ24" s="91" t="str">
        <f t="shared" si="180"/>
        <v/>
      </c>
      <c r="KA24" s="86"/>
      <c r="KB24" s="91" t="str">
        <f t="shared" si="181"/>
        <v/>
      </c>
      <c r="KC24" s="91" t="str">
        <f t="shared" si="182"/>
        <v/>
      </c>
      <c r="KD24" s="86"/>
      <c r="KE24" s="91" t="str">
        <f t="shared" si="183"/>
        <v/>
      </c>
      <c r="KF24" s="91" t="str">
        <f t="shared" si="184"/>
        <v/>
      </c>
      <c r="KG24" s="86"/>
      <c r="KH24" s="91" t="str">
        <f t="shared" si="185"/>
        <v/>
      </c>
      <c r="KI24" s="91" t="str">
        <f t="shared" si="186"/>
        <v/>
      </c>
      <c r="KJ24" s="86"/>
      <c r="KK24" s="91" t="str">
        <f t="shared" si="187"/>
        <v/>
      </c>
      <c r="KL24" s="91" t="str">
        <f t="shared" si="188"/>
        <v/>
      </c>
      <c r="KM24" s="86"/>
      <c r="KN24" s="91" t="str">
        <f t="shared" si="189"/>
        <v/>
      </c>
      <c r="KO24" s="91" t="str">
        <f t="shared" si="190"/>
        <v/>
      </c>
      <c r="KP24" s="86"/>
      <c r="KQ24" s="91" t="str">
        <f t="shared" si="191"/>
        <v/>
      </c>
      <c r="KR24" s="91" t="str">
        <f t="shared" si="192"/>
        <v/>
      </c>
      <c r="KS24" s="86"/>
      <c r="KT24" s="91" t="str">
        <f t="shared" si="193"/>
        <v/>
      </c>
      <c r="KU24" s="91" t="str">
        <f t="shared" si="194"/>
        <v/>
      </c>
      <c r="KV24" s="86"/>
      <c r="KW24" s="91" t="str">
        <f t="shared" si="195"/>
        <v/>
      </c>
      <c r="KX24" s="91" t="str">
        <f t="shared" si="196"/>
        <v/>
      </c>
      <c r="KY24" s="92"/>
      <c r="KZ24" s="91" t="str">
        <f t="shared" si="197"/>
        <v/>
      </c>
      <c r="LA24" s="91" t="str">
        <f t="shared" si="198"/>
        <v/>
      </c>
      <c r="LB24" s="106">
        <f t="shared" si="213"/>
        <v>77.5</v>
      </c>
      <c r="LC24" s="108">
        <f t="shared" si="199"/>
        <v>47</v>
      </c>
      <c r="LD24" s="106">
        <f t="shared" si="207"/>
        <v>-0.6838312130711659</v>
      </c>
      <c r="LE24" s="108">
        <f t="shared" si="200"/>
        <v>48</v>
      </c>
      <c r="LF24" s="106">
        <f t="shared" si="208"/>
        <v>0.22916666666666666</v>
      </c>
      <c r="LG24" s="108">
        <f t="shared" si="201"/>
        <v>49</v>
      </c>
      <c r="LH24" s="109">
        <f t="shared" si="202"/>
        <v>38.760964912280699</v>
      </c>
      <c r="LI24" s="109">
        <f t="shared" si="203"/>
        <v>33.464794883508716</v>
      </c>
      <c r="LJ24" s="109">
        <f t="shared" si="204"/>
        <v>30.729166666666664</v>
      </c>
      <c r="LK24" s="109">
        <f t="shared" si="205"/>
        <v>52.954926462456086</v>
      </c>
      <c r="LL24" s="111">
        <f t="shared" si="206"/>
        <v>50</v>
      </c>
      <c r="LM24" s="64"/>
      <c r="LN24" s="112">
        <f t="shared" si="217"/>
        <v>19</v>
      </c>
      <c r="LO24" s="113">
        <f t="shared" si="216"/>
        <v>50</v>
      </c>
      <c r="LP24" s="64"/>
      <c r="LQ24" s="64"/>
      <c r="LR24" s="64"/>
    </row>
    <row r="25" spans="1:334" s="62" customFormat="1" ht="15" customHeight="1">
      <c r="A25" s="106">
        <f t="shared" si="211"/>
        <v>5</v>
      </c>
      <c r="B25" s="106">
        <f t="shared" si="212"/>
        <v>5</v>
      </c>
      <c r="C25" s="117">
        <v>7</v>
      </c>
      <c r="D25" s="118" t="s">
        <v>172</v>
      </c>
      <c r="E25" s="286" t="s">
        <v>624</v>
      </c>
      <c r="F25" s="76"/>
      <c r="G25" s="76"/>
      <c r="H25" s="119" t="s">
        <v>173</v>
      </c>
      <c r="I25" s="286" t="s">
        <v>546</v>
      </c>
      <c r="J25" s="119" t="s">
        <v>174</v>
      </c>
      <c r="K25" s="119" t="s">
        <v>2</v>
      </c>
      <c r="L25" s="53" t="s">
        <v>175</v>
      </c>
      <c r="M25" s="292" t="s">
        <v>35</v>
      </c>
      <c r="N25" s="86">
        <v>73</v>
      </c>
      <c r="O25" s="91">
        <f t="shared" si="0"/>
        <v>-0.89902581869510889</v>
      </c>
      <c r="P25" s="91">
        <f t="shared" si="1"/>
        <v>0.25</v>
      </c>
      <c r="Q25" s="89"/>
      <c r="R25" s="91" t="str">
        <f t="shared" si="2"/>
        <v/>
      </c>
      <c r="S25" s="91" t="str">
        <f t="shared" si="3"/>
        <v/>
      </c>
      <c r="T25" s="86"/>
      <c r="U25" s="91" t="str">
        <f t="shared" si="4"/>
        <v/>
      </c>
      <c r="V25" s="91" t="str">
        <f t="shared" si="5"/>
        <v/>
      </c>
      <c r="W25" s="86"/>
      <c r="X25" s="91" t="str">
        <f t="shared" si="6"/>
        <v/>
      </c>
      <c r="Y25" s="91" t="str">
        <f t="shared" si="7"/>
        <v/>
      </c>
      <c r="Z25" s="89"/>
      <c r="AA25" s="91" t="str">
        <f t="shared" si="8"/>
        <v/>
      </c>
      <c r="AB25" s="91" t="str">
        <f t="shared" si="9"/>
        <v/>
      </c>
      <c r="AC25" s="86"/>
      <c r="AD25" s="91" t="str">
        <f t="shared" si="10"/>
        <v/>
      </c>
      <c r="AE25" s="91" t="str">
        <f t="shared" si="11"/>
        <v/>
      </c>
      <c r="AF25" s="86"/>
      <c r="AG25" s="91" t="str">
        <f t="shared" si="12"/>
        <v/>
      </c>
      <c r="AH25" s="91" t="str">
        <f t="shared" si="13"/>
        <v/>
      </c>
      <c r="AI25" s="86"/>
      <c r="AJ25" s="91" t="str">
        <f t="shared" si="14"/>
        <v/>
      </c>
      <c r="AK25" s="91" t="str">
        <f t="shared" si="15"/>
        <v/>
      </c>
      <c r="AL25" s="86"/>
      <c r="AM25" s="91" t="str">
        <f t="shared" si="16"/>
        <v/>
      </c>
      <c r="AN25" s="91" t="str">
        <f t="shared" si="17"/>
        <v/>
      </c>
      <c r="AO25" s="86"/>
      <c r="AP25" s="91" t="str">
        <f t="shared" si="18"/>
        <v/>
      </c>
      <c r="AQ25" s="91" t="str">
        <f t="shared" si="19"/>
        <v/>
      </c>
      <c r="AR25" s="86"/>
      <c r="AS25" s="91" t="str">
        <f t="shared" si="20"/>
        <v/>
      </c>
      <c r="AT25" s="91" t="str">
        <f t="shared" si="21"/>
        <v/>
      </c>
      <c r="AU25" s="89"/>
      <c r="AV25" s="91" t="str">
        <f t="shared" si="22"/>
        <v/>
      </c>
      <c r="AW25" s="91" t="str">
        <f t="shared" si="23"/>
        <v/>
      </c>
      <c r="AX25" s="86"/>
      <c r="AY25" s="91" t="str">
        <f t="shared" si="24"/>
        <v/>
      </c>
      <c r="AZ25" s="91" t="str">
        <f t="shared" si="25"/>
        <v/>
      </c>
      <c r="BA25" s="86"/>
      <c r="BB25" s="91" t="str">
        <f t="shared" si="26"/>
        <v/>
      </c>
      <c r="BC25" s="91" t="str">
        <f t="shared" si="27"/>
        <v/>
      </c>
      <c r="BD25" s="86"/>
      <c r="BE25" s="91" t="str">
        <f t="shared" si="28"/>
        <v/>
      </c>
      <c r="BF25" s="91" t="str">
        <f t="shared" si="29"/>
        <v/>
      </c>
      <c r="BG25" s="86"/>
      <c r="BH25" s="91" t="str">
        <f t="shared" si="30"/>
        <v/>
      </c>
      <c r="BI25" s="91" t="str">
        <f t="shared" si="31"/>
        <v/>
      </c>
      <c r="BJ25" s="86"/>
      <c r="BK25" s="91" t="str">
        <f t="shared" si="32"/>
        <v/>
      </c>
      <c r="BL25" s="91" t="str">
        <f t="shared" si="33"/>
        <v/>
      </c>
      <c r="BM25" s="86"/>
      <c r="BN25" s="91" t="str">
        <f t="shared" si="34"/>
        <v/>
      </c>
      <c r="BO25" s="91" t="str">
        <f t="shared" si="35"/>
        <v/>
      </c>
      <c r="BP25" s="51"/>
      <c r="BQ25" s="91" t="str">
        <f t="shared" si="36"/>
        <v/>
      </c>
      <c r="BR25" s="91" t="str">
        <f t="shared" si="37"/>
        <v/>
      </c>
      <c r="BS25" s="86"/>
      <c r="BT25" s="91" t="str">
        <f t="shared" si="38"/>
        <v/>
      </c>
      <c r="BU25" s="91" t="str">
        <f t="shared" si="39"/>
        <v/>
      </c>
      <c r="BV25" s="86"/>
      <c r="BW25" s="91" t="str">
        <f t="shared" si="40"/>
        <v/>
      </c>
      <c r="BX25" s="91" t="str">
        <f t="shared" si="41"/>
        <v/>
      </c>
      <c r="BY25" s="86"/>
      <c r="BZ25" s="91" t="str">
        <f t="shared" si="42"/>
        <v/>
      </c>
      <c r="CA25" s="91" t="str">
        <f t="shared" si="43"/>
        <v/>
      </c>
      <c r="CB25" s="86"/>
      <c r="CC25" s="91" t="str">
        <f t="shared" si="44"/>
        <v/>
      </c>
      <c r="CD25" s="91" t="str">
        <f t="shared" si="45"/>
        <v/>
      </c>
      <c r="CE25" s="86"/>
      <c r="CF25" s="91" t="str">
        <f t="shared" si="46"/>
        <v/>
      </c>
      <c r="CG25" s="91" t="str">
        <f t="shared" si="47"/>
        <v/>
      </c>
      <c r="CH25" s="86"/>
      <c r="CI25" s="91" t="str">
        <f t="shared" si="48"/>
        <v/>
      </c>
      <c r="CJ25" s="91" t="str">
        <f t="shared" si="49"/>
        <v/>
      </c>
      <c r="CK25" s="86"/>
      <c r="CL25" s="91" t="str">
        <f t="shared" si="50"/>
        <v/>
      </c>
      <c r="CM25" s="91" t="str">
        <f t="shared" si="51"/>
        <v/>
      </c>
      <c r="CN25" s="86">
        <v>82</v>
      </c>
      <c r="CO25" s="91">
        <f t="shared" si="52"/>
        <v>-0.58046763489382835</v>
      </c>
      <c r="CP25" s="91">
        <f t="shared" si="53"/>
        <v>0.25</v>
      </c>
      <c r="CQ25" s="86"/>
      <c r="CR25" s="91" t="str">
        <f t="shared" si="54"/>
        <v/>
      </c>
      <c r="CS25" s="91" t="str">
        <f t="shared" si="55"/>
        <v/>
      </c>
      <c r="CT25" s="86"/>
      <c r="CU25" s="91" t="str">
        <f t="shared" si="56"/>
        <v/>
      </c>
      <c r="CV25" s="91" t="str">
        <f t="shared" si="57"/>
        <v/>
      </c>
      <c r="CW25" s="86"/>
      <c r="CX25" s="91" t="str">
        <f t="shared" si="58"/>
        <v/>
      </c>
      <c r="CY25" s="91" t="str">
        <f t="shared" si="59"/>
        <v/>
      </c>
      <c r="CZ25" s="86"/>
      <c r="DA25" s="91" t="str">
        <f t="shared" si="60"/>
        <v/>
      </c>
      <c r="DB25" s="91" t="str">
        <f t="shared" si="61"/>
        <v/>
      </c>
      <c r="DC25" s="86"/>
      <c r="DD25" s="91" t="str">
        <f t="shared" si="62"/>
        <v/>
      </c>
      <c r="DE25" s="91" t="str">
        <f t="shared" si="63"/>
        <v/>
      </c>
      <c r="DF25" s="86"/>
      <c r="DG25" s="91"/>
      <c r="DH25" s="91" t="str">
        <f t="shared" si="64"/>
        <v/>
      </c>
      <c r="DI25" s="86"/>
      <c r="DJ25" s="91" t="str">
        <f t="shared" si="65"/>
        <v/>
      </c>
      <c r="DK25" s="91" t="str">
        <f t="shared" si="66"/>
        <v/>
      </c>
      <c r="DL25" s="86">
        <v>70</v>
      </c>
      <c r="DM25" s="91">
        <f t="shared" si="67"/>
        <v>-0.70455581181816807</v>
      </c>
      <c r="DN25" s="91">
        <f t="shared" si="68"/>
        <v>0.25</v>
      </c>
      <c r="DO25" s="86"/>
      <c r="DP25" s="91" t="str">
        <f t="shared" si="69"/>
        <v/>
      </c>
      <c r="DQ25" s="91" t="str">
        <f t="shared" si="70"/>
        <v/>
      </c>
      <c r="DR25" s="86"/>
      <c r="DS25" s="91" t="str">
        <f t="shared" si="71"/>
        <v/>
      </c>
      <c r="DT25" s="91" t="str">
        <f t="shared" si="72"/>
        <v/>
      </c>
      <c r="DU25" s="86"/>
      <c r="DV25" s="91" t="str">
        <f t="shared" si="73"/>
        <v/>
      </c>
      <c r="DW25" s="91" t="str">
        <f t="shared" si="74"/>
        <v/>
      </c>
      <c r="DX25" s="86"/>
      <c r="DY25" s="91" t="str">
        <f t="shared" si="75"/>
        <v/>
      </c>
      <c r="DZ25" s="91" t="str">
        <f t="shared" si="76"/>
        <v/>
      </c>
      <c r="EA25" s="56">
        <v>83</v>
      </c>
      <c r="EB25" s="91">
        <f t="shared" si="77"/>
        <v>-0.33821085773448684</v>
      </c>
      <c r="EC25" s="91">
        <f t="shared" si="78"/>
        <v>0.5</v>
      </c>
      <c r="ED25" s="86"/>
      <c r="EE25" s="91" t="str">
        <f t="shared" si="79"/>
        <v/>
      </c>
      <c r="EF25" s="91" t="str">
        <f t="shared" si="80"/>
        <v/>
      </c>
      <c r="EG25" s="86"/>
      <c r="EH25" s="91" t="str">
        <f t="shared" si="81"/>
        <v/>
      </c>
      <c r="EI25" s="91" t="str">
        <f t="shared" si="82"/>
        <v/>
      </c>
      <c r="EJ25" s="86"/>
      <c r="EK25" s="91" t="str">
        <f t="shared" si="83"/>
        <v/>
      </c>
      <c r="EL25" s="91" t="str">
        <f t="shared" si="84"/>
        <v/>
      </c>
      <c r="EM25" s="86"/>
      <c r="EN25" s="91" t="str">
        <f t="shared" si="85"/>
        <v/>
      </c>
      <c r="EO25" s="91" t="str">
        <f t="shared" si="86"/>
        <v/>
      </c>
      <c r="EP25" s="86"/>
      <c r="EQ25" s="91" t="str">
        <f t="shared" si="87"/>
        <v/>
      </c>
      <c r="ER25" s="91" t="str">
        <f t="shared" si="88"/>
        <v/>
      </c>
      <c r="ES25" s="51"/>
      <c r="ET25" s="91" t="str">
        <f t="shared" si="89"/>
        <v/>
      </c>
      <c r="EU25" s="91" t="str">
        <f t="shared" si="90"/>
        <v/>
      </c>
      <c r="EV25" s="86">
        <v>87</v>
      </c>
      <c r="EW25" s="91">
        <f t="shared" si="91"/>
        <v>-0.1895261918141973</v>
      </c>
      <c r="EX25" s="91">
        <f t="shared" si="92"/>
        <v>0.25</v>
      </c>
      <c r="EY25" s="86"/>
      <c r="EZ25" s="91" t="str">
        <f t="shared" si="93"/>
        <v/>
      </c>
      <c r="FA25" s="91" t="str">
        <f t="shared" si="94"/>
        <v/>
      </c>
      <c r="FB25" s="86"/>
      <c r="FC25" s="91" t="str">
        <f t="shared" si="95"/>
        <v/>
      </c>
      <c r="FD25" s="91" t="str">
        <f t="shared" si="96"/>
        <v/>
      </c>
      <c r="FE25" s="86"/>
      <c r="FF25" s="91" t="str">
        <f t="shared" si="97"/>
        <v/>
      </c>
      <c r="FG25" s="91" t="str">
        <f t="shared" si="98"/>
        <v/>
      </c>
      <c r="FH25" s="89"/>
      <c r="FI25" s="91" t="str">
        <f t="shared" si="99"/>
        <v/>
      </c>
      <c r="FJ25" s="91" t="str">
        <f t="shared" si="100"/>
        <v/>
      </c>
      <c r="FK25" s="86"/>
      <c r="FL25" s="91" t="str">
        <f t="shared" si="101"/>
        <v/>
      </c>
      <c r="FM25" s="91" t="str">
        <f t="shared" si="102"/>
        <v/>
      </c>
      <c r="FN25" s="86"/>
      <c r="FO25" s="91" t="str">
        <f t="shared" si="103"/>
        <v/>
      </c>
      <c r="FP25" s="91" t="str">
        <f t="shared" si="104"/>
        <v/>
      </c>
      <c r="FQ25" s="92"/>
      <c r="FR25" s="91" t="str">
        <f t="shared" si="105"/>
        <v/>
      </c>
      <c r="FS25" s="91" t="str">
        <f t="shared" si="106"/>
        <v/>
      </c>
      <c r="FT25" s="89"/>
      <c r="FU25" s="91" t="str">
        <f t="shared" si="107"/>
        <v/>
      </c>
      <c r="FV25" s="91" t="str">
        <f t="shared" si="108"/>
        <v/>
      </c>
      <c r="FW25" s="92"/>
      <c r="FX25" s="91" t="str">
        <f t="shared" si="109"/>
        <v/>
      </c>
      <c r="FY25" s="91" t="str">
        <f t="shared" si="110"/>
        <v/>
      </c>
      <c r="FZ25" s="86"/>
      <c r="GA25" s="91" t="str">
        <f t="shared" si="111"/>
        <v/>
      </c>
      <c r="GB25" s="91" t="str">
        <f t="shared" si="112"/>
        <v/>
      </c>
      <c r="GC25" s="86"/>
      <c r="GD25" s="91" t="str">
        <f t="shared" si="113"/>
        <v/>
      </c>
      <c r="GE25" s="91" t="str">
        <f t="shared" si="114"/>
        <v/>
      </c>
      <c r="GF25" s="86"/>
      <c r="GG25" s="91" t="str">
        <f t="shared" si="115"/>
        <v/>
      </c>
      <c r="GH25" s="91" t="str">
        <f t="shared" si="116"/>
        <v/>
      </c>
      <c r="GI25" s="86"/>
      <c r="GJ25" s="91" t="str">
        <f t="shared" si="117"/>
        <v/>
      </c>
      <c r="GK25" s="91" t="str">
        <f t="shared" si="118"/>
        <v/>
      </c>
      <c r="GL25" s="86"/>
      <c r="GM25" s="91" t="str">
        <f t="shared" si="119"/>
        <v/>
      </c>
      <c r="GN25" s="91" t="str">
        <f t="shared" si="120"/>
        <v/>
      </c>
      <c r="GO25" s="86"/>
      <c r="GP25" s="91" t="str">
        <f t="shared" si="121"/>
        <v/>
      </c>
      <c r="GQ25" s="91" t="str">
        <f t="shared" si="122"/>
        <v/>
      </c>
      <c r="GR25" s="86"/>
      <c r="GS25" s="91" t="str">
        <f t="shared" si="123"/>
        <v/>
      </c>
      <c r="GT25" s="91" t="str">
        <f t="shared" si="124"/>
        <v/>
      </c>
      <c r="GU25" s="86"/>
      <c r="GV25" s="91" t="str">
        <f t="shared" si="125"/>
        <v/>
      </c>
      <c r="GW25" s="91" t="str">
        <f t="shared" si="126"/>
        <v/>
      </c>
      <c r="GX25" s="86"/>
      <c r="GY25" s="91" t="str">
        <f t="shared" si="127"/>
        <v/>
      </c>
      <c r="GZ25" s="91" t="str">
        <f t="shared" si="128"/>
        <v/>
      </c>
      <c r="HA25" s="86"/>
      <c r="HB25" s="91" t="str">
        <f t="shared" si="129"/>
        <v/>
      </c>
      <c r="HC25" s="91" t="str">
        <f t="shared" si="130"/>
        <v/>
      </c>
      <c r="HD25" s="86"/>
      <c r="HE25" s="91" t="str">
        <f t="shared" si="131"/>
        <v/>
      </c>
      <c r="HF25" s="91" t="str">
        <f t="shared" si="132"/>
        <v/>
      </c>
      <c r="HG25" s="86"/>
      <c r="HH25" s="91" t="str">
        <f t="shared" si="133"/>
        <v/>
      </c>
      <c r="HI25" s="91" t="str">
        <f t="shared" si="134"/>
        <v/>
      </c>
      <c r="HJ25" s="86"/>
      <c r="HK25" s="91" t="str">
        <f t="shared" si="135"/>
        <v/>
      </c>
      <c r="HL25" s="91" t="str">
        <f t="shared" si="136"/>
        <v/>
      </c>
      <c r="HM25" s="86"/>
      <c r="HN25" s="91" t="str">
        <f t="shared" si="137"/>
        <v/>
      </c>
      <c r="HO25" s="91" t="str">
        <f t="shared" si="138"/>
        <v/>
      </c>
      <c r="HP25" s="86"/>
      <c r="HQ25" s="91" t="str">
        <f t="shared" si="139"/>
        <v/>
      </c>
      <c r="HR25" s="91" t="str">
        <f t="shared" si="140"/>
        <v/>
      </c>
      <c r="HS25" s="86"/>
      <c r="HT25" s="91" t="str">
        <f t="shared" si="141"/>
        <v/>
      </c>
      <c r="HU25" s="91" t="str">
        <f t="shared" si="142"/>
        <v/>
      </c>
      <c r="HV25" s="86"/>
      <c r="HW25" s="91" t="str">
        <f t="shared" si="143"/>
        <v/>
      </c>
      <c r="HX25" s="91" t="str">
        <f t="shared" si="144"/>
        <v/>
      </c>
      <c r="HY25" s="86"/>
      <c r="HZ25" s="91" t="str">
        <f t="shared" si="145"/>
        <v/>
      </c>
      <c r="IA25" s="91" t="str">
        <f t="shared" si="146"/>
        <v/>
      </c>
      <c r="IB25" s="86"/>
      <c r="IC25" s="91" t="str">
        <f t="shared" si="147"/>
        <v/>
      </c>
      <c r="ID25" s="91" t="str">
        <f t="shared" si="148"/>
        <v/>
      </c>
      <c r="IE25" s="86"/>
      <c r="IF25" s="91" t="str">
        <f t="shared" si="149"/>
        <v/>
      </c>
      <c r="IG25" s="91" t="str">
        <f t="shared" si="150"/>
        <v/>
      </c>
      <c r="IH25" s="86"/>
      <c r="II25" s="91" t="str">
        <f t="shared" si="151"/>
        <v/>
      </c>
      <c r="IJ25" s="91" t="str">
        <f t="shared" si="152"/>
        <v/>
      </c>
      <c r="IK25" s="86"/>
      <c r="IL25" s="91" t="str">
        <f t="shared" si="153"/>
        <v/>
      </c>
      <c r="IM25" s="91" t="str">
        <f t="shared" si="154"/>
        <v/>
      </c>
      <c r="IN25" s="86"/>
      <c r="IO25" s="91" t="str">
        <f t="shared" si="155"/>
        <v/>
      </c>
      <c r="IP25" s="91" t="str">
        <f t="shared" si="156"/>
        <v/>
      </c>
      <c r="IQ25" s="86"/>
      <c r="IR25" s="91" t="str">
        <f t="shared" si="157"/>
        <v/>
      </c>
      <c r="IS25" s="91" t="str">
        <f t="shared" si="158"/>
        <v/>
      </c>
      <c r="IT25" s="86"/>
      <c r="IU25" s="91" t="str">
        <f t="shared" si="159"/>
        <v/>
      </c>
      <c r="IV25" s="91" t="str">
        <f t="shared" si="160"/>
        <v/>
      </c>
      <c r="IW25" s="86"/>
      <c r="IX25" s="91" t="str">
        <f t="shared" si="161"/>
        <v/>
      </c>
      <c r="IY25" s="91" t="str">
        <f t="shared" si="162"/>
        <v/>
      </c>
      <c r="IZ25" s="86"/>
      <c r="JA25" s="91" t="str">
        <f t="shared" si="163"/>
        <v/>
      </c>
      <c r="JB25" s="91" t="str">
        <f t="shared" si="164"/>
        <v/>
      </c>
      <c r="JC25" s="86"/>
      <c r="JD25" s="91" t="str">
        <f t="shared" si="165"/>
        <v/>
      </c>
      <c r="JE25" s="91" t="str">
        <f t="shared" si="166"/>
        <v/>
      </c>
      <c r="JF25" s="86"/>
      <c r="JG25" s="91" t="str">
        <f t="shared" si="167"/>
        <v/>
      </c>
      <c r="JH25" s="91" t="str">
        <f t="shared" si="168"/>
        <v/>
      </c>
      <c r="JI25" s="86"/>
      <c r="JJ25" s="91" t="str">
        <f t="shared" si="169"/>
        <v/>
      </c>
      <c r="JK25" s="91" t="str">
        <f t="shared" si="170"/>
        <v/>
      </c>
      <c r="JL25" s="86"/>
      <c r="JM25" s="91" t="str">
        <f t="shared" si="171"/>
        <v/>
      </c>
      <c r="JN25" s="91" t="str">
        <f t="shared" si="172"/>
        <v/>
      </c>
      <c r="JO25" s="86"/>
      <c r="JP25" s="91" t="str">
        <f t="shared" si="173"/>
        <v/>
      </c>
      <c r="JQ25" s="91" t="str">
        <f t="shared" si="174"/>
        <v/>
      </c>
      <c r="JR25" s="86"/>
      <c r="JS25" s="91" t="str">
        <f t="shared" si="175"/>
        <v/>
      </c>
      <c r="JT25" s="91" t="str">
        <f t="shared" si="176"/>
        <v/>
      </c>
      <c r="JU25" s="86"/>
      <c r="JV25" s="91" t="str">
        <f t="shared" si="177"/>
        <v/>
      </c>
      <c r="JW25" s="91" t="str">
        <f t="shared" si="178"/>
        <v/>
      </c>
      <c r="JX25" s="86"/>
      <c r="JY25" s="91" t="str">
        <f t="shared" si="179"/>
        <v/>
      </c>
      <c r="JZ25" s="91" t="str">
        <f t="shared" si="180"/>
        <v/>
      </c>
      <c r="KA25" s="86"/>
      <c r="KB25" s="91" t="str">
        <f t="shared" si="181"/>
        <v/>
      </c>
      <c r="KC25" s="91" t="str">
        <f t="shared" si="182"/>
        <v/>
      </c>
      <c r="KD25" s="86"/>
      <c r="KE25" s="91" t="str">
        <f t="shared" si="183"/>
        <v/>
      </c>
      <c r="KF25" s="91" t="str">
        <f t="shared" si="184"/>
        <v/>
      </c>
      <c r="KG25" s="86"/>
      <c r="KH25" s="91" t="str">
        <f t="shared" si="185"/>
        <v/>
      </c>
      <c r="KI25" s="91" t="str">
        <f t="shared" si="186"/>
        <v/>
      </c>
      <c r="KJ25" s="86"/>
      <c r="KK25" s="91" t="str">
        <f t="shared" si="187"/>
        <v/>
      </c>
      <c r="KL25" s="91" t="str">
        <f t="shared" si="188"/>
        <v/>
      </c>
      <c r="KM25" s="86"/>
      <c r="KN25" s="91" t="str">
        <f t="shared" si="189"/>
        <v/>
      </c>
      <c r="KO25" s="91" t="str">
        <f t="shared" si="190"/>
        <v/>
      </c>
      <c r="KP25" s="86"/>
      <c r="KQ25" s="91" t="str">
        <f t="shared" si="191"/>
        <v/>
      </c>
      <c r="KR25" s="91" t="str">
        <f t="shared" si="192"/>
        <v/>
      </c>
      <c r="KS25" s="86"/>
      <c r="KT25" s="91" t="str">
        <f t="shared" si="193"/>
        <v/>
      </c>
      <c r="KU25" s="91" t="str">
        <f t="shared" si="194"/>
        <v/>
      </c>
      <c r="KV25" s="86"/>
      <c r="KW25" s="91" t="str">
        <f t="shared" si="195"/>
        <v/>
      </c>
      <c r="KX25" s="91" t="str">
        <f t="shared" si="196"/>
        <v/>
      </c>
      <c r="KY25" s="92"/>
      <c r="KZ25" s="91" t="str">
        <f t="shared" si="197"/>
        <v/>
      </c>
      <c r="LA25" s="91" t="str">
        <f t="shared" si="198"/>
        <v/>
      </c>
      <c r="LB25" s="106">
        <f t="shared" si="213"/>
        <v>79</v>
      </c>
      <c r="LC25" s="108">
        <f t="shared" si="199"/>
        <v>44</v>
      </c>
      <c r="LD25" s="106">
        <f t="shared" si="207"/>
        <v>-0.54235726299115783</v>
      </c>
      <c r="LE25" s="108">
        <f t="shared" si="200"/>
        <v>46</v>
      </c>
      <c r="LF25" s="106">
        <f t="shared" si="208"/>
        <v>0.3</v>
      </c>
      <c r="LG25" s="108">
        <f t="shared" si="201"/>
        <v>45</v>
      </c>
      <c r="LH25" s="109">
        <f t="shared" si="202"/>
        <v>39.583333333333336</v>
      </c>
      <c r="LI25" s="109">
        <f t="shared" si="203"/>
        <v>34.785532208284145</v>
      </c>
      <c r="LJ25" s="109">
        <f t="shared" si="204"/>
        <v>32.5</v>
      </c>
      <c r="LK25" s="109">
        <f t="shared" si="205"/>
        <v>56.868865541617481</v>
      </c>
      <c r="LL25" s="111">
        <f t="shared" si="206"/>
        <v>46</v>
      </c>
      <c r="LM25" s="64"/>
      <c r="LN25" s="112">
        <f t="shared" si="217"/>
        <v>18</v>
      </c>
      <c r="LO25" s="113">
        <f t="shared" si="216"/>
        <v>46</v>
      </c>
      <c r="LP25" s="64"/>
      <c r="LQ25" s="64"/>
      <c r="LR25" s="64"/>
    </row>
    <row r="26" spans="1:334" s="62" customFormat="1" ht="15" customHeight="1">
      <c r="A26" s="50">
        <f t="shared" si="211"/>
        <v>5</v>
      </c>
      <c r="B26" s="50">
        <f t="shared" si="212"/>
        <v>4</v>
      </c>
      <c r="C26" s="117">
        <v>42</v>
      </c>
      <c r="D26" s="118" t="s">
        <v>176</v>
      </c>
      <c r="E26" s="286" t="s">
        <v>625</v>
      </c>
      <c r="F26" s="76"/>
      <c r="G26" s="76"/>
      <c r="H26" s="119" t="s">
        <v>177</v>
      </c>
      <c r="I26" s="286" t="s">
        <v>547</v>
      </c>
      <c r="J26" s="119" t="s">
        <v>178</v>
      </c>
      <c r="K26" s="119" t="s">
        <v>2</v>
      </c>
      <c r="L26" s="53" t="s">
        <v>179</v>
      </c>
      <c r="M26" s="292" t="s">
        <v>35</v>
      </c>
      <c r="N26" s="86"/>
      <c r="O26" s="91" t="str">
        <f t="shared" si="0"/>
        <v/>
      </c>
      <c r="P26" s="85" t="str">
        <f t="shared" si="1"/>
        <v/>
      </c>
      <c r="Q26" s="86"/>
      <c r="R26" s="91" t="str">
        <f t="shared" si="2"/>
        <v/>
      </c>
      <c r="S26" s="85" t="str">
        <f t="shared" si="3"/>
        <v/>
      </c>
      <c r="T26" s="86">
        <v>99</v>
      </c>
      <c r="U26" s="91">
        <f t="shared" si="4"/>
        <v>1.5867952215533372</v>
      </c>
      <c r="V26" s="85">
        <f t="shared" si="5"/>
        <v>1</v>
      </c>
      <c r="W26" s="86"/>
      <c r="X26" s="91" t="str">
        <f t="shared" si="6"/>
        <v/>
      </c>
      <c r="Y26" s="85" t="str">
        <f t="shared" si="7"/>
        <v/>
      </c>
      <c r="Z26" s="92"/>
      <c r="AA26" s="91" t="str">
        <f t="shared" si="8"/>
        <v/>
      </c>
      <c r="AB26" s="85" t="str">
        <f t="shared" si="9"/>
        <v/>
      </c>
      <c r="AC26" s="56"/>
      <c r="AD26" s="91" t="str">
        <f t="shared" si="10"/>
        <v/>
      </c>
      <c r="AE26" s="85" t="str">
        <f t="shared" si="11"/>
        <v/>
      </c>
      <c r="AF26" s="86"/>
      <c r="AG26" s="91" t="str">
        <f t="shared" si="12"/>
        <v/>
      </c>
      <c r="AH26" s="85" t="str">
        <f t="shared" si="13"/>
        <v/>
      </c>
      <c r="AI26" s="86"/>
      <c r="AJ26" s="91" t="str">
        <f t="shared" si="14"/>
        <v/>
      </c>
      <c r="AK26" s="85" t="str">
        <f t="shared" si="15"/>
        <v/>
      </c>
      <c r="AL26" s="86"/>
      <c r="AM26" s="91" t="str">
        <f t="shared" si="16"/>
        <v/>
      </c>
      <c r="AN26" s="85" t="str">
        <f t="shared" si="17"/>
        <v/>
      </c>
      <c r="AO26" s="86"/>
      <c r="AP26" s="91" t="str">
        <f t="shared" si="18"/>
        <v/>
      </c>
      <c r="AQ26" s="85" t="str">
        <f t="shared" si="19"/>
        <v/>
      </c>
      <c r="AR26" s="86"/>
      <c r="AS26" s="91" t="str">
        <f t="shared" si="20"/>
        <v/>
      </c>
      <c r="AT26" s="85" t="str">
        <f t="shared" si="21"/>
        <v/>
      </c>
      <c r="AU26" s="86"/>
      <c r="AV26" s="91" t="str">
        <f t="shared" si="22"/>
        <v/>
      </c>
      <c r="AW26" s="85" t="str">
        <f t="shared" si="23"/>
        <v/>
      </c>
      <c r="AX26" s="86"/>
      <c r="AY26" s="91" t="str">
        <f t="shared" si="24"/>
        <v/>
      </c>
      <c r="AZ26" s="85" t="str">
        <f t="shared" si="25"/>
        <v/>
      </c>
      <c r="BA26" s="86"/>
      <c r="BB26" s="91" t="str">
        <f t="shared" si="26"/>
        <v/>
      </c>
      <c r="BC26" s="85" t="str">
        <f t="shared" si="27"/>
        <v/>
      </c>
      <c r="BD26" s="86"/>
      <c r="BE26" s="91" t="str">
        <f t="shared" si="28"/>
        <v/>
      </c>
      <c r="BF26" s="85" t="str">
        <f t="shared" si="29"/>
        <v/>
      </c>
      <c r="BG26" s="86"/>
      <c r="BH26" s="91" t="str">
        <f t="shared" si="30"/>
        <v/>
      </c>
      <c r="BI26" s="85" t="str">
        <f t="shared" si="31"/>
        <v/>
      </c>
      <c r="BJ26" s="86"/>
      <c r="BK26" s="91" t="str">
        <f t="shared" si="32"/>
        <v/>
      </c>
      <c r="BL26" s="85" t="str">
        <f t="shared" si="33"/>
        <v/>
      </c>
      <c r="BM26" s="86"/>
      <c r="BN26" s="91" t="str">
        <f t="shared" si="34"/>
        <v/>
      </c>
      <c r="BO26" s="85" t="str">
        <f t="shared" si="35"/>
        <v/>
      </c>
      <c r="BP26" s="252">
        <v>100</v>
      </c>
      <c r="BQ26" s="91">
        <f t="shared" si="36"/>
        <v>0.95987542470357812</v>
      </c>
      <c r="BR26" s="85">
        <f t="shared" si="37"/>
        <v>1</v>
      </c>
      <c r="BS26" s="86"/>
      <c r="BT26" s="91" t="str">
        <f t="shared" si="38"/>
        <v/>
      </c>
      <c r="BU26" s="85" t="str">
        <f t="shared" si="39"/>
        <v/>
      </c>
      <c r="BV26" s="86"/>
      <c r="BW26" s="91" t="str">
        <f t="shared" si="40"/>
        <v/>
      </c>
      <c r="BX26" s="85" t="str">
        <f t="shared" si="41"/>
        <v/>
      </c>
      <c r="BY26" s="86"/>
      <c r="BZ26" s="91" t="str">
        <f t="shared" si="42"/>
        <v/>
      </c>
      <c r="CA26" s="85" t="str">
        <f t="shared" si="43"/>
        <v/>
      </c>
      <c r="CB26" s="86"/>
      <c r="CC26" s="91" t="str">
        <f t="shared" si="44"/>
        <v/>
      </c>
      <c r="CD26" s="85" t="str">
        <f t="shared" si="45"/>
        <v/>
      </c>
      <c r="CE26" s="86"/>
      <c r="CF26" s="91" t="str">
        <f t="shared" si="46"/>
        <v/>
      </c>
      <c r="CG26" s="85" t="str">
        <f t="shared" si="47"/>
        <v/>
      </c>
      <c r="CH26" s="86"/>
      <c r="CI26" s="91" t="str">
        <f t="shared" si="48"/>
        <v/>
      </c>
      <c r="CJ26" s="85" t="str">
        <f t="shared" si="49"/>
        <v/>
      </c>
      <c r="CK26" s="86"/>
      <c r="CL26" s="91" t="str">
        <f t="shared" si="50"/>
        <v/>
      </c>
      <c r="CM26" s="85" t="str">
        <f t="shared" si="51"/>
        <v/>
      </c>
      <c r="CN26" s="86"/>
      <c r="CO26" s="91" t="str">
        <f t="shared" si="52"/>
        <v/>
      </c>
      <c r="CP26" s="85" t="str">
        <f t="shared" si="53"/>
        <v/>
      </c>
      <c r="CQ26" s="56"/>
      <c r="CR26" s="91" t="str">
        <f t="shared" si="54"/>
        <v/>
      </c>
      <c r="CS26" s="85" t="str">
        <f t="shared" si="55"/>
        <v/>
      </c>
      <c r="CT26" s="86"/>
      <c r="CU26" s="91" t="str">
        <f t="shared" si="56"/>
        <v/>
      </c>
      <c r="CV26" s="85" t="str">
        <f t="shared" si="57"/>
        <v/>
      </c>
      <c r="CW26" s="86">
        <v>93</v>
      </c>
      <c r="CX26" s="91">
        <f t="shared" si="58"/>
        <v>0.72670521599725235</v>
      </c>
      <c r="CY26" s="85">
        <f t="shared" si="59"/>
        <v>0.75</v>
      </c>
      <c r="CZ26" s="86"/>
      <c r="DA26" s="91" t="str">
        <f t="shared" si="60"/>
        <v/>
      </c>
      <c r="DB26" s="85" t="str">
        <f t="shared" si="61"/>
        <v/>
      </c>
      <c r="DC26" s="86"/>
      <c r="DD26" s="91" t="str">
        <f t="shared" si="62"/>
        <v/>
      </c>
      <c r="DE26" s="85" t="str">
        <f t="shared" si="63"/>
        <v/>
      </c>
      <c r="DF26" s="86"/>
      <c r="DG26" s="91"/>
      <c r="DH26" s="85" t="str">
        <f t="shared" si="64"/>
        <v/>
      </c>
      <c r="DI26" s="86"/>
      <c r="DJ26" s="91" t="str">
        <f t="shared" si="65"/>
        <v/>
      </c>
      <c r="DK26" s="85" t="str">
        <f t="shared" si="66"/>
        <v/>
      </c>
      <c r="DL26" s="86"/>
      <c r="DM26" s="91" t="str">
        <f t="shared" si="67"/>
        <v/>
      </c>
      <c r="DN26" s="85" t="str">
        <f t="shared" si="68"/>
        <v/>
      </c>
      <c r="DO26" s="86"/>
      <c r="DP26" s="91" t="str">
        <f t="shared" si="69"/>
        <v/>
      </c>
      <c r="DQ26" s="85" t="str">
        <f t="shared" si="70"/>
        <v/>
      </c>
      <c r="DR26" s="86"/>
      <c r="DS26" s="91" t="str">
        <f t="shared" si="71"/>
        <v/>
      </c>
      <c r="DT26" s="85" t="str">
        <f t="shared" si="72"/>
        <v/>
      </c>
      <c r="DU26" s="86"/>
      <c r="DV26" s="91" t="str">
        <f t="shared" si="73"/>
        <v/>
      </c>
      <c r="DW26" s="85" t="str">
        <f t="shared" si="74"/>
        <v/>
      </c>
      <c r="DX26" s="86"/>
      <c r="DY26" s="91" t="str">
        <f t="shared" si="75"/>
        <v/>
      </c>
      <c r="DZ26" s="85" t="str">
        <f t="shared" si="76"/>
        <v/>
      </c>
      <c r="EA26" s="86"/>
      <c r="EB26" s="91" t="str">
        <f t="shared" si="77"/>
        <v/>
      </c>
      <c r="EC26" s="85" t="str">
        <f t="shared" si="78"/>
        <v/>
      </c>
      <c r="ED26" s="271" t="s">
        <v>80</v>
      </c>
      <c r="EE26" s="91" t="str">
        <f t="shared" si="79"/>
        <v/>
      </c>
      <c r="EF26" s="85" t="str">
        <f t="shared" si="80"/>
        <v/>
      </c>
      <c r="EG26" s="86"/>
      <c r="EH26" s="91" t="str">
        <f t="shared" si="81"/>
        <v/>
      </c>
      <c r="EI26" s="85" t="str">
        <f t="shared" si="82"/>
        <v/>
      </c>
      <c r="EJ26" s="56"/>
      <c r="EK26" s="91" t="str">
        <f t="shared" si="83"/>
        <v/>
      </c>
      <c r="EL26" s="85" t="str">
        <f t="shared" si="84"/>
        <v/>
      </c>
      <c r="EM26" s="86"/>
      <c r="EN26" s="91" t="str">
        <f t="shared" si="85"/>
        <v/>
      </c>
      <c r="EO26" s="85" t="str">
        <f t="shared" si="86"/>
        <v/>
      </c>
      <c r="EP26" s="86"/>
      <c r="EQ26" s="91" t="str">
        <f t="shared" si="87"/>
        <v/>
      </c>
      <c r="ER26" s="85" t="str">
        <f t="shared" si="88"/>
        <v/>
      </c>
      <c r="ES26" s="51"/>
      <c r="ET26" s="91" t="str">
        <f t="shared" si="89"/>
        <v/>
      </c>
      <c r="EU26" s="85" t="str">
        <f t="shared" si="90"/>
        <v/>
      </c>
      <c r="EV26" s="86"/>
      <c r="EW26" s="91" t="str">
        <f t="shared" si="91"/>
        <v/>
      </c>
      <c r="EX26" s="85" t="str">
        <f t="shared" si="92"/>
        <v/>
      </c>
      <c r="EY26" s="86"/>
      <c r="EZ26" s="91" t="str">
        <f t="shared" si="93"/>
        <v/>
      </c>
      <c r="FA26" s="85" t="str">
        <f t="shared" si="94"/>
        <v/>
      </c>
      <c r="FB26" s="86"/>
      <c r="FC26" s="91" t="str">
        <f t="shared" si="95"/>
        <v/>
      </c>
      <c r="FD26" s="85" t="str">
        <f t="shared" si="96"/>
        <v/>
      </c>
      <c r="FE26" s="86"/>
      <c r="FF26" s="91" t="str">
        <f t="shared" si="97"/>
        <v/>
      </c>
      <c r="FG26" s="85" t="str">
        <f t="shared" si="98"/>
        <v/>
      </c>
      <c r="FH26" s="86"/>
      <c r="FI26" s="91" t="str">
        <f t="shared" si="99"/>
        <v/>
      </c>
      <c r="FJ26" s="85" t="str">
        <f t="shared" si="100"/>
        <v/>
      </c>
      <c r="FK26" s="86"/>
      <c r="FL26" s="91" t="str">
        <f t="shared" si="101"/>
        <v/>
      </c>
      <c r="FM26" s="85" t="str">
        <f t="shared" si="102"/>
        <v/>
      </c>
      <c r="FN26" s="86"/>
      <c r="FO26" s="91" t="str">
        <f t="shared" si="103"/>
        <v/>
      </c>
      <c r="FP26" s="85" t="str">
        <f t="shared" si="104"/>
        <v/>
      </c>
      <c r="FQ26" s="92"/>
      <c r="FR26" s="91" t="str">
        <f t="shared" si="105"/>
        <v/>
      </c>
      <c r="FS26" s="85" t="str">
        <f t="shared" si="106"/>
        <v/>
      </c>
      <c r="FT26" s="86"/>
      <c r="FU26" s="91" t="str">
        <f t="shared" si="107"/>
        <v/>
      </c>
      <c r="FV26" s="85" t="str">
        <f t="shared" si="108"/>
        <v/>
      </c>
      <c r="FW26" s="92"/>
      <c r="FX26" s="91" t="str">
        <f t="shared" si="109"/>
        <v/>
      </c>
      <c r="FY26" s="85" t="str">
        <f t="shared" si="110"/>
        <v/>
      </c>
      <c r="FZ26" s="86">
        <v>99</v>
      </c>
      <c r="GA26" s="91">
        <f t="shared" si="111"/>
        <v>1.0761320961366774</v>
      </c>
      <c r="GB26" s="85">
        <f t="shared" si="112"/>
        <v>1</v>
      </c>
      <c r="GC26" s="86"/>
      <c r="GD26" s="91" t="str">
        <f t="shared" si="113"/>
        <v/>
      </c>
      <c r="GE26" s="85" t="str">
        <f t="shared" si="114"/>
        <v/>
      </c>
      <c r="GF26" s="86"/>
      <c r="GG26" s="91" t="str">
        <f t="shared" si="115"/>
        <v/>
      </c>
      <c r="GH26" s="85" t="str">
        <f t="shared" si="116"/>
        <v/>
      </c>
      <c r="GI26" s="86"/>
      <c r="GJ26" s="91" t="str">
        <f t="shared" si="117"/>
        <v/>
      </c>
      <c r="GK26" s="85" t="str">
        <f t="shared" si="118"/>
        <v/>
      </c>
      <c r="GL26" s="86"/>
      <c r="GM26" s="91" t="str">
        <f t="shared" si="119"/>
        <v/>
      </c>
      <c r="GN26" s="85" t="str">
        <f t="shared" si="120"/>
        <v/>
      </c>
      <c r="GO26" s="56"/>
      <c r="GP26" s="91" t="str">
        <f t="shared" si="121"/>
        <v/>
      </c>
      <c r="GQ26" s="85" t="str">
        <f t="shared" si="122"/>
        <v/>
      </c>
      <c r="GR26" s="86"/>
      <c r="GS26" s="91" t="str">
        <f t="shared" si="123"/>
        <v/>
      </c>
      <c r="GT26" s="85" t="str">
        <f t="shared" si="124"/>
        <v/>
      </c>
      <c r="GU26" s="86"/>
      <c r="GV26" s="91" t="str">
        <f t="shared" si="125"/>
        <v/>
      </c>
      <c r="GW26" s="85" t="str">
        <f t="shared" si="126"/>
        <v/>
      </c>
      <c r="GX26" s="86"/>
      <c r="GY26" s="91" t="str">
        <f t="shared" si="127"/>
        <v/>
      </c>
      <c r="GZ26" s="85" t="str">
        <f t="shared" si="128"/>
        <v/>
      </c>
      <c r="HA26" s="86"/>
      <c r="HB26" s="91" t="str">
        <f t="shared" si="129"/>
        <v/>
      </c>
      <c r="HC26" s="85" t="str">
        <f t="shared" si="130"/>
        <v/>
      </c>
      <c r="HD26" s="86"/>
      <c r="HE26" s="91" t="str">
        <f t="shared" si="131"/>
        <v/>
      </c>
      <c r="HF26" s="85" t="str">
        <f t="shared" si="132"/>
        <v/>
      </c>
      <c r="HG26" s="86"/>
      <c r="HH26" s="91" t="str">
        <f t="shared" si="133"/>
        <v/>
      </c>
      <c r="HI26" s="85" t="str">
        <f t="shared" si="134"/>
        <v/>
      </c>
      <c r="HJ26" s="86"/>
      <c r="HK26" s="91" t="str">
        <f t="shared" si="135"/>
        <v/>
      </c>
      <c r="HL26" s="85" t="str">
        <f t="shared" si="136"/>
        <v/>
      </c>
      <c r="HM26" s="86"/>
      <c r="HN26" s="91" t="str">
        <f t="shared" si="137"/>
        <v/>
      </c>
      <c r="HO26" s="85" t="str">
        <f t="shared" si="138"/>
        <v/>
      </c>
      <c r="HP26" s="86"/>
      <c r="HQ26" s="91" t="str">
        <f t="shared" si="139"/>
        <v/>
      </c>
      <c r="HR26" s="85" t="str">
        <f t="shared" si="140"/>
        <v/>
      </c>
      <c r="HS26" s="86"/>
      <c r="HT26" s="91" t="str">
        <f t="shared" si="141"/>
        <v/>
      </c>
      <c r="HU26" s="85" t="str">
        <f t="shared" si="142"/>
        <v/>
      </c>
      <c r="HV26" s="86"/>
      <c r="HW26" s="91" t="str">
        <f t="shared" si="143"/>
        <v/>
      </c>
      <c r="HX26" s="85" t="str">
        <f t="shared" si="144"/>
        <v/>
      </c>
      <c r="HY26" s="86"/>
      <c r="HZ26" s="91" t="str">
        <f t="shared" si="145"/>
        <v/>
      </c>
      <c r="IA26" s="85" t="str">
        <f t="shared" si="146"/>
        <v/>
      </c>
      <c r="IB26" s="86"/>
      <c r="IC26" s="91" t="str">
        <f t="shared" si="147"/>
        <v/>
      </c>
      <c r="ID26" s="85" t="str">
        <f t="shared" si="148"/>
        <v/>
      </c>
      <c r="IE26" s="86"/>
      <c r="IF26" s="91" t="str">
        <f t="shared" si="149"/>
        <v/>
      </c>
      <c r="IG26" s="85" t="str">
        <f t="shared" si="150"/>
        <v/>
      </c>
      <c r="IH26" s="86"/>
      <c r="II26" s="91" t="str">
        <f t="shared" si="151"/>
        <v/>
      </c>
      <c r="IJ26" s="85" t="str">
        <f t="shared" si="152"/>
        <v/>
      </c>
      <c r="IK26" s="86"/>
      <c r="IL26" s="91" t="str">
        <f t="shared" si="153"/>
        <v/>
      </c>
      <c r="IM26" s="85" t="str">
        <f t="shared" si="154"/>
        <v/>
      </c>
      <c r="IN26" s="86"/>
      <c r="IO26" s="91" t="str">
        <f t="shared" si="155"/>
        <v/>
      </c>
      <c r="IP26" s="85" t="str">
        <f t="shared" si="156"/>
        <v/>
      </c>
      <c r="IQ26" s="86"/>
      <c r="IR26" s="91" t="str">
        <f t="shared" si="157"/>
        <v/>
      </c>
      <c r="IS26" s="85" t="str">
        <f t="shared" si="158"/>
        <v/>
      </c>
      <c r="IT26" s="86"/>
      <c r="IU26" s="91" t="str">
        <f t="shared" si="159"/>
        <v/>
      </c>
      <c r="IV26" s="85" t="str">
        <f t="shared" si="160"/>
        <v/>
      </c>
      <c r="IW26" s="86"/>
      <c r="IX26" s="91" t="str">
        <f t="shared" si="161"/>
        <v/>
      </c>
      <c r="IY26" s="85" t="str">
        <f t="shared" si="162"/>
        <v/>
      </c>
      <c r="IZ26" s="86"/>
      <c r="JA26" s="91" t="str">
        <f t="shared" si="163"/>
        <v/>
      </c>
      <c r="JB26" s="85" t="str">
        <f t="shared" si="164"/>
        <v/>
      </c>
      <c r="JC26" s="86"/>
      <c r="JD26" s="91" t="str">
        <f t="shared" si="165"/>
        <v/>
      </c>
      <c r="JE26" s="85" t="str">
        <f t="shared" si="166"/>
        <v/>
      </c>
      <c r="JF26" s="86"/>
      <c r="JG26" s="91" t="str">
        <f t="shared" si="167"/>
        <v/>
      </c>
      <c r="JH26" s="85" t="str">
        <f t="shared" si="168"/>
        <v/>
      </c>
      <c r="JI26" s="86"/>
      <c r="JJ26" s="91" t="str">
        <f t="shared" si="169"/>
        <v/>
      </c>
      <c r="JK26" s="85" t="str">
        <f t="shared" si="170"/>
        <v/>
      </c>
      <c r="JL26" s="86"/>
      <c r="JM26" s="91" t="str">
        <f t="shared" si="171"/>
        <v/>
      </c>
      <c r="JN26" s="85" t="str">
        <f t="shared" si="172"/>
        <v/>
      </c>
      <c r="JO26" s="86"/>
      <c r="JP26" s="91" t="str">
        <f t="shared" si="173"/>
        <v/>
      </c>
      <c r="JQ26" s="85" t="str">
        <f t="shared" si="174"/>
        <v/>
      </c>
      <c r="JR26" s="86"/>
      <c r="JS26" s="91" t="str">
        <f t="shared" si="175"/>
        <v/>
      </c>
      <c r="JT26" s="85" t="str">
        <f t="shared" si="176"/>
        <v/>
      </c>
      <c r="JU26" s="86"/>
      <c r="JV26" s="91" t="str">
        <f t="shared" si="177"/>
        <v/>
      </c>
      <c r="JW26" s="85" t="str">
        <f t="shared" si="178"/>
        <v/>
      </c>
      <c r="JX26" s="86"/>
      <c r="JY26" s="91" t="str">
        <f t="shared" si="179"/>
        <v/>
      </c>
      <c r="JZ26" s="85" t="str">
        <f t="shared" si="180"/>
        <v/>
      </c>
      <c r="KA26" s="86"/>
      <c r="KB26" s="91" t="str">
        <f t="shared" si="181"/>
        <v/>
      </c>
      <c r="KC26" s="85" t="str">
        <f t="shared" si="182"/>
        <v/>
      </c>
      <c r="KD26" s="86"/>
      <c r="KE26" s="91" t="str">
        <f t="shared" si="183"/>
        <v/>
      </c>
      <c r="KF26" s="85" t="str">
        <f t="shared" si="184"/>
        <v/>
      </c>
      <c r="KG26" s="86"/>
      <c r="KH26" s="91" t="str">
        <f t="shared" si="185"/>
        <v/>
      </c>
      <c r="KI26" s="85" t="str">
        <f t="shared" si="186"/>
        <v/>
      </c>
      <c r="KJ26" s="86"/>
      <c r="KK26" s="91" t="str">
        <f t="shared" si="187"/>
        <v/>
      </c>
      <c r="KL26" s="85" t="str">
        <f t="shared" si="188"/>
        <v/>
      </c>
      <c r="KM26" s="86"/>
      <c r="KN26" s="91" t="str">
        <f t="shared" si="189"/>
        <v/>
      </c>
      <c r="KO26" s="85" t="str">
        <f t="shared" si="190"/>
        <v/>
      </c>
      <c r="KP26" s="86"/>
      <c r="KQ26" s="91" t="str">
        <f t="shared" si="191"/>
        <v/>
      </c>
      <c r="KR26" s="85" t="str">
        <f t="shared" si="192"/>
        <v/>
      </c>
      <c r="KS26" s="86"/>
      <c r="KT26" s="91" t="str">
        <f t="shared" si="193"/>
        <v/>
      </c>
      <c r="KU26" s="85" t="str">
        <f t="shared" si="194"/>
        <v/>
      </c>
      <c r="KV26" s="86"/>
      <c r="KW26" s="91" t="str">
        <f t="shared" si="195"/>
        <v/>
      </c>
      <c r="KX26" s="85" t="str">
        <f t="shared" si="196"/>
        <v/>
      </c>
      <c r="KY26" s="92"/>
      <c r="KZ26" s="91" t="str">
        <f t="shared" si="197"/>
        <v/>
      </c>
      <c r="LA26" s="85" t="str">
        <f t="shared" si="198"/>
        <v/>
      </c>
      <c r="LB26" s="50">
        <f t="shared" ref="LB26:LB65" si="218">IFERROR(AVERAGE($N26,$Q26,$T26,$W26,$Z26,$AC26,$AF26,$AI26,$AL26,$AO26,$AR26,$AU26,$AX26,$BA26,$BD26,$BG26,$BJ26,$BM26,$BP26,$BS26,$BV26,$BY26,$CB26,$CE26,$CH26,$CK26,$CN26,$CQ26,$CT26,$CW26,$CZ26,$DC26,$DF26,$DI26,$DL26,$DO26,$DR26,$DU26,$DX26,$EA26,$ED26,$EG26,$EJ26,$EM26,$EP26,$ES26,$EV26,$EY26,$FB26,$FE26,$FH26,$FK26,$FN26,$FQ26,$FT26,$FW26,$FZ26,$GC26,$GF26,$GI26,$GL26,$GO26,$GR26,$GU26,$GX26,$HA26,$HD26,$HG26,$HJ26,$HM26,$HP26,$HS26,$HV26,$HY26,$IB26,$IE26,$IH26, $IK26, $IN26,$IQ26,$IT26,$IW26,$IZ26,$JC26,$JF26,$JI26,$JL26,$JO26,$JR26,$JU26,$JX26,$KA26,$KD26,$KG26,$KJ26,$KJ26,$KM26,$KP26,$KS26,$KV26,$KY26),"")</f>
        <v>97.75</v>
      </c>
      <c r="LC26" s="57">
        <f t="shared" si="199"/>
        <v>2</v>
      </c>
      <c r="LD26" s="50">
        <f t="shared" si="207"/>
        <v>1.0873769895977112</v>
      </c>
      <c r="LE26" s="57">
        <f t="shared" si="200"/>
        <v>1</v>
      </c>
      <c r="LF26" s="50">
        <f t="shared" si="208"/>
        <v>0.9375</v>
      </c>
      <c r="LG26" s="57">
        <f t="shared" si="201"/>
        <v>2</v>
      </c>
      <c r="LH26" s="58">
        <f t="shared" si="202"/>
        <v>49.862938596491226</v>
      </c>
      <c r="LI26" s="58">
        <f t="shared" si="203"/>
        <v>50</v>
      </c>
      <c r="LJ26" s="58">
        <f t="shared" si="204"/>
        <v>48.4375</v>
      </c>
      <c r="LK26" s="58">
        <f t="shared" si="205"/>
        <v>98.300438596491233</v>
      </c>
      <c r="LL26" s="60">
        <f t="shared" si="206"/>
        <v>1</v>
      </c>
      <c r="LM26" s="55"/>
      <c r="LN26" s="112">
        <f t="shared" si="217"/>
        <v>1</v>
      </c>
      <c r="LO26" s="61">
        <f t="shared" si="214"/>
        <v>1</v>
      </c>
      <c r="LP26" s="64"/>
      <c r="LQ26" s="64"/>
      <c r="LR26" s="64"/>
    </row>
    <row r="27" spans="1:334" s="62" customFormat="1" ht="15" customHeight="1">
      <c r="A27" s="50">
        <f t="shared" si="211"/>
        <v>5</v>
      </c>
      <c r="B27" s="50">
        <f t="shared" si="212"/>
        <v>5</v>
      </c>
      <c r="C27" s="117">
        <v>72</v>
      </c>
      <c r="D27" s="118" t="s">
        <v>180</v>
      </c>
      <c r="E27" s="286" t="s">
        <v>626</v>
      </c>
      <c r="F27" s="76"/>
      <c r="G27" s="76"/>
      <c r="H27" s="119" t="s">
        <v>13</v>
      </c>
      <c r="I27" s="286" t="s">
        <v>548</v>
      </c>
      <c r="J27" s="119" t="s">
        <v>181</v>
      </c>
      <c r="K27" s="119" t="s">
        <v>2</v>
      </c>
      <c r="L27" s="53" t="s">
        <v>182</v>
      </c>
      <c r="M27" s="292" t="s">
        <v>35</v>
      </c>
      <c r="N27" s="97"/>
      <c r="O27" s="91" t="str">
        <f t="shared" si="0"/>
        <v/>
      </c>
      <c r="P27" s="85" t="str">
        <f t="shared" si="1"/>
        <v/>
      </c>
      <c r="Q27" s="86"/>
      <c r="R27" s="91" t="str">
        <f t="shared" si="2"/>
        <v/>
      </c>
      <c r="S27" s="85" t="str">
        <f t="shared" si="3"/>
        <v/>
      </c>
      <c r="T27" s="86"/>
      <c r="U27" s="91" t="str">
        <f t="shared" si="4"/>
        <v/>
      </c>
      <c r="V27" s="85" t="str">
        <f t="shared" si="5"/>
        <v/>
      </c>
      <c r="W27" s="86">
        <v>65</v>
      </c>
      <c r="X27" s="91">
        <f t="shared" si="6"/>
        <v>-1.2398524277321037</v>
      </c>
      <c r="Y27" s="85">
        <f t="shared" si="7"/>
        <v>0</v>
      </c>
      <c r="Z27" s="92"/>
      <c r="AA27" s="91" t="str">
        <f t="shared" si="8"/>
        <v/>
      </c>
      <c r="AB27" s="85" t="str">
        <f t="shared" si="9"/>
        <v/>
      </c>
      <c r="AC27" s="86"/>
      <c r="AD27" s="91" t="str">
        <f t="shared" si="10"/>
        <v/>
      </c>
      <c r="AE27" s="85" t="str">
        <f t="shared" si="11"/>
        <v/>
      </c>
      <c r="AF27" s="86"/>
      <c r="AG27" s="91" t="str">
        <f t="shared" si="12"/>
        <v/>
      </c>
      <c r="AH27" s="85" t="str">
        <f t="shared" si="13"/>
        <v/>
      </c>
      <c r="AI27" s="86"/>
      <c r="AJ27" s="91" t="str">
        <f t="shared" si="14"/>
        <v/>
      </c>
      <c r="AK27" s="85" t="str">
        <f t="shared" si="15"/>
        <v/>
      </c>
      <c r="AL27" s="86"/>
      <c r="AM27" s="91" t="str">
        <f t="shared" si="16"/>
        <v/>
      </c>
      <c r="AN27" s="85" t="str">
        <f t="shared" si="17"/>
        <v/>
      </c>
      <c r="AO27" s="86"/>
      <c r="AP27" s="91" t="str">
        <f t="shared" si="18"/>
        <v/>
      </c>
      <c r="AQ27" s="85" t="str">
        <f t="shared" si="19"/>
        <v/>
      </c>
      <c r="AR27" s="86"/>
      <c r="AS27" s="91" t="str">
        <f t="shared" si="20"/>
        <v/>
      </c>
      <c r="AT27" s="85" t="str">
        <f t="shared" si="21"/>
        <v/>
      </c>
      <c r="AU27" s="86"/>
      <c r="AV27" s="91" t="str">
        <f t="shared" si="22"/>
        <v/>
      </c>
      <c r="AW27" s="85" t="str">
        <f t="shared" si="23"/>
        <v/>
      </c>
      <c r="AX27" s="86"/>
      <c r="AY27" s="91" t="str">
        <f t="shared" si="24"/>
        <v/>
      </c>
      <c r="AZ27" s="85" t="str">
        <f t="shared" si="25"/>
        <v/>
      </c>
      <c r="BA27" s="86"/>
      <c r="BB27" s="91" t="str">
        <f t="shared" si="26"/>
        <v/>
      </c>
      <c r="BC27" s="85" t="str">
        <f t="shared" si="27"/>
        <v/>
      </c>
      <c r="BD27" s="86"/>
      <c r="BE27" s="91" t="str">
        <f t="shared" si="28"/>
        <v/>
      </c>
      <c r="BF27" s="85" t="str">
        <f t="shared" si="29"/>
        <v/>
      </c>
      <c r="BG27" s="86"/>
      <c r="BH27" s="91" t="str">
        <f t="shared" si="30"/>
        <v/>
      </c>
      <c r="BI27" s="85" t="str">
        <f t="shared" si="31"/>
        <v/>
      </c>
      <c r="BJ27" s="86"/>
      <c r="BK27" s="91" t="str">
        <f t="shared" si="32"/>
        <v/>
      </c>
      <c r="BL27" s="85" t="str">
        <f t="shared" si="33"/>
        <v/>
      </c>
      <c r="BM27" s="56"/>
      <c r="BN27" s="91" t="str">
        <f t="shared" si="34"/>
        <v/>
      </c>
      <c r="BO27" s="85" t="str">
        <f t="shared" si="35"/>
        <v/>
      </c>
      <c r="BP27" s="51"/>
      <c r="BQ27" s="91" t="str">
        <f t="shared" si="36"/>
        <v/>
      </c>
      <c r="BR27" s="85" t="str">
        <f t="shared" si="37"/>
        <v/>
      </c>
      <c r="BS27" s="86"/>
      <c r="BT27" s="91" t="str">
        <f t="shared" si="38"/>
        <v/>
      </c>
      <c r="BU27" s="85" t="str">
        <f t="shared" si="39"/>
        <v/>
      </c>
      <c r="BV27" s="86"/>
      <c r="BW27" s="91" t="str">
        <f t="shared" si="40"/>
        <v/>
      </c>
      <c r="BX27" s="85" t="str">
        <f t="shared" si="41"/>
        <v/>
      </c>
      <c r="BY27" s="86"/>
      <c r="BZ27" s="91" t="str">
        <f t="shared" si="42"/>
        <v/>
      </c>
      <c r="CA27" s="85" t="str">
        <f t="shared" si="43"/>
        <v/>
      </c>
      <c r="CB27" s="86"/>
      <c r="CC27" s="91" t="str">
        <f t="shared" si="44"/>
        <v/>
      </c>
      <c r="CD27" s="85" t="str">
        <f t="shared" si="45"/>
        <v/>
      </c>
      <c r="CE27" s="86"/>
      <c r="CF27" s="91" t="str">
        <f t="shared" si="46"/>
        <v/>
      </c>
      <c r="CG27" s="85" t="str">
        <f t="shared" si="47"/>
        <v/>
      </c>
      <c r="CH27" s="86"/>
      <c r="CI27" s="91" t="str">
        <f t="shared" si="48"/>
        <v/>
      </c>
      <c r="CJ27" s="85" t="str">
        <f t="shared" si="49"/>
        <v/>
      </c>
      <c r="CK27" s="86"/>
      <c r="CL27" s="91" t="str">
        <f t="shared" si="50"/>
        <v/>
      </c>
      <c r="CM27" s="85" t="str">
        <f t="shared" si="51"/>
        <v/>
      </c>
      <c r="CN27" s="86"/>
      <c r="CO27" s="91" t="str">
        <f t="shared" si="52"/>
        <v/>
      </c>
      <c r="CP27" s="85" t="str">
        <f t="shared" si="53"/>
        <v/>
      </c>
      <c r="CQ27" s="86"/>
      <c r="CR27" s="91" t="str">
        <f t="shared" si="54"/>
        <v/>
      </c>
      <c r="CS27" s="85" t="str">
        <f t="shared" si="55"/>
        <v/>
      </c>
      <c r="CT27" s="86"/>
      <c r="CU27" s="91" t="str">
        <f t="shared" si="56"/>
        <v/>
      </c>
      <c r="CV27" s="85" t="str">
        <f t="shared" si="57"/>
        <v/>
      </c>
      <c r="CW27" s="86"/>
      <c r="CX27" s="91" t="str">
        <f t="shared" si="58"/>
        <v/>
      </c>
      <c r="CY27" s="85" t="str">
        <f t="shared" si="59"/>
        <v/>
      </c>
      <c r="CZ27" s="56"/>
      <c r="DA27" s="91" t="str">
        <f t="shared" si="60"/>
        <v/>
      </c>
      <c r="DB27" s="85" t="str">
        <f t="shared" si="61"/>
        <v/>
      </c>
      <c r="DC27" s="86"/>
      <c r="DD27" s="91" t="str">
        <f t="shared" si="62"/>
        <v/>
      </c>
      <c r="DE27" s="85" t="str">
        <f t="shared" si="63"/>
        <v/>
      </c>
      <c r="DF27" s="92"/>
      <c r="DG27" s="91"/>
      <c r="DH27" s="85" t="str">
        <f t="shared" si="64"/>
        <v/>
      </c>
      <c r="DI27" s="271">
        <v>69</v>
      </c>
      <c r="DJ27" s="91">
        <f t="shared" si="65"/>
        <v>-0.89488954677698318</v>
      </c>
      <c r="DK27" s="85">
        <f t="shared" si="66"/>
        <v>0</v>
      </c>
      <c r="DL27" s="86"/>
      <c r="DM27" s="91" t="str">
        <f t="shared" si="67"/>
        <v/>
      </c>
      <c r="DN27" s="85" t="str">
        <f t="shared" si="68"/>
        <v/>
      </c>
      <c r="DO27" s="86"/>
      <c r="DP27" s="91" t="str">
        <f t="shared" si="69"/>
        <v/>
      </c>
      <c r="DQ27" s="85" t="str">
        <f t="shared" si="70"/>
        <v/>
      </c>
      <c r="DR27" s="86"/>
      <c r="DS27" s="91" t="str">
        <f t="shared" si="71"/>
        <v/>
      </c>
      <c r="DT27" s="85" t="str">
        <f t="shared" si="72"/>
        <v/>
      </c>
      <c r="DU27" s="86"/>
      <c r="DV27" s="91" t="str">
        <f t="shared" si="73"/>
        <v/>
      </c>
      <c r="DW27" s="85" t="str">
        <f t="shared" si="74"/>
        <v/>
      </c>
      <c r="DX27" s="86">
        <v>64</v>
      </c>
      <c r="DY27" s="91">
        <f t="shared" si="75"/>
        <v>-0.9961540215477076</v>
      </c>
      <c r="DZ27" s="85">
        <f t="shared" si="76"/>
        <v>0</v>
      </c>
      <c r="EA27" s="86"/>
      <c r="EB27" s="91" t="str">
        <f t="shared" si="77"/>
        <v/>
      </c>
      <c r="EC27" s="85" t="str">
        <f t="shared" si="78"/>
        <v/>
      </c>
      <c r="ED27" s="56"/>
      <c r="EE27" s="91" t="str">
        <f t="shared" si="79"/>
        <v/>
      </c>
      <c r="EF27" s="85" t="str">
        <f t="shared" si="80"/>
        <v/>
      </c>
      <c r="EG27" s="86"/>
      <c r="EH27" s="91" t="str">
        <f t="shared" si="81"/>
        <v/>
      </c>
      <c r="EI27" s="85" t="str">
        <f t="shared" si="82"/>
        <v/>
      </c>
      <c r="EJ27" s="86"/>
      <c r="EK27" s="91" t="str">
        <f t="shared" si="83"/>
        <v/>
      </c>
      <c r="EL27" s="85" t="str">
        <f t="shared" si="84"/>
        <v/>
      </c>
      <c r="EM27" s="86"/>
      <c r="EN27" s="91" t="str">
        <f t="shared" si="85"/>
        <v/>
      </c>
      <c r="EO27" s="85" t="str">
        <f t="shared" si="86"/>
        <v/>
      </c>
      <c r="EP27" s="86"/>
      <c r="EQ27" s="91" t="str">
        <f t="shared" si="87"/>
        <v/>
      </c>
      <c r="ER27" s="85" t="str">
        <f t="shared" si="88"/>
        <v/>
      </c>
      <c r="ES27" s="89">
        <v>87</v>
      </c>
      <c r="ET27" s="91">
        <f t="shared" si="89"/>
        <v>0.62453835277995318</v>
      </c>
      <c r="EU27" s="85">
        <f t="shared" si="90"/>
        <v>0.66666666666666663</v>
      </c>
      <c r="EV27" s="86"/>
      <c r="EW27" s="91" t="str">
        <f t="shared" si="91"/>
        <v/>
      </c>
      <c r="EX27" s="85" t="str">
        <f t="shared" si="92"/>
        <v/>
      </c>
      <c r="EY27" s="86"/>
      <c r="EZ27" s="91" t="str">
        <f t="shared" si="93"/>
        <v/>
      </c>
      <c r="FA27" s="85" t="str">
        <f t="shared" si="94"/>
        <v/>
      </c>
      <c r="FB27" s="86"/>
      <c r="FC27" s="91" t="str">
        <f t="shared" si="95"/>
        <v/>
      </c>
      <c r="FD27" s="85" t="str">
        <f t="shared" si="96"/>
        <v/>
      </c>
      <c r="FE27" s="86"/>
      <c r="FF27" s="91" t="str">
        <f t="shared" si="97"/>
        <v/>
      </c>
      <c r="FG27" s="85" t="str">
        <f t="shared" si="98"/>
        <v/>
      </c>
      <c r="FH27" s="92"/>
      <c r="FI27" s="91" t="str">
        <f t="shared" si="99"/>
        <v/>
      </c>
      <c r="FJ27" s="85" t="str">
        <f t="shared" si="100"/>
        <v/>
      </c>
      <c r="FK27" s="86"/>
      <c r="FL27" s="91" t="str">
        <f t="shared" si="101"/>
        <v/>
      </c>
      <c r="FM27" s="85" t="str">
        <f t="shared" si="102"/>
        <v/>
      </c>
      <c r="FN27" s="86"/>
      <c r="FO27" s="91" t="str">
        <f t="shared" si="103"/>
        <v/>
      </c>
      <c r="FP27" s="85" t="str">
        <f t="shared" si="104"/>
        <v/>
      </c>
      <c r="FQ27" s="252">
        <v>72</v>
      </c>
      <c r="FR27" s="91">
        <f t="shared" si="105"/>
        <v>-1.5916448515084438</v>
      </c>
      <c r="FS27" s="85">
        <f t="shared" si="106"/>
        <v>0</v>
      </c>
      <c r="FT27" s="86"/>
      <c r="FU27" s="91" t="str">
        <f t="shared" si="107"/>
        <v/>
      </c>
      <c r="FV27" s="85" t="str">
        <f t="shared" si="108"/>
        <v/>
      </c>
      <c r="FW27" s="92"/>
      <c r="FX27" s="91" t="str">
        <f t="shared" si="109"/>
        <v/>
      </c>
      <c r="FY27" s="85" t="str">
        <f t="shared" si="110"/>
        <v/>
      </c>
      <c r="FZ27" s="56"/>
      <c r="GA27" s="91" t="str">
        <f t="shared" si="111"/>
        <v/>
      </c>
      <c r="GB27" s="85" t="str">
        <f t="shared" si="112"/>
        <v/>
      </c>
      <c r="GC27" s="86"/>
      <c r="GD27" s="91" t="str">
        <f t="shared" si="113"/>
        <v/>
      </c>
      <c r="GE27" s="85" t="str">
        <f t="shared" si="114"/>
        <v/>
      </c>
      <c r="GF27" s="86"/>
      <c r="GG27" s="91" t="str">
        <f t="shared" si="115"/>
        <v/>
      </c>
      <c r="GH27" s="85" t="str">
        <f t="shared" si="116"/>
        <v/>
      </c>
      <c r="GI27" s="86"/>
      <c r="GJ27" s="91" t="str">
        <f t="shared" si="117"/>
        <v/>
      </c>
      <c r="GK27" s="85" t="str">
        <f t="shared" si="118"/>
        <v/>
      </c>
      <c r="GL27" s="86"/>
      <c r="GM27" s="91" t="str">
        <f t="shared" si="119"/>
        <v/>
      </c>
      <c r="GN27" s="85" t="str">
        <f t="shared" si="120"/>
        <v/>
      </c>
      <c r="GO27" s="86"/>
      <c r="GP27" s="91" t="str">
        <f t="shared" si="121"/>
        <v/>
      </c>
      <c r="GQ27" s="85" t="str">
        <f t="shared" si="122"/>
        <v/>
      </c>
      <c r="GR27" s="86"/>
      <c r="GS27" s="91" t="str">
        <f t="shared" si="123"/>
        <v/>
      </c>
      <c r="GT27" s="85" t="str">
        <f t="shared" si="124"/>
        <v/>
      </c>
      <c r="GU27" s="86"/>
      <c r="GV27" s="91" t="str">
        <f t="shared" si="125"/>
        <v/>
      </c>
      <c r="GW27" s="85" t="str">
        <f t="shared" si="126"/>
        <v/>
      </c>
      <c r="GX27" s="86"/>
      <c r="GY27" s="91" t="str">
        <f t="shared" si="127"/>
        <v/>
      </c>
      <c r="GZ27" s="85" t="str">
        <f t="shared" si="128"/>
        <v/>
      </c>
      <c r="HA27" s="86"/>
      <c r="HB27" s="91" t="str">
        <f t="shared" si="129"/>
        <v/>
      </c>
      <c r="HC27" s="85" t="str">
        <f t="shared" si="130"/>
        <v/>
      </c>
      <c r="HD27" s="86"/>
      <c r="HE27" s="91" t="str">
        <f t="shared" si="131"/>
        <v/>
      </c>
      <c r="HF27" s="85" t="str">
        <f t="shared" si="132"/>
        <v/>
      </c>
      <c r="HG27" s="86"/>
      <c r="HH27" s="91" t="str">
        <f t="shared" si="133"/>
        <v/>
      </c>
      <c r="HI27" s="85" t="str">
        <f t="shared" si="134"/>
        <v/>
      </c>
      <c r="HJ27" s="86"/>
      <c r="HK27" s="91" t="str">
        <f t="shared" si="135"/>
        <v/>
      </c>
      <c r="HL27" s="85" t="str">
        <f t="shared" si="136"/>
        <v/>
      </c>
      <c r="HM27" s="86"/>
      <c r="HN27" s="91" t="str">
        <f t="shared" si="137"/>
        <v/>
      </c>
      <c r="HO27" s="85" t="str">
        <f t="shared" si="138"/>
        <v/>
      </c>
      <c r="HP27" s="86"/>
      <c r="HQ27" s="91" t="str">
        <f t="shared" si="139"/>
        <v/>
      </c>
      <c r="HR27" s="85" t="str">
        <f t="shared" si="140"/>
        <v/>
      </c>
      <c r="HS27" s="86"/>
      <c r="HT27" s="91" t="str">
        <f t="shared" si="141"/>
        <v/>
      </c>
      <c r="HU27" s="85" t="str">
        <f t="shared" si="142"/>
        <v/>
      </c>
      <c r="HV27" s="86"/>
      <c r="HW27" s="91" t="str">
        <f t="shared" si="143"/>
        <v/>
      </c>
      <c r="HX27" s="85" t="str">
        <f t="shared" si="144"/>
        <v/>
      </c>
      <c r="HY27" s="86"/>
      <c r="HZ27" s="91" t="str">
        <f t="shared" si="145"/>
        <v/>
      </c>
      <c r="IA27" s="85" t="str">
        <f t="shared" si="146"/>
        <v/>
      </c>
      <c r="IB27" s="86"/>
      <c r="IC27" s="91" t="str">
        <f t="shared" si="147"/>
        <v/>
      </c>
      <c r="ID27" s="85" t="str">
        <f t="shared" si="148"/>
        <v/>
      </c>
      <c r="IE27" s="86"/>
      <c r="IF27" s="91" t="str">
        <f t="shared" si="149"/>
        <v/>
      </c>
      <c r="IG27" s="85" t="str">
        <f t="shared" si="150"/>
        <v/>
      </c>
      <c r="IH27" s="86"/>
      <c r="II27" s="91" t="str">
        <f t="shared" si="151"/>
        <v/>
      </c>
      <c r="IJ27" s="85" t="str">
        <f t="shared" si="152"/>
        <v/>
      </c>
      <c r="IK27" s="86"/>
      <c r="IL27" s="91" t="str">
        <f t="shared" si="153"/>
        <v/>
      </c>
      <c r="IM27" s="85" t="str">
        <f t="shared" si="154"/>
        <v/>
      </c>
      <c r="IN27" s="86"/>
      <c r="IO27" s="91" t="str">
        <f t="shared" si="155"/>
        <v/>
      </c>
      <c r="IP27" s="85" t="str">
        <f t="shared" si="156"/>
        <v/>
      </c>
      <c r="IQ27" s="86"/>
      <c r="IR27" s="91" t="str">
        <f t="shared" si="157"/>
        <v/>
      </c>
      <c r="IS27" s="85" t="str">
        <f t="shared" si="158"/>
        <v/>
      </c>
      <c r="IT27" s="86"/>
      <c r="IU27" s="91" t="str">
        <f t="shared" si="159"/>
        <v/>
      </c>
      <c r="IV27" s="85" t="str">
        <f t="shared" si="160"/>
        <v/>
      </c>
      <c r="IW27" s="86"/>
      <c r="IX27" s="91" t="str">
        <f t="shared" si="161"/>
        <v/>
      </c>
      <c r="IY27" s="85" t="str">
        <f t="shared" si="162"/>
        <v/>
      </c>
      <c r="IZ27" s="86"/>
      <c r="JA27" s="91" t="str">
        <f t="shared" si="163"/>
        <v/>
      </c>
      <c r="JB27" s="85" t="str">
        <f t="shared" si="164"/>
        <v/>
      </c>
      <c r="JC27" s="86"/>
      <c r="JD27" s="91" t="str">
        <f t="shared" si="165"/>
        <v/>
      </c>
      <c r="JE27" s="85" t="str">
        <f t="shared" si="166"/>
        <v/>
      </c>
      <c r="JF27" s="86"/>
      <c r="JG27" s="91" t="str">
        <f t="shared" si="167"/>
        <v/>
      </c>
      <c r="JH27" s="85" t="str">
        <f t="shared" si="168"/>
        <v/>
      </c>
      <c r="JI27" s="86"/>
      <c r="JJ27" s="91" t="str">
        <f t="shared" si="169"/>
        <v/>
      </c>
      <c r="JK27" s="85" t="str">
        <f t="shared" si="170"/>
        <v/>
      </c>
      <c r="JL27" s="86"/>
      <c r="JM27" s="91" t="str">
        <f t="shared" si="171"/>
        <v/>
      </c>
      <c r="JN27" s="85" t="str">
        <f t="shared" si="172"/>
        <v/>
      </c>
      <c r="JO27" s="86"/>
      <c r="JP27" s="91" t="str">
        <f t="shared" si="173"/>
        <v/>
      </c>
      <c r="JQ27" s="85" t="str">
        <f t="shared" si="174"/>
        <v/>
      </c>
      <c r="JR27" s="86"/>
      <c r="JS27" s="91" t="str">
        <f t="shared" si="175"/>
        <v/>
      </c>
      <c r="JT27" s="85" t="str">
        <f t="shared" si="176"/>
        <v/>
      </c>
      <c r="JU27" s="86"/>
      <c r="JV27" s="91" t="str">
        <f t="shared" si="177"/>
        <v/>
      </c>
      <c r="JW27" s="85" t="str">
        <f t="shared" si="178"/>
        <v/>
      </c>
      <c r="JX27" s="86"/>
      <c r="JY27" s="91" t="str">
        <f t="shared" si="179"/>
        <v/>
      </c>
      <c r="JZ27" s="85" t="str">
        <f t="shared" si="180"/>
        <v/>
      </c>
      <c r="KA27" s="86"/>
      <c r="KB27" s="91" t="str">
        <f t="shared" si="181"/>
        <v/>
      </c>
      <c r="KC27" s="85" t="str">
        <f t="shared" si="182"/>
        <v/>
      </c>
      <c r="KD27" s="86"/>
      <c r="KE27" s="91" t="str">
        <f t="shared" si="183"/>
        <v/>
      </c>
      <c r="KF27" s="85" t="str">
        <f t="shared" si="184"/>
        <v/>
      </c>
      <c r="KG27" s="86"/>
      <c r="KH27" s="91" t="str">
        <f t="shared" si="185"/>
        <v/>
      </c>
      <c r="KI27" s="85" t="str">
        <f t="shared" si="186"/>
        <v/>
      </c>
      <c r="KJ27" s="86"/>
      <c r="KK27" s="91" t="str">
        <f t="shared" si="187"/>
        <v/>
      </c>
      <c r="KL27" s="85" t="str">
        <f t="shared" si="188"/>
        <v/>
      </c>
      <c r="KM27" s="86"/>
      <c r="KN27" s="91" t="str">
        <f t="shared" si="189"/>
        <v/>
      </c>
      <c r="KO27" s="85" t="str">
        <f t="shared" si="190"/>
        <v/>
      </c>
      <c r="KP27" s="86"/>
      <c r="KQ27" s="91" t="str">
        <f t="shared" si="191"/>
        <v/>
      </c>
      <c r="KR27" s="85" t="str">
        <f t="shared" si="192"/>
        <v/>
      </c>
      <c r="KS27" s="86"/>
      <c r="KT27" s="91" t="str">
        <f t="shared" si="193"/>
        <v/>
      </c>
      <c r="KU27" s="85" t="str">
        <f t="shared" si="194"/>
        <v/>
      </c>
      <c r="KV27" s="86"/>
      <c r="KW27" s="91" t="str">
        <f t="shared" si="195"/>
        <v/>
      </c>
      <c r="KX27" s="85" t="str">
        <f t="shared" si="196"/>
        <v/>
      </c>
      <c r="KY27" s="92"/>
      <c r="KZ27" s="91" t="str">
        <f t="shared" si="197"/>
        <v/>
      </c>
      <c r="LA27" s="85" t="str">
        <f t="shared" si="198"/>
        <v/>
      </c>
      <c r="LB27" s="50">
        <f t="shared" si="218"/>
        <v>71.400000000000006</v>
      </c>
      <c r="LC27" s="57">
        <f t="shared" si="199"/>
        <v>57</v>
      </c>
      <c r="LD27" s="50">
        <f t="shared" si="207"/>
        <v>-0.819600498957057</v>
      </c>
      <c r="LE27" s="57">
        <f t="shared" si="200"/>
        <v>51</v>
      </c>
      <c r="LF27" s="50">
        <f t="shared" si="208"/>
        <v>0.13333333333333333</v>
      </c>
      <c r="LG27" s="57">
        <f t="shared" si="201"/>
        <v>55</v>
      </c>
      <c r="LH27" s="58">
        <f t="shared" si="202"/>
        <v>35.416666666666671</v>
      </c>
      <c r="LI27" s="58">
        <f t="shared" si="203"/>
        <v>32.197313744216338</v>
      </c>
      <c r="LJ27" s="58">
        <f t="shared" si="204"/>
        <v>28.333333333333332</v>
      </c>
      <c r="LK27" s="58">
        <f t="shared" si="205"/>
        <v>45.947313744216345</v>
      </c>
      <c r="LL27" s="60">
        <f t="shared" si="206"/>
        <v>55</v>
      </c>
      <c r="LM27" s="55"/>
      <c r="LN27" s="112">
        <f t="shared" si="217"/>
        <v>23</v>
      </c>
      <c r="LO27" s="61">
        <f t="shared" si="214"/>
        <v>55</v>
      </c>
      <c r="LP27" s="64"/>
      <c r="LQ27" s="64"/>
      <c r="LR27" s="64"/>
    </row>
    <row r="28" spans="1:334" s="62" customFormat="1" ht="15" customHeight="1">
      <c r="A28" s="50">
        <f t="shared" si="211"/>
        <v>5</v>
      </c>
      <c r="B28" s="50">
        <f t="shared" si="212"/>
        <v>5</v>
      </c>
      <c r="C28" s="117">
        <v>69</v>
      </c>
      <c r="D28" s="118" t="s">
        <v>183</v>
      </c>
      <c r="E28" s="286" t="s">
        <v>627</v>
      </c>
      <c r="F28" s="76"/>
      <c r="G28" s="76"/>
      <c r="H28" s="119" t="s">
        <v>13</v>
      </c>
      <c r="I28" s="286" t="s">
        <v>549</v>
      </c>
      <c r="J28" s="119" t="s">
        <v>184</v>
      </c>
      <c r="K28" s="119" t="s">
        <v>2</v>
      </c>
      <c r="L28" s="53" t="s">
        <v>185</v>
      </c>
      <c r="M28" s="292" t="s">
        <v>35</v>
      </c>
      <c r="N28" s="86">
        <v>71</v>
      </c>
      <c r="O28" s="91">
        <f t="shared" si="0"/>
        <v>-1.2201064682290768</v>
      </c>
      <c r="P28" s="85">
        <f t="shared" si="1"/>
        <v>0</v>
      </c>
      <c r="Q28" s="86"/>
      <c r="R28" s="91" t="str">
        <f t="shared" si="2"/>
        <v/>
      </c>
      <c r="S28" s="85" t="str">
        <f t="shared" si="3"/>
        <v/>
      </c>
      <c r="T28" s="86"/>
      <c r="U28" s="91" t="str">
        <f t="shared" si="4"/>
        <v/>
      </c>
      <c r="V28" s="85" t="str">
        <f t="shared" si="5"/>
        <v/>
      </c>
      <c r="W28" s="56"/>
      <c r="X28" s="91" t="str">
        <f t="shared" si="6"/>
        <v/>
      </c>
      <c r="Y28" s="85" t="str">
        <f t="shared" si="7"/>
        <v/>
      </c>
      <c r="Z28" s="86"/>
      <c r="AA28" s="91" t="str">
        <f t="shared" si="8"/>
        <v/>
      </c>
      <c r="AB28" s="85" t="str">
        <f t="shared" si="9"/>
        <v/>
      </c>
      <c r="AC28" s="86"/>
      <c r="AD28" s="91" t="str">
        <f t="shared" si="10"/>
        <v/>
      </c>
      <c r="AE28" s="85" t="str">
        <f t="shared" si="11"/>
        <v/>
      </c>
      <c r="AF28" s="86"/>
      <c r="AG28" s="91" t="str">
        <f t="shared" si="12"/>
        <v/>
      </c>
      <c r="AH28" s="85" t="str">
        <f t="shared" si="13"/>
        <v/>
      </c>
      <c r="AI28" s="86"/>
      <c r="AJ28" s="91" t="str">
        <f t="shared" si="14"/>
        <v/>
      </c>
      <c r="AK28" s="85" t="str">
        <f t="shared" si="15"/>
        <v/>
      </c>
      <c r="AL28" s="86"/>
      <c r="AM28" s="91" t="str">
        <f t="shared" si="16"/>
        <v/>
      </c>
      <c r="AN28" s="85" t="str">
        <f t="shared" si="17"/>
        <v/>
      </c>
      <c r="AO28" s="86"/>
      <c r="AP28" s="91" t="str">
        <f t="shared" si="18"/>
        <v/>
      </c>
      <c r="AQ28" s="85" t="str">
        <f t="shared" si="19"/>
        <v/>
      </c>
      <c r="AR28" s="86"/>
      <c r="AS28" s="91" t="str">
        <f t="shared" si="20"/>
        <v/>
      </c>
      <c r="AT28" s="85" t="str">
        <f t="shared" si="21"/>
        <v/>
      </c>
      <c r="AU28" s="86"/>
      <c r="AV28" s="91" t="str">
        <f t="shared" si="22"/>
        <v/>
      </c>
      <c r="AW28" s="85" t="str">
        <f t="shared" si="23"/>
        <v/>
      </c>
      <c r="AX28" s="86"/>
      <c r="AY28" s="91" t="str">
        <f t="shared" si="24"/>
        <v/>
      </c>
      <c r="AZ28" s="85" t="str">
        <f t="shared" si="25"/>
        <v/>
      </c>
      <c r="BA28" s="86"/>
      <c r="BB28" s="91" t="str">
        <f t="shared" si="26"/>
        <v/>
      </c>
      <c r="BC28" s="85" t="str">
        <f t="shared" si="27"/>
        <v/>
      </c>
      <c r="BD28" s="86"/>
      <c r="BE28" s="91" t="str">
        <f t="shared" si="28"/>
        <v/>
      </c>
      <c r="BF28" s="85" t="str">
        <f t="shared" si="29"/>
        <v/>
      </c>
      <c r="BG28" s="86"/>
      <c r="BH28" s="91" t="str">
        <f t="shared" si="30"/>
        <v/>
      </c>
      <c r="BI28" s="85" t="str">
        <f t="shared" si="31"/>
        <v/>
      </c>
      <c r="BJ28" s="86">
        <v>85</v>
      </c>
      <c r="BK28" s="91">
        <f t="shared" si="32"/>
        <v>-0.56011203361120387</v>
      </c>
      <c r="BL28" s="85">
        <f t="shared" si="33"/>
        <v>0.25</v>
      </c>
      <c r="BM28" s="86"/>
      <c r="BN28" s="91" t="str">
        <f t="shared" si="34"/>
        <v/>
      </c>
      <c r="BO28" s="85" t="str">
        <f t="shared" si="35"/>
        <v/>
      </c>
      <c r="BP28" s="51"/>
      <c r="BQ28" s="91" t="str">
        <f t="shared" si="36"/>
        <v/>
      </c>
      <c r="BR28" s="85" t="str">
        <f t="shared" si="37"/>
        <v/>
      </c>
      <c r="BS28" s="86"/>
      <c r="BT28" s="91" t="str">
        <f t="shared" si="38"/>
        <v/>
      </c>
      <c r="BU28" s="85" t="str">
        <f t="shared" si="39"/>
        <v/>
      </c>
      <c r="BV28" s="86"/>
      <c r="BW28" s="91" t="str">
        <f t="shared" si="40"/>
        <v/>
      </c>
      <c r="BX28" s="85" t="str">
        <f t="shared" si="41"/>
        <v/>
      </c>
      <c r="BY28" s="86"/>
      <c r="BZ28" s="91" t="str">
        <f t="shared" si="42"/>
        <v/>
      </c>
      <c r="CA28" s="85" t="str">
        <f t="shared" si="43"/>
        <v/>
      </c>
      <c r="CB28" s="86"/>
      <c r="CC28" s="91" t="str">
        <f t="shared" si="44"/>
        <v/>
      </c>
      <c r="CD28" s="85" t="str">
        <f t="shared" si="45"/>
        <v/>
      </c>
      <c r="CE28" s="86"/>
      <c r="CF28" s="91" t="str">
        <f t="shared" si="46"/>
        <v/>
      </c>
      <c r="CG28" s="85" t="str">
        <f t="shared" si="47"/>
        <v/>
      </c>
      <c r="CH28" s="86"/>
      <c r="CI28" s="91" t="str">
        <f t="shared" si="48"/>
        <v/>
      </c>
      <c r="CJ28" s="85" t="str">
        <f t="shared" si="49"/>
        <v/>
      </c>
      <c r="CK28" s="86"/>
      <c r="CL28" s="91" t="str">
        <f t="shared" si="50"/>
        <v/>
      </c>
      <c r="CM28" s="85" t="str">
        <f t="shared" si="51"/>
        <v/>
      </c>
      <c r="CN28" s="86"/>
      <c r="CO28" s="91" t="str">
        <f t="shared" si="52"/>
        <v/>
      </c>
      <c r="CP28" s="85" t="str">
        <f t="shared" si="53"/>
        <v/>
      </c>
      <c r="CQ28" s="86"/>
      <c r="CR28" s="91" t="str">
        <f t="shared" si="54"/>
        <v/>
      </c>
      <c r="CS28" s="85" t="str">
        <f t="shared" si="55"/>
        <v/>
      </c>
      <c r="CT28" s="86"/>
      <c r="CU28" s="91" t="str">
        <f t="shared" si="56"/>
        <v/>
      </c>
      <c r="CV28" s="85" t="str">
        <f t="shared" si="57"/>
        <v/>
      </c>
      <c r="CW28" s="86"/>
      <c r="CX28" s="91" t="str">
        <f t="shared" si="58"/>
        <v/>
      </c>
      <c r="CY28" s="85" t="str">
        <f t="shared" si="59"/>
        <v/>
      </c>
      <c r="CZ28" s="86"/>
      <c r="DA28" s="91" t="str">
        <f t="shared" si="60"/>
        <v/>
      </c>
      <c r="DB28" s="85" t="str">
        <f t="shared" si="61"/>
        <v/>
      </c>
      <c r="DC28" s="86"/>
      <c r="DD28" s="91" t="str">
        <f t="shared" si="62"/>
        <v/>
      </c>
      <c r="DE28" s="85" t="str">
        <f t="shared" si="63"/>
        <v/>
      </c>
      <c r="DF28" s="86"/>
      <c r="DG28" s="91"/>
      <c r="DH28" s="85" t="str">
        <f t="shared" si="64"/>
        <v/>
      </c>
      <c r="DI28" s="86"/>
      <c r="DJ28" s="91" t="str">
        <f t="shared" si="65"/>
        <v/>
      </c>
      <c r="DK28" s="85" t="str">
        <f t="shared" si="66"/>
        <v/>
      </c>
      <c r="DL28" s="86">
        <v>63</v>
      </c>
      <c r="DM28" s="91">
        <f t="shared" si="67"/>
        <v>-1.1449031942045229</v>
      </c>
      <c r="DN28" s="85">
        <f t="shared" si="68"/>
        <v>0</v>
      </c>
      <c r="DO28" s="86"/>
      <c r="DP28" s="91" t="str">
        <f t="shared" si="69"/>
        <v/>
      </c>
      <c r="DQ28" s="85" t="str">
        <f t="shared" si="70"/>
        <v/>
      </c>
      <c r="DR28" s="86"/>
      <c r="DS28" s="91" t="str">
        <f t="shared" si="71"/>
        <v/>
      </c>
      <c r="DT28" s="85" t="str">
        <f t="shared" si="72"/>
        <v/>
      </c>
      <c r="DU28" s="86"/>
      <c r="DV28" s="91" t="str">
        <f t="shared" si="73"/>
        <v/>
      </c>
      <c r="DW28" s="85" t="str">
        <f t="shared" si="74"/>
        <v/>
      </c>
      <c r="DX28" s="86"/>
      <c r="DY28" s="91" t="str">
        <f t="shared" si="75"/>
        <v/>
      </c>
      <c r="DZ28" s="85" t="str">
        <f t="shared" si="76"/>
        <v/>
      </c>
      <c r="EA28" s="56">
        <v>74</v>
      </c>
      <c r="EB28" s="91">
        <f t="shared" si="77"/>
        <v>-1.1837380020707051</v>
      </c>
      <c r="EC28" s="85">
        <f t="shared" si="78"/>
        <v>0</v>
      </c>
      <c r="ED28" s="86"/>
      <c r="EE28" s="91" t="str">
        <f t="shared" si="79"/>
        <v/>
      </c>
      <c r="EF28" s="85" t="str">
        <f t="shared" si="80"/>
        <v/>
      </c>
      <c r="EG28" s="86"/>
      <c r="EH28" s="91" t="str">
        <f t="shared" si="81"/>
        <v/>
      </c>
      <c r="EI28" s="85" t="str">
        <f t="shared" si="82"/>
        <v/>
      </c>
      <c r="EJ28" s="86"/>
      <c r="EK28" s="91" t="str">
        <f t="shared" si="83"/>
        <v/>
      </c>
      <c r="EL28" s="85" t="str">
        <f t="shared" si="84"/>
        <v/>
      </c>
      <c r="EM28" s="86"/>
      <c r="EN28" s="91" t="str">
        <f t="shared" si="85"/>
        <v/>
      </c>
      <c r="EO28" s="85" t="str">
        <f t="shared" si="86"/>
        <v/>
      </c>
      <c r="EP28" s="86"/>
      <c r="EQ28" s="91" t="str">
        <f t="shared" si="87"/>
        <v/>
      </c>
      <c r="ER28" s="85" t="str">
        <f t="shared" si="88"/>
        <v/>
      </c>
      <c r="ES28" s="51"/>
      <c r="ET28" s="91" t="str">
        <f t="shared" si="89"/>
        <v/>
      </c>
      <c r="EU28" s="85" t="str">
        <f t="shared" si="90"/>
        <v/>
      </c>
      <c r="EV28" s="86"/>
      <c r="EW28" s="91" t="str">
        <f t="shared" si="91"/>
        <v/>
      </c>
      <c r="EX28" s="85" t="str">
        <f t="shared" si="92"/>
        <v/>
      </c>
      <c r="EY28" s="86"/>
      <c r="EZ28" s="91" t="str">
        <f t="shared" si="93"/>
        <v/>
      </c>
      <c r="FA28" s="85" t="str">
        <f t="shared" si="94"/>
        <v/>
      </c>
      <c r="FB28" s="86"/>
      <c r="FC28" s="91" t="str">
        <f t="shared" si="95"/>
        <v/>
      </c>
      <c r="FD28" s="85" t="str">
        <f t="shared" si="96"/>
        <v/>
      </c>
      <c r="FE28" s="86"/>
      <c r="FF28" s="91" t="str">
        <f t="shared" si="97"/>
        <v/>
      </c>
      <c r="FG28" s="85" t="str">
        <f t="shared" si="98"/>
        <v/>
      </c>
      <c r="FH28" s="92"/>
      <c r="FI28" s="91" t="str">
        <f t="shared" si="99"/>
        <v/>
      </c>
      <c r="FJ28" s="85" t="str">
        <f t="shared" si="100"/>
        <v/>
      </c>
      <c r="FK28" s="86"/>
      <c r="FL28" s="91" t="str">
        <f t="shared" si="101"/>
        <v/>
      </c>
      <c r="FM28" s="85" t="str">
        <f t="shared" si="102"/>
        <v/>
      </c>
      <c r="FN28" s="86"/>
      <c r="FO28" s="91" t="str">
        <f t="shared" si="103"/>
        <v/>
      </c>
      <c r="FP28" s="85" t="str">
        <f t="shared" si="104"/>
        <v/>
      </c>
      <c r="FQ28" s="86"/>
      <c r="FR28" s="91" t="str">
        <f t="shared" si="105"/>
        <v/>
      </c>
      <c r="FS28" s="85" t="str">
        <f t="shared" si="106"/>
        <v/>
      </c>
      <c r="FT28" s="86"/>
      <c r="FU28" s="91" t="str">
        <f t="shared" si="107"/>
        <v/>
      </c>
      <c r="FV28" s="85" t="str">
        <f t="shared" si="108"/>
        <v/>
      </c>
      <c r="FW28" s="56"/>
      <c r="FX28" s="91" t="str">
        <f t="shared" si="109"/>
        <v/>
      </c>
      <c r="FY28" s="85" t="str">
        <f t="shared" si="110"/>
        <v/>
      </c>
      <c r="FZ28" s="86">
        <v>83</v>
      </c>
      <c r="GA28" s="91">
        <f t="shared" si="111"/>
        <v>-0.75558211005341069</v>
      </c>
      <c r="GB28" s="85">
        <f t="shared" si="112"/>
        <v>0.25</v>
      </c>
      <c r="GC28" s="92"/>
      <c r="GD28" s="91" t="str">
        <f t="shared" si="113"/>
        <v/>
      </c>
      <c r="GE28" s="85" t="str">
        <f t="shared" si="114"/>
        <v/>
      </c>
      <c r="GF28" s="86"/>
      <c r="GG28" s="91" t="str">
        <f t="shared" si="115"/>
        <v/>
      </c>
      <c r="GH28" s="85" t="str">
        <f t="shared" si="116"/>
        <v/>
      </c>
      <c r="GI28" s="86"/>
      <c r="GJ28" s="91" t="str">
        <f t="shared" si="117"/>
        <v/>
      </c>
      <c r="GK28" s="85" t="str">
        <f t="shared" si="118"/>
        <v/>
      </c>
      <c r="GL28" s="86"/>
      <c r="GM28" s="91" t="str">
        <f t="shared" si="119"/>
        <v/>
      </c>
      <c r="GN28" s="85" t="str">
        <f t="shared" si="120"/>
        <v/>
      </c>
      <c r="GO28" s="86"/>
      <c r="GP28" s="91" t="str">
        <f t="shared" si="121"/>
        <v/>
      </c>
      <c r="GQ28" s="85" t="str">
        <f t="shared" si="122"/>
        <v/>
      </c>
      <c r="GR28" s="86"/>
      <c r="GS28" s="91" t="str">
        <f t="shared" si="123"/>
        <v/>
      </c>
      <c r="GT28" s="85" t="str">
        <f t="shared" si="124"/>
        <v/>
      </c>
      <c r="GU28" s="86"/>
      <c r="GV28" s="91" t="str">
        <f t="shared" si="125"/>
        <v/>
      </c>
      <c r="GW28" s="85" t="str">
        <f t="shared" si="126"/>
        <v/>
      </c>
      <c r="GX28" s="86"/>
      <c r="GY28" s="91" t="str">
        <f t="shared" si="127"/>
        <v/>
      </c>
      <c r="GZ28" s="85" t="str">
        <f t="shared" si="128"/>
        <v/>
      </c>
      <c r="HA28" s="86"/>
      <c r="HB28" s="91" t="str">
        <f t="shared" si="129"/>
        <v/>
      </c>
      <c r="HC28" s="85" t="str">
        <f t="shared" si="130"/>
        <v/>
      </c>
      <c r="HD28" s="86"/>
      <c r="HE28" s="91" t="str">
        <f t="shared" si="131"/>
        <v/>
      </c>
      <c r="HF28" s="85" t="str">
        <f t="shared" si="132"/>
        <v/>
      </c>
      <c r="HG28" s="86"/>
      <c r="HH28" s="91" t="str">
        <f t="shared" si="133"/>
        <v/>
      </c>
      <c r="HI28" s="85" t="str">
        <f t="shared" si="134"/>
        <v/>
      </c>
      <c r="HJ28" s="86"/>
      <c r="HK28" s="91" t="str">
        <f t="shared" si="135"/>
        <v/>
      </c>
      <c r="HL28" s="85" t="str">
        <f t="shared" si="136"/>
        <v/>
      </c>
      <c r="HM28" s="86"/>
      <c r="HN28" s="91" t="str">
        <f t="shared" si="137"/>
        <v/>
      </c>
      <c r="HO28" s="85" t="str">
        <f t="shared" si="138"/>
        <v/>
      </c>
      <c r="HP28" s="56"/>
      <c r="HQ28" s="91" t="str">
        <f t="shared" si="139"/>
        <v/>
      </c>
      <c r="HR28" s="85" t="str">
        <f t="shared" si="140"/>
        <v/>
      </c>
      <c r="HS28" s="86"/>
      <c r="HT28" s="91" t="str">
        <f t="shared" si="141"/>
        <v/>
      </c>
      <c r="HU28" s="85" t="str">
        <f t="shared" si="142"/>
        <v/>
      </c>
      <c r="HV28" s="86"/>
      <c r="HW28" s="91" t="str">
        <f t="shared" si="143"/>
        <v/>
      </c>
      <c r="HX28" s="85" t="str">
        <f t="shared" si="144"/>
        <v/>
      </c>
      <c r="HY28" s="86"/>
      <c r="HZ28" s="91" t="str">
        <f t="shared" si="145"/>
        <v/>
      </c>
      <c r="IA28" s="85" t="str">
        <f t="shared" si="146"/>
        <v/>
      </c>
      <c r="IB28" s="86"/>
      <c r="IC28" s="91" t="str">
        <f t="shared" si="147"/>
        <v/>
      </c>
      <c r="ID28" s="85" t="str">
        <f t="shared" si="148"/>
        <v/>
      </c>
      <c r="IE28" s="86"/>
      <c r="IF28" s="91" t="str">
        <f t="shared" si="149"/>
        <v/>
      </c>
      <c r="IG28" s="85" t="str">
        <f t="shared" si="150"/>
        <v/>
      </c>
      <c r="IH28" s="86"/>
      <c r="II28" s="91" t="str">
        <f t="shared" si="151"/>
        <v/>
      </c>
      <c r="IJ28" s="85" t="str">
        <f t="shared" si="152"/>
        <v/>
      </c>
      <c r="IK28" s="86"/>
      <c r="IL28" s="91" t="str">
        <f t="shared" si="153"/>
        <v/>
      </c>
      <c r="IM28" s="85" t="str">
        <f t="shared" si="154"/>
        <v/>
      </c>
      <c r="IN28" s="86"/>
      <c r="IO28" s="91" t="str">
        <f t="shared" si="155"/>
        <v/>
      </c>
      <c r="IP28" s="85" t="str">
        <f t="shared" si="156"/>
        <v/>
      </c>
      <c r="IQ28" s="86"/>
      <c r="IR28" s="91" t="str">
        <f t="shared" si="157"/>
        <v/>
      </c>
      <c r="IS28" s="85" t="str">
        <f t="shared" si="158"/>
        <v/>
      </c>
      <c r="IT28" s="86"/>
      <c r="IU28" s="91" t="str">
        <f t="shared" si="159"/>
        <v/>
      </c>
      <c r="IV28" s="85" t="str">
        <f t="shared" si="160"/>
        <v/>
      </c>
      <c r="IW28" s="86"/>
      <c r="IX28" s="91" t="str">
        <f t="shared" si="161"/>
        <v/>
      </c>
      <c r="IY28" s="85" t="str">
        <f t="shared" si="162"/>
        <v/>
      </c>
      <c r="IZ28" s="86"/>
      <c r="JA28" s="91" t="str">
        <f t="shared" si="163"/>
        <v/>
      </c>
      <c r="JB28" s="85" t="str">
        <f t="shared" si="164"/>
        <v/>
      </c>
      <c r="JC28" s="86"/>
      <c r="JD28" s="91" t="str">
        <f t="shared" si="165"/>
        <v/>
      </c>
      <c r="JE28" s="85" t="str">
        <f t="shared" si="166"/>
        <v/>
      </c>
      <c r="JF28" s="86"/>
      <c r="JG28" s="91" t="str">
        <f t="shared" si="167"/>
        <v/>
      </c>
      <c r="JH28" s="85" t="str">
        <f t="shared" si="168"/>
        <v/>
      </c>
      <c r="JI28" s="86"/>
      <c r="JJ28" s="91" t="str">
        <f t="shared" si="169"/>
        <v/>
      </c>
      <c r="JK28" s="85" t="str">
        <f t="shared" si="170"/>
        <v/>
      </c>
      <c r="JL28" s="86"/>
      <c r="JM28" s="91" t="str">
        <f t="shared" si="171"/>
        <v/>
      </c>
      <c r="JN28" s="85" t="str">
        <f t="shared" si="172"/>
        <v/>
      </c>
      <c r="JO28" s="86"/>
      <c r="JP28" s="91" t="str">
        <f t="shared" si="173"/>
        <v/>
      </c>
      <c r="JQ28" s="85" t="str">
        <f t="shared" si="174"/>
        <v/>
      </c>
      <c r="JR28" s="86"/>
      <c r="JS28" s="91" t="str">
        <f t="shared" si="175"/>
        <v/>
      </c>
      <c r="JT28" s="85" t="str">
        <f t="shared" si="176"/>
        <v/>
      </c>
      <c r="JU28" s="86"/>
      <c r="JV28" s="91" t="str">
        <f t="shared" si="177"/>
        <v/>
      </c>
      <c r="JW28" s="85" t="str">
        <f t="shared" si="178"/>
        <v/>
      </c>
      <c r="JX28" s="86"/>
      <c r="JY28" s="91" t="str">
        <f t="shared" si="179"/>
        <v/>
      </c>
      <c r="JZ28" s="85" t="str">
        <f t="shared" si="180"/>
        <v/>
      </c>
      <c r="KA28" s="86"/>
      <c r="KB28" s="91" t="str">
        <f t="shared" si="181"/>
        <v/>
      </c>
      <c r="KC28" s="85" t="str">
        <f t="shared" si="182"/>
        <v/>
      </c>
      <c r="KD28" s="86"/>
      <c r="KE28" s="91" t="str">
        <f t="shared" si="183"/>
        <v/>
      </c>
      <c r="KF28" s="85" t="str">
        <f t="shared" si="184"/>
        <v/>
      </c>
      <c r="KG28" s="86"/>
      <c r="KH28" s="91" t="str">
        <f t="shared" si="185"/>
        <v/>
      </c>
      <c r="KI28" s="85" t="str">
        <f t="shared" si="186"/>
        <v/>
      </c>
      <c r="KJ28" s="86"/>
      <c r="KK28" s="91" t="str">
        <f t="shared" si="187"/>
        <v/>
      </c>
      <c r="KL28" s="85" t="str">
        <f t="shared" si="188"/>
        <v/>
      </c>
      <c r="KM28" s="86"/>
      <c r="KN28" s="91" t="str">
        <f t="shared" si="189"/>
        <v/>
      </c>
      <c r="KO28" s="85" t="str">
        <f t="shared" si="190"/>
        <v/>
      </c>
      <c r="KP28" s="86"/>
      <c r="KQ28" s="91" t="str">
        <f t="shared" si="191"/>
        <v/>
      </c>
      <c r="KR28" s="85" t="str">
        <f t="shared" si="192"/>
        <v/>
      </c>
      <c r="KS28" s="86"/>
      <c r="KT28" s="91" t="str">
        <f t="shared" si="193"/>
        <v/>
      </c>
      <c r="KU28" s="85" t="str">
        <f t="shared" si="194"/>
        <v/>
      </c>
      <c r="KV28" s="86"/>
      <c r="KW28" s="91" t="str">
        <f t="shared" si="195"/>
        <v/>
      </c>
      <c r="KX28" s="85" t="str">
        <f t="shared" si="196"/>
        <v/>
      </c>
      <c r="KY28" s="92"/>
      <c r="KZ28" s="91" t="str">
        <f t="shared" si="197"/>
        <v/>
      </c>
      <c r="LA28" s="85" t="str">
        <f t="shared" si="198"/>
        <v/>
      </c>
      <c r="LB28" s="50">
        <f t="shared" si="218"/>
        <v>75.2</v>
      </c>
      <c r="LC28" s="57">
        <f t="shared" si="199"/>
        <v>52</v>
      </c>
      <c r="LD28" s="50">
        <f t="shared" si="207"/>
        <v>-0.97288836163378378</v>
      </c>
      <c r="LE28" s="57">
        <f t="shared" si="200"/>
        <v>55</v>
      </c>
      <c r="LF28" s="50">
        <f t="shared" si="208"/>
        <v>0.1</v>
      </c>
      <c r="LG28" s="57">
        <f t="shared" si="201"/>
        <v>58</v>
      </c>
      <c r="LH28" s="58">
        <f t="shared" si="202"/>
        <v>37.5</v>
      </c>
      <c r="LI28" s="58">
        <f t="shared" si="203"/>
        <v>30.766287031823637</v>
      </c>
      <c r="LJ28" s="58">
        <f t="shared" si="204"/>
        <v>27.5</v>
      </c>
      <c r="LK28" s="58">
        <f t="shared" si="205"/>
        <v>45.766287031823637</v>
      </c>
      <c r="LL28" s="60">
        <f t="shared" si="206"/>
        <v>56</v>
      </c>
      <c r="LM28" s="55"/>
      <c r="LN28" s="112">
        <f t="shared" si="217"/>
        <v>24</v>
      </c>
      <c r="LO28" s="61">
        <f t="shared" si="214"/>
        <v>56</v>
      </c>
      <c r="LP28" s="64"/>
      <c r="LQ28" s="64"/>
      <c r="LR28" s="64"/>
    </row>
    <row r="29" spans="1:334" s="62" customFormat="1" ht="15" customHeight="1">
      <c r="A29" s="50">
        <f t="shared" si="211"/>
        <v>5</v>
      </c>
      <c r="B29" s="50">
        <f t="shared" si="212"/>
        <v>5</v>
      </c>
      <c r="C29" s="117">
        <v>54</v>
      </c>
      <c r="D29" s="118" t="s">
        <v>186</v>
      </c>
      <c r="E29" s="286" t="s">
        <v>628</v>
      </c>
      <c r="F29" s="76"/>
      <c r="G29" s="76"/>
      <c r="H29" s="119" t="s">
        <v>13</v>
      </c>
      <c r="I29" s="286" t="s">
        <v>550</v>
      </c>
      <c r="J29" s="119" t="s">
        <v>187</v>
      </c>
      <c r="K29" s="119" t="s">
        <v>2</v>
      </c>
      <c r="L29" s="104" t="s">
        <v>188</v>
      </c>
      <c r="M29" s="292" t="s">
        <v>35</v>
      </c>
      <c r="N29" s="86"/>
      <c r="O29" s="91" t="str">
        <f t="shared" si="0"/>
        <v/>
      </c>
      <c r="P29" s="85" t="str">
        <f t="shared" si="1"/>
        <v/>
      </c>
      <c r="Q29" s="86"/>
      <c r="R29" s="91" t="str">
        <f t="shared" si="2"/>
        <v/>
      </c>
      <c r="S29" s="85" t="str">
        <f t="shared" si="3"/>
        <v/>
      </c>
      <c r="T29" s="86">
        <v>92</v>
      </c>
      <c r="U29" s="91">
        <f t="shared" si="4"/>
        <v>-9.6169407366870366E-2</v>
      </c>
      <c r="V29" s="85">
        <f t="shared" si="5"/>
        <v>0.5</v>
      </c>
      <c r="W29" s="86"/>
      <c r="X29" s="91" t="str">
        <f t="shared" si="6"/>
        <v/>
      </c>
      <c r="Y29" s="85" t="str">
        <f t="shared" si="7"/>
        <v/>
      </c>
      <c r="Z29" s="84"/>
      <c r="AA29" s="91" t="str">
        <f t="shared" si="8"/>
        <v/>
      </c>
      <c r="AB29" s="85" t="str">
        <f t="shared" si="9"/>
        <v/>
      </c>
      <c r="AC29" s="86"/>
      <c r="AD29" s="91" t="str">
        <f t="shared" si="10"/>
        <v/>
      </c>
      <c r="AE29" s="85" t="str">
        <f t="shared" si="11"/>
        <v/>
      </c>
      <c r="AF29" s="86"/>
      <c r="AG29" s="91" t="str">
        <f t="shared" si="12"/>
        <v/>
      </c>
      <c r="AH29" s="85" t="str">
        <f t="shared" si="13"/>
        <v/>
      </c>
      <c r="AI29" s="86"/>
      <c r="AJ29" s="91" t="str">
        <f t="shared" si="14"/>
        <v/>
      </c>
      <c r="AK29" s="85" t="str">
        <f t="shared" si="15"/>
        <v/>
      </c>
      <c r="AL29" s="86"/>
      <c r="AM29" s="91" t="str">
        <f t="shared" si="16"/>
        <v/>
      </c>
      <c r="AN29" s="85" t="str">
        <f t="shared" si="17"/>
        <v/>
      </c>
      <c r="AO29" s="86"/>
      <c r="AP29" s="91" t="str">
        <f t="shared" si="18"/>
        <v/>
      </c>
      <c r="AQ29" s="85" t="str">
        <f t="shared" si="19"/>
        <v/>
      </c>
      <c r="AR29" s="86"/>
      <c r="AS29" s="91" t="str">
        <f t="shared" si="20"/>
        <v/>
      </c>
      <c r="AT29" s="85" t="str">
        <f t="shared" si="21"/>
        <v/>
      </c>
      <c r="AU29" s="56"/>
      <c r="AV29" s="91" t="str">
        <f t="shared" si="22"/>
        <v/>
      </c>
      <c r="AW29" s="85" t="str">
        <f t="shared" si="23"/>
        <v/>
      </c>
      <c r="AX29" s="86"/>
      <c r="AY29" s="91" t="str">
        <f t="shared" si="24"/>
        <v/>
      </c>
      <c r="AZ29" s="85" t="str">
        <f t="shared" si="25"/>
        <v/>
      </c>
      <c r="BA29" s="56"/>
      <c r="BB29" s="91" t="str">
        <f t="shared" si="26"/>
        <v/>
      </c>
      <c r="BC29" s="85" t="str">
        <f t="shared" si="27"/>
        <v/>
      </c>
      <c r="BD29" s="86"/>
      <c r="BE29" s="91" t="str">
        <f t="shared" si="28"/>
        <v/>
      </c>
      <c r="BF29" s="85" t="str">
        <f t="shared" si="29"/>
        <v/>
      </c>
      <c r="BG29" s="86"/>
      <c r="BH29" s="91" t="str">
        <f t="shared" si="30"/>
        <v/>
      </c>
      <c r="BI29" s="85" t="str">
        <f t="shared" si="31"/>
        <v/>
      </c>
      <c r="BJ29" s="86"/>
      <c r="BK29" s="91" t="str">
        <f t="shared" si="32"/>
        <v/>
      </c>
      <c r="BL29" s="85" t="str">
        <f t="shared" si="33"/>
        <v/>
      </c>
      <c r="BM29" s="86"/>
      <c r="BN29" s="91" t="str">
        <f t="shared" si="34"/>
        <v/>
      </c>
      <c r="BO29" s="85" t="str">
        <f t="shared" si="35"/>
        <v/>
      </c>
      <c r="BP29" s="51"/>
      <c r="BQ29" s="91" t="str">
        <f t="shared" si="36"/>
        <v/>
      </c>
      <c r="BR29" s="85" t="str">
        <f t="shared" si="37"/>
        <v/>
      </c>
      <c r="BS29" s="86"/>
      <c r="BT29" s="91" t="str">
        <f t="shared" si="38"/>
        <v/>
      </c>
      <c r="BU29" s="85" t="str">
        <f t="shared" si="39"/>
        <v/>
      </c>
      <c r="BV29" s="86"/>
      <c r="BW29" s="91" t="str">
        <f t="shared" si="40"/>
        <v/>
      </c>
      <c r="BX29" s="85" t="str">
        <f t="shared" si="41"/>
        <v/>
      </c>
      <c r="BY29" s="86"/>
      <c r="BZ29" s="91" t="str">
        <f t="shared" si="42"/>
        <v/>
      </c>
      <c r="CA29" s="85" t="str">
        <f t="shared" si="43"/>
        <v/>
      </c>
      <c r="CB29" s="97"/>
      <c r="CC29" s="91" t="str">
        <f t="shared" si="44"/>
        <v/>
      </c>
      <c r="CD29" s="85" t="str">
        <f t="shared" si="45"/>
        <v/>
      </c>
      <c r="CE29" s="86"/>
      <c r="CF29" s="91" t="str">
        <f t="shared" si="46"/>
        <v/>
      </c>
      <c r="CG29" s="85" t="str">
        <f t="shared" si="47"/>
        <v/>
      </c>
      <c r="CH29" s="86"/>
      <c r="CI29" s="91" t="str">
        <f t="shared" si="48"/>
        <v/>
      </c>
      <c r="CJ29" s="85" t="str">
        <f t="shared" si="49"/>
        <v/>
      </c>
      <c r="CK29" s="86"/>
      <c r="CL29" s="91" t="str">
        <f t="shared" si="50"/>
        <v/>
      </c>
      <c r="CM29" s="85" t="str">
        <f t="shared" si="51"/>
        <v/>
      </c>
      <c r="CN29" s="86"/>
      <c r="CO29" s="91" t="str">
        <f t="shared" si="52"/>
        <v/>
      </c>
      <c r="CP29" s="85" t="str">
        <f t="shared" si="53"/>
        <v/>
      </c>
      <c r="CQ29" s="86"/>
      <c r="CR29" s="91" t="str">
        <f t="shared" si="54"/>
        <v/>
      </c>
      <c r="CS29" s="85" t="str">
        <f t="shared" si="55"/>
        <v/>
      </c>
      <c r="CT29" s="86"/>
      <c r="CU29" s="91" t="str">
        <f t="shared" si="56"/>
        <v/>
      </c>
      <c r="CV29" s="85" t="str">
        <f t="shared" si="57"/>
        <v/>
      </c>
      <c r="CW29" s="86"/>
      <c r="CX29" s="91" t="str">
        <f t="shared" si="58"/>
        <v/>
      </c>
      <c r="CY29" s="85" t="str">
        <f t="shared" si="59"/>
        <v/>
      </c>
      <c r="CZ29" s="86"/>
      <c r="DA29" s="91" t="str">
        <f t="shared" si="60"/>
        <v/>
      </c>
      <c r="DB29" s="85" t="str">
        <f t="shared" si="61"/>
        <v/>
      </c>
      <c r="DC29" s="86"/>
      <c r="DD29" s="91" t="str">
        <f t="shared" si="62"/>
        <v/>
      </c>
      <c r="DE29" s="85" t="str">
        <f t="shared" si="63"/>
        <v/>
      </c>
      <c r="DF29" s="86"/>
      <c r="DG29" s="91"/>
      <c r="DH29" s="85" t="str">
        <f t="shared" si="64"/>
        <v/>
      </c>
      <c r="DI29" s="86"/>
      <c r="DJ29" s="91" t="str">
        <f t="shared" si="65"/>
        <v/>
      </c>
      <c r="DK29" s="85" t="str">
        <f t="shared" si="66"/>
        <v/>
      </c>
      <c r="DL29" s="86"/>
      <c r="DM29" s="91" t="str">
        <f t="shared" si="67"/>
        <v/>
      </c>
      <c r="DN29" s="85" t="str">
        <f t="shared" si="68"/>
        <v/>
      </c>
      <c r="DO29" s="86">
        <v>91</v>
      </c>
      <c r="DP29" s="91">
        <f t="shared" si="69"/>
        <v>0.79577337811769233</v>
      </c>
      <c r="DQ29" s="85">
        <f t="shared" si="70"/>
        <v>0.75</v>
      </c>
      <c r="DR29" s="86"/>
      <c r="DS29" s="91" t="str">
        <f t="shared" si="71"/>
        <v/>
      </c>
      <c r="DT29" s="85" t="str">
        <f t="shared" si="72"/>
        <v/>
      </c>
      <c r="DU29" s="86"/>
      <c r="DV29" s="91" t="str">
        <f t="shared" si="73"/>
        <v/>
      </c>
      <c r="DW29" s="85" t="str">
        <f t="shared" si="74"/>
        <v/>
      </c>
      <c r="DX29" s="86"/>
      <c r="DY29" s="91" t="str">
        <f t="shared" si="75"/>
        <v/>
      </c>
      <c r="DZ29" s="85" t="str">
        <f t="shared" si="76"/>
        <v/>
      </c>
      <c r="EA29" s="86"/>
      <c r="EB29" s="91" t="str">
        <f t="shared" si="77"/>
        <v/>
      </c>
      <c r="EC29" s="85" t="str">
        <f t="shared" si="78"/>
        <v/>
      </c>
      <c r="ED29" s="271"/>
      <c r="EE29" s="91" t="str">
        <f t="shared" si="79"/>
        <v/>
      </c>
      <c r="EF29" s="85" t="str">
        <f t="shared" si="80"/>
        <v/>
      </c>
      <c r="EG29" s="86"/>
      <c r="EH29" s="91" t="str">
        <f t="shared" si="81"/>
        <v/>
      </c>
      <c r="EI29" s="85" t="str">
        <f t="shared" si="82"/>
        <v/>
      </c>
      <c r="EJ29" s="86">
        <v>86</v>
      </c>
      <c r="EK29" s="91">
        <f t="shared" si="83"/>
        <v>0.46561498303857612</v>
      </c>
      <c r="EL29" s="85">
        <f t="shared" si="84"/>
        <v>0.75</v>
      </c>
      <c r="EM29" s="56"/>
      <c r="EN29" s="91" t="str">
        <f t="shared" si="85"/>
        <v/>
      </c>
      <c r="EO29" s="85" t="str">
        <f t="shared" si="86"/>
        <v/>
      </c>
      <c r="EP29" s="86"/>
      <c r="EQ29" s="91" t="str">
        <f t="shared" si="87"/>
        <v/>
      </c>
      <c r="ER29" s="85" t="str">
        <f t="shared" si="88"/>
        <v/>
      </c>
      <c r="ES29" s="51"/>
      <c r="ET29" s="91" t="str">
        <f t="shared" si="89"/>
        <v/>
      </c>
      <c r="EU29" s="85" t="str">
        <f t="shared" si="90"/>
        <v/>
      </c>
      <c r="EV29" s="86"/>
      <c r="EW29" s="91" t="str">
        <f t="shared" si="91"/>
        <v/>
      </c>
      <c r="EX29" s="85" t="str">
        <f t="shared" si="92"/>
        <v/>
      </c>
      <c r="EY29" s="86"/>
      <c r="EZ29" s="91" t="str">
        <f t="shared" si="93"/>
        <v/>
      </c>
      <c r="FA29" s="85" t="str">
        <f t="shared" si="94"/>
        <v/>
      </c>
      <c r="FB29" s="56"/>
      <c r="FC29" s="91" t="str">
        <f t="shared" si="95"/>
        <v/>
      </c>
      <c r="FD29" s="85" t="str">
        <f t="shared" si="96"/>
        <v/>
      </c>
      <c r="FE29" s="86"/>
      <c r="FF29" s="91" t="str">
        <f t="shared" si="97"/>
        <v/>
      </c>
      <c r="FG29" s="85" t="str">
        <f t="shared" si="98"/>
        <v/>
      </c>
      <c r="FH29" s="86"/>
      <c r="FI29" s="91" t="str">
        <f t="shared" si="99"/>
        <v/>
      </c>
      <c r="FJ29" s="85" t="str">
        <f t="shared" si="100"/>
        <v/>
      </c>
      <c r="FK29" s="86"/>
      <c r="FL29" s="91" t="str">
        <f t="shared" si="101"/>
        <v/>
      </c>
      <c r="FM29" s="85" t="str">
        <f t="shared" si="102"/>
        <v/>
      </c>
      <c r="FN29" s="86"/>
      <c r="FO29" s="91" t="str">
        <f t="shared" si="103"/>
        <v/>
      </c>
      <c r="FP29" s="85" t="str">
        <f t="shared" si="104"/>
        <v/>
      </c>
      <c r="FQ29" s="252">
        <v>87</v>
      </c>
      <c r="FR29" s="91">
        <f t="shared" si="105"/>
        <v>0.50262468995003384</v>
      </c>
      <c r="FS29" s="85">
        <f t="shared" si="106"/>
        <v>0.75</v>
      </c>
      <c r="FT29" s="86"/>
      <c r="FU29" s="91" t="str">
        <f t="shared" si="107"/>
        <v/>
      </c>
      <c r="FV29" s="85" t="str">
        <f t="shared" si="108"/>
        <v/>
      </c>
      <c r="FW29" s="92"/>
      <c r="FX29" s="91" t="str">
        <f t="shared" si="109"/>
        <v/>
      </c>
      <c r="FY29" s="85" t="str">
        <f t="shared" si="110"/>
        <v/>
      </c>
      <c r="FZ29" s="86"/>
      <c r="GA29" s="91" t="str">
        <f t="shared" si="111"/>
        <v/>
      </c>
      <c r="GB29" s="85" t="str">
        <f t="shared" si="112"/>
        <v/>
      </c>
      <c r="GC29" s="86"/>
      <c r="GD29" s="91" t="str">
        <f t="shared" si="113"/>
        <v/>
      </c>
      <c r="GE29" s="85" t="str">
        <f t="shared" si="114"/>
        <v/>
      </c>
      <c r="GF29" s="86"/>
      <c r="GG29" s="91" t="str">
        <f t="shared" si="115"/>
        <v/>
      </c>
      <c r="GH29" s="85" t="str">
        <f t="shared" si="116"/>
        <v/>
      </c>
      <c r="GI29" s="86"/>
      <c r="GJ29" s="91" t="str">
        <f t="shared" si="117"/>
        <v/>
      </c>
      <c r="GK29" s="85" t="str">
        <f t="shared" si="118"/>
        <v/>
      </c>
      <c r="GL29" s="86"/>
      <c r="GM29" s="91" t="str">
        <f t="shared" si="119"/>
        <v/>
      </c>
      <c r="GN29" s="85" t="str">
        <f t="shared" si="120"/>
        <v/>
      </c>
      <c r="GO29" s="86"/>
      <c r="GP29" s="91" t="str">
        <f t="shared" si="121"/>
        <v/>
      </c>
      <c r="GQ29" s="85" t="str">
        <f t="shared" si="122"/>
        <v/>
      </c>
      <c r="GR29" s="86"/>
      <c r="GS29" s="91" t="str">
        <f t="shared" si="123"/>
        <v/>
      </c>
      <c r="GT29" s="85" t="str">
        <f t="shared" si="124"/>
        <v/>
      </c>
      <c r="GU29" s="92"/>
      <c r="GV29" s="91" t="str">
        <f t="shared" si="125"/>
        <v/>
      </c>
      <c r="GW29" s="85" t="str">
        <f t="shared" si="126"/>
        <v/>
      </c>
      <c r="GX29" s="86">
        <v>85</v>
      </c>
      <c r="GY29" s="91">
        <f t="shared" si="127"/>
        <v>-0.68884672019366533</v>
      </c>
      <c r="GZ29" s="85">
        <f t="shared" si="128"/>
        <v>0.25</v>
      </c>
      <c r="HA29" s="86"/>
      <c r="HB29" s="91" t="str">
        <f t="shared" si="129"/>
        <v/>
      </c>
      <c r="HC29" s="85" t="str">
        <f t="shared" si="130"/>
        <v/>
      </c>
      <c r="HD29" s="86"/>
      <c r="HE29" s="91" t="str">
        <f t="shared" si="131"/>
        <v/>
      </c>
      <c r="HF29" s="85" t="str">
        <f t="shared" si="132"/>
        <v/>
      </c>
      <c r="HG29" s="86"/>
      <c r="HH29" s="91" t="str">
        <f t="shared" si="133"/>
        <v/>
      </c>
      <c r="HI29" s="85" t="str">
        <f t="shared" si="134"/>
        <v/>
      </c>
      <c r="HJ29" s="86"/>
      <c r="HK29" s="91" t="str">
        <f t="shared" si="135"/>
        <v/>
      </c>
      <c r="HL29" s="85" t="str">
        <f t="shared" si="136"/>
        <v/>
      </c>
      <c r="HM29" s="56"/>
      <c r="HN29" s="91" t="str">
        <f t="shared" si="137"/>
        <v/>
      </c>
      <c r="HO29" s="85" t="str">
        <f t="shared" si="138"/>
        <v/>
      </c>
      <c r="HP29" s="92"/>
      <c r="HQ29" s="91" t="str">
        <f t="shared" si="139"/>
        <v/>
      </c>
      <c r="HR29" s="85" t="str">
        <f t="shared" si="140"/>
        <v/>
      </c>
      <c r="HS29" s="86"/>
      <c r="HT29" s="91" t="str">
        <f t="shared" si="141"/>
        <v/>
      </c>
      <c r="HU29" s="85" t="str">
        <f t="shared" si="142"/>
        <v/>
      </c>
      <c r="HV29" s="86"/>
      <c r="HW29" s="91" t="str">
        <f t="shared" si="143"/>
        <v/>
      </c>
      <c r="HX29" s="85" t="str">
        <f t="shared" si="144"/>
        <v/>
      </c>
      <c r="HY29" s="86"/>
      <c r="HZ29" s="91" t="str">
        <f t="shared" si="145"/>
        <v/>
      </c>
      <c r="IA29" s="85" t="str">
        <f t="shared" si="146"/>
        <v/>
      </c>
      <c r="IB29" s="86"/>
      <c r="IC29" s="91" t="str">
        <f t="shared" si="147"/>
        <v/>
      </c>
      <c r="ID29" s="85" t="str">
        <f t="shared" si="148"/>
        <v/>
      </c>
      <c r="IE29" s="86"/>
      <c r="IF29" s="91" t="str">
        <f t="shared" si="149"/>
        <v/>
      </c>
      <c r="IG29" s="85" t="str">
        <f t="shared" si="150"/>
        <v/>
      </c>
      <c r="IH29" s="86"/>
      <c r="II29" s="91" t="str">
        <f t="shared" si="151"/>
        <v/>
      </c>
      <c r="IJ29" s="85" t="str">
        <f t="shared" si="152"/>
        <v/>
      </c>
      <c r="IK29" s="86"/>
      <c r="IL29" s="91" t="str">
        <f t="shared" si="153"/>
        <v/>
      </c>
      <c r="IM29" s="85" t="str">
        <f t="shared" si="154"/>
        <v/>
      </c>
      <c r="IN29" s="86"/>
      <c r="IO29" s="91" t="str">
        <f t="shared" si="155"/>
        <v/>
      </c>
      <c r="IP29" s="85" t="str">
        <f t="shared" si="156"/>
        <v/>
      </c>
      <c r="IQ29" s="86"/>
      <c r="IR29" s="91" t="str">
        <f t="shared" si="157"/>
        <v/>
      </c>
      <c r="IS29" s="85" t="str">
        <f t="shared" si="158"/>
        <v/>
      </c>
      <c r="IT29" s="86"/>
      <c r="IU29" s="91" t="str">
        <f t="shared" si="159"/>
        <v/>
      </c>
      <c r="IV29" s="85" t="str">
        <f t="shared" si="160"/>
        <v/>
      </c>
      <c r="IW29" s="86"/>
      <c r="IX29" s="91" t="str">
        <f t="shared" si="161"/>
        <v/>
      </c>
      <c r="IY29" s="85" t="str">
        <f t="shared" si="162"/>
        <v/>
      </c>
      <c r="IZ29" s="86"/>
      <c r="JA29" s="91" t="str">
        <f t="shared" si="163"/>
        <v/>
      </c>
      <c r="JB29" s="85" t="str">
        <f t="shared" si="164"/>
        <v/>
      </c>
      <c r="JC29" s="86"/>
      <c r="JD29" s="91" t="str">
        <f t="shared" si="165"/>
        <v/>
      </c>
      <c r="JE29" s="85" t="str">
        <f t="shared" si="166"/>
        <v/>
      </c>
      <c r="JF29" s="86"/>
      <c r="JG29" s="91" t="str">
        <f t="shared" si="167"/>
        <v/>
      </c>
      <c r="JH29" s="85" t="str">
        <f t="shared" si="168"/>
        <v/>
      </c>
      <c r="JI29" s="86"/>
      <c r="JJ29" s="91" t="str">
        <f t="shared" si="169"/>
        <v/>
      </c>
      <c r="JK29" s="85" t="str">
        <f t="shared" si="170"/>
        <v/>
      </c>
      <c r="JL29" s="86"/>
      <c r="JM29" s="91" t="str">
        <f t="shared" si="171"/>
        <v/>
      </c>
      <c r="JN29" s="85" t="str">
        <f t="shared" si="172"/>
        <v/>
      </c>
      <c r="JO29" s="86"/>
      <c r="JP29" s="91" t="str">
        <f t="shared" si="173"/>
        <v/>
      </c>
      <c r="JQ29" s="85" t="str">
        <f t="shared" si="174"/>
        <v/>
      </c>
      <c r="JR29" s="86"/>
      <c r="JS29" s="91" t="str">
        <f t="shared" si="175"/>
        <v/>
      </c>
      <c r="JT29" s="85" t="str">
        <f t="shared" si="176"/>
        <v/>
      </c>
      <c r="JU29" s="86"/>
      <c r="JV29" s="91" t="str">
        <f t="shared" si="177"/>
        <v/>
      </c>
      <c r="JW29" s="85" t="str">
        <f t="shared" si="178"/>
        <v/>
      </c>
      <c r="JX29" s="86"/>
      <c r="JY29" s="91" t="str">
        <f t="shared" si="179"/>
        <v/>
      </c>
      <c r="JZ29" s="85" t="str">
        <f t="shared" si="180"/>
        <v/>
      </c>
      <c r="KA29" s="86"/>
      <c r="KB29" s="91" t="str">
        <f t="shared" si="181"/>
        <v/>
      </c>
      <c r="KC29" s="85" t="str">
        <f t="shared" si="182"/>
        <v/>
      </c>
      <c r="KD29" s="86"/>
      <c r="KE29" s="91" t="str">
        <f t="shared" si="183"/>
        <v/>
      </c>
      <c r="KF29" s="85" t="str">
        <f t="shared" si="184"/>
        <v/>
      </c>
      <c r="KG29" s="86"/>
      <c r="KH29" s="91" t="str">
        <f t="shared" si="185"/>
        <v/>
      </c>
      <c r="KI29" s="85" t="str">
        <f t="shared" si="186"/>
        <v/>
      </c>
      <c r="KJ29" s="86"/>
      <c r="KK29" s="91" t="str">
        <f t="shared" si="187"/>
        <v/>
      </c>
      <c r="KL29" s="85" t="str">
        <f t="shared" si="188"/>
        <v/>
      </c>
      <c r="KM29" s="86"/>
      <c r="KN29" s="91" t="str">
        <f t="shared" si="189"/>
        <v/>
      </c>
      <c r="KO29" s="85" t="str">
        <f t="shared" si="190"/>
        <v/>
      </c>
      <c r="KP29" s="86"/>
      <c r="KQ29" s="91" t="str">
        <f t="shared" si="191"/>
        <v/>
      </c>
      <c r="KR29" s="85" t="str">
        <f t="shared" si="192"/>
        <v/>
      </c>
      <c r="KS29" s="86"/>
      <c r="KT29" s="91" t="str">
        <f t="shared" si="193"/>
        <v/>
      </c>
      <c r="KU29" s="85" t="str">
        <f t="shared" si="194"/>
        <v/>
      </c>
      <c r="KV29" s="86"/>
      <c r="KW29" s="91" t="str">
        <f t="shared" si="195"/>
        <v/>
      </c>
      <c r="KX29" s="85" t="str">
        <f t="shared" si="196"/>
        <v/>
      </c>
      <c r="KY29" s="92"/>
      <c r="KZ29" s="91" t="str">
        <f t="shared" si="197"/>
        <v/>
      </c>
      <c r="LA29" s="85" t="str">
        <f t="shared" si="198"/>
        <v/>
      </c>
      <c r="LB29" s="50">
        <f t="shared" si="218"/>
        <v>88.2</v>
      </c>
      <c r="LC29" s="57">
        <f t="shared" si="199"/>
        <v>21</v>
      </c>
      <c r="LD29" s="50">
        <f t="shared" si="207"/>
        <v>0.19579938470915331</v>
      </c>
      <c r="LE29" s="57">
        <f t="shared" si="200"/>
        <v>30</v>
      </c>
      <c r="LF29" s="50">
        <f t="shared" si="208"/>
        <v>0.6</v>
      </c>
      <c r="LG29" s="57">
        <f t="shared" si="201"/>
        <v>29</v>
      </c>
      <c r="LH29" s="58">
        <f t="shared" si="202"/>
        <v>44.627192982456144</v>
      </c>
      <c r="LI29" s="58">
        <f t="shared" si="203"/>
        <v>41.676631492622789</v>
      </c>
      <c r="LJ29" s="58">
        <f t="shared" si="204"/>
        <v>40</v>
      </c>
      <c r="LK29" s="58">
        <f t="shared" si="205"/>
        <v>76.303824475078926</v>
      </c>
      <c r="LL29" s="60">
        <f t="shared" si="206"/>
        <v>29</v>
      </c>
      <c r="LM29" s="55"/>
      <c r="LN29" s="112">
        <f t="shared" si="217"/>
        <v>11</v>
      </c>
      <c r="LO29" s="61">
        <f t="shared" si="214"/>
        <v>29</v>
      </c>
      <c r="LP29" s="64"/>
      <c r="LQ29" s="64"/>
      <c r="LR29" s="64"/>
    </row>
    <row r="30" spans="1:334" s="62" customFormat="1" ht="15" customHeight="1">
      <c r="A30" s="50">
        <f t="shared" si="211"/>
        <v>5</v>
      </c>
      <c r="B30" s="50">
        <f t="shared" si="212"/>
        <v>5</v>
      </c>
      <c r="C30" s="117">
        <v>10</v>
      </c>
      <c r="D30" s="118" t="s">
        <v>189</v>
      </c>
      <c r="E30" s="286" t="s">
        <v>629</v>
      </c>
      <c r="F30" s="76"/>
      <c r="G30" s="76"/>
      <c r="H30" s="119" t="s">
        <v>13</v>
      </c>
      <c r="I30" s="286" t="s">
        <v>551</v>
      </c>
      <c r="J30" s="119" t="s">
        <v>190</v>
      </c>
      <c r="K30" s="119" t="s">
        <v>2</v>
      </c>
      <c r="L30" s="53" t="s">
        <v>191</v>
      </c>
      <c r="M30" s="292" t="s">
        <v>35</v>
      </c>
      <c r="N30" s="86">
        <v>85</v>
      </c>
      <c r="O30" s="91">
        <f t="shared" si="0"/>
        <v>1.0274580785086977</v>
      </c>
      <c r="P30" s="85">
        <f t="shared" si="1"/>
        <v>1</v>
      </c>
      <c r="Q30" s="86"/>
      <c r="R30" s="91" t="str">
        <f t="shared" si="2"/>
        <v/>
      </c>
      <c r="S30" s="85" t="str">
        <f t="shared" si="3"/>
        <v/>
      </c>
      <c r="T30" s="56"/>
      <c r="U30" s="91" t="str">
        <f t="shared" si="4"/>
        <v/>
      </c>
      <c r="V30" s="85" t="str">
        <f t="shared" si="5"/>
        <v/>
      </c>
      <c r="W30" s="86">
        <v>95</v>
      </c>
      <c r="X30" s="91">
        <f t="shared" si="6"/>
        <v>0.94812244473631468</v>
      </c>
      <c r="Y30" s="85">
        <f t="shared" si="7"/>
        <v>1</v>
      </c>
      <c r="Z30" s="84">
        <v>81</v>
      </c>
      <c r="AA30" s="91">
        <f t="shared" si="8"/>
        <v>-8.7705801930702085E-2</v>
      </c>
      <c r="AB30" s="85">
        <f t="shared" si="9"/>
        <v>0.25</v>
      </c>
      <c r="AC30" s="56"/>
      <c r="AD30" s="91" t="str">
        <f t="shared" si="10"/>
        <v/>
      </c>
      <c r="AE30" s="85" t="str">
        <f t="shared" si="11"/>
        <v/>
      </c>
      <c r="AF30" s="86"/>
      <c r="AG30" s="91" t="str">
        <f t="shared" si="12"/>
        <v/>
      </c>
      <c r="AH30" s="85" t="str">
        <f t="shared" si="13"/>
        <v/>
      </c>
      <c r="AI30" s="86"/>
      <c r="AJ30" s="91" t="str">
        <f t="shared" si="14"/>
        <v/>
      </c>
      <c r="AK30" s="85" t="str">
        <f t="shared" si="15"/>
        <v/>
      </c>
      <c r="AL30" s="86"/>
      <c r="AM30" s="91" t="str">
        <f t="shared" si="16"/>
        <v/>
      </c>
      <c r="AN30" s="85" t="str">
        <f t="shared" si="17"/>
        <v/>
      </c>
      <c r="AO30" s="86"/>
      <c r="AP30" s="91" t="str">
        <f t="shared" si="18"/>
        <v/>
      </c>
      <c r="AQ30" s="85" t="str">
        <f t="shared" si="19"/>
        <v/>
      </c>
      <c r="AR30" s="86"/>
      <c r="AS30" s="91" t="str">
        <f t="shared" si="20"/>
        <v/>
      </c>
      <c r="AT30" s="85" t="str">
        <f t="shared" si="21"/>
        <v/>
      </c>
      <c r="AU30" s="86"/>
      <c r="AV30" s="91" t="str">
        <f t="shared" si="22"/>
        <v/>
      </c>
      <c r="AW30" s="85" t="str">
        <f t="shared" si="23"/>
        <v/>
      </c>
      <c r="AX30" s="86"/>
      <c r="AY30" s="91" t="str">
        <f t="shared" si="24"/>
        <v/>
      </c>
      <c r="AZ30" s="85" t="str">
        <f t="shared" si="25"/>
        <v/>
      </c>
      <c r="BA30" s="86"/>
      <c r="BB30" s="91" t="str">
        <f t="shared" si="26"/>
        <v/>
      </c>
      <c r="BC30" s="85" t="str">
        <f t="shared" si="27"/>
        <v/>
      </c>
      <c r="BD30" s="86"/>
      <c r="BE30" s="91" t="str">
        <f t="shared" si="28"/>
        <v/>
      </c>
      <c r="BF30" s="85" t="str">
        <f t="shared" si="29"/>
        <v/>
      </c>
      <c r="BG30" s="86"/>
      <c r="BH30" s="91" t="str">
        <f t="shared" si="30"/>
        <v/>
      </c>
      <c r="BI30" s="85" t="str">
        <f t="shared" si="31"/>
        <v/>
      </c>
      <c r="BJ30" s="86"/>
      <c r="BK30" s="91" t="str">
        <f t="shared" si="32"/>
        <v/>
      </c>
      <c r="BL30" s="85" t="str">
        <f t="shared" si="33"/>
        <v/>
      </c>
      <c r="BM30" s="56"/>
      <c r="BN30" s="91" t="str">
        <f t="shared" si="34"/>
        <v/>
      </c>
      <c r="BO30" s="85" t="str">
        <f t="shared" si="35"/>
        <v/>
      </c>
      <c r="BP30" s="51"/>
      <c r="BQ30" s="91" t="str">
        <f t="shared" si="36"/>
        <v/>
      </c>
      <c r="BR30" s="85" t="str">
        <f t="shared" si="37"/>
        <v/>
      </c>
      <c r="BS30" s="86"/>
      <c r="BT30" s="91" t="str">
        <f t="shared" si="38"/>
        <v/>
      </c>
      <c r="BU30" s="85" t="str">
        <f t="shared" si="39"/>
        <v/>
      </c>
      <c r="BV30" s="92"/>
      <c r="BW30" s="91" t="str">
        <f t="shared" si="40"/>
        <v/>
      </c>
      <c r="BX30" s="85" t="str">
        <f t="shared" si="41"/>
        <v/>
      </c>
      <c r="BY30" s="86"/>
      <c r="BZ30" s="91" t="str">
        <f t="shared" si="42"/>
        <v/>
      </c>
      <c r="CA30" s="85" t="str">
        <f t="shared" si="43"/>
        <v/>
      </c>
      <c r="CB30" s="86"/>
      <c r="CC30" s="91" t="str">
        <f t="shared" si="44"/>
        <v/>
      </c>
      <c r="CD30" s="85" t="str">
        <f t="shared" si="45"/>
        <v/>
      </c>
      <c r="CE30" s="86"/>
      <c r="CF30" s="91" t="str">
        <f t="shared" si="46"/>
        <v/>
      </c>
      <c r="CG30" s="85" t="str">
        <f t="shared" si="47"/>
        <v/>
      </c>
      <c r="CH30" s="97"/>
      <c r="CI30" s="91" t="str">
        <f t="shared" si="48"/>
        <v/>
      </c>
      <c r="CJ30" s="85" t="str">
        <f t="shared" si="49"/>
        <v/>
      </c>
      <c r="CK30" s="86"/>
      <c r="CL30" s="91" t="str">
        <f t="shared" si="50"/>
        <v/>
      </c>
      <c r="CM30" s="85" t="str">
        <f t="shared" si="51"/>
        <v/>
      </c>
      <c r="CN30" s="56"/>
      <c r="CO30" s="91" t="str">
        <f t="shared" si="52"/>
        <v/>
      </c>
      <c r="CP30" s="85" t="str">
        <f t="shared" si="53"/>
        <v/>
      </c>
      <c r="CQ30" s="86"/>
      <c r="CR30" s="91" t="str">
        <f t="shared" si="54"/>
        <v/>
      </c>
      <c r="CS30" s="85" t="str">
        <f t="shared" si="55"/>
        <v/>
      </c>
      <c r="CT30" s="86"/>
      <c r="CU30" s="91" t="str">
        <f t="shared" si="56"/>
        <v/>
      </c>
      <c r="CV30" s="85" t="str">
        <f t="shared" si="57"/>
        <v/>
      </c>
      <c r="CW30" s="86"/>
      <c r="CX30" s="91" t="str">
        <f t="shared" si="58"/>
        <v/>
      </c>
      <c r="CY30" s="85" t="str">
        <f t="shared" si="59"/>
        <v/>
      </c>
      <c r="CZ30" s="86"/>
      <c r="DA30" s="91" t="str">
        <f t="shared" si="60"/>
        <v/>
      </c>
      <c r="DB30" s="85" t="str">
        <f t="shared" si="61"/>
        <v/>
      </c>
      <c r="DC30" s="86"/>
      <c r="DD30" s="91" t="str">
        <f t="shared" si="62"/>
        <v/>
      </c>
      <c r="DE30" s="85" t="str">
        <f t="shared" si="63"/>
        <v/>
      </c>
      <c r="DF30" s="86"/>
      <c r="DG30" s="91"/>
      <c r="DH30" s="85" t="str">
        <f t="shared" si="64"/>
        <v/>
      </c>
      <c r="DI30" s="86"/>
      <c r="DJ30" s="91" t="str">
        <f t="shared" si="65"/>
        <v/>
      </c>
      <c r="DK30" s="85" t="str">
        <f t="shared" si="66"/>
        <v/>
      </c>
      <c r="DL30" s="86"/>
      <c r="DM30" s="91" t="str">
        <f t="shared" si="67"/>
        <v/>
      </c>
      <c r="DN30" s="85" t="str">
        <f t="shared" si="68"/>
        <v/>
      </c>
      <c r="DO30" s="86"/>
      <c r="DP30" s="91" t="str">
        <f t="shared" si="69"/>
        <v/>
      </c>
      <c r="DQ30" s="85" t="str">
        <f t="shared" si="70"/>
        <v/>
      </c>
      <c r="DR30" s="86"/>
      <c r="DS30" s="91" t="str">
        <f t="shared" si="71"/>
        <v/>
      </c>
      <c r="DT30" s="85" t="str">
        <f t="shared" si="72"/>
        <v/>
      </c>
      <c r="DU30" s="86"/>
      <c r="DV30" s="91" t="str">
        <f t="shared" si="73"/>
        <v/>
      </c>
      <c r="DW30" s="85" t="str">
        <f t="shared" si="74"/>
        <v/>
      </c>
      <c r="DX30" s="56"/>
      <c r="DY30" s="91" t="str">
        <f t="shared" si="75"/>
        <v/>
      </c>
      <c r="DZ30" s="85" t="str">
        <f t="shared" si="76"/>
        <v/>
      </c>
      <c r="EA30" s="86"/>
      <c r="EB30" s="91" t="str">
        <f t="shared" si="77"/>
        <v/>
      </c>
      <c r="EC30" s="85" t="str">
        <f t="shared" si="78"/>
        <v/>
      </c>
      <c r="ED30" s="86"/>
      <c r="EE30" s="91" t="str">
        <f t="shared" si="79"/>
        <v/>
      </c>
      <c r="EF30" s="85" t="str">
        <f t="shared" si="80"/>
        <v/>
      </c>
      <c r="EG30" s="86"/>
      <c r="EH30" s="91" t="str">
        <f t="shared" si="81"/>
        <v/>
      </c>
      <c r="EI30" s="85" t="str">
        <f t="shared" si="82"/>
        <v/>
      </c>
      <c r="EJ30" s="86">
        <v>86</v>
      </c>
      <c r="EK30" s="91">
        <f t="shared" si="83"/>
        <v>0.46561498303857612</v>
      </c>
      <c r="EL30" s="85">
        <f t="shared" si="84"/>
        <v>0.75</v>
      </c>
      <c r="EM30" s="86"/>
      <c r="EN30" s="91" t="str">
        <f t="shared" si="85"/>
        <v/>
      </c>
      <c r="EO30" s="85" t="str">
        <f t="shared" si="86"/>
        <v/>
      </c>
      <c r="EP30" s="86"/>
      <c r="EQ30" s="91" t="str">
        <f t="shared" si="87"/>
        <v/>
      </c>
      <c r="ER30" s="85" t="str">
        <f t="shared" si="88"/>
        <v/>
      </c>
      <c r="ES30" s="51"/>
      <c r="ET30" s="91" t="str">
        <f t="shared" si="89"/>
        <v/>
      </c>
      <c r="EU30" s="85" t="str">
        <f t="shared" si="90"/>
        <v/>
      </c>
      <c r="EV30" s="86">
        <v>93</v>
      </c>
      <c r="EW30" s="91">
        <f t="shared" si="91"/>
        <v>0.4422277808997947</v>
      </c>
      <c r="EX30" s="85">
        <f t="shared" si="92"/>
        <v>0.5</v>
      </c>
      <c r="EY30" s="86"/>
      <c r="EZ30" s="91" t="str">
        <f t="shared" si="93"/>
        <v/>
      </c>
      <c r="FA30" s="85" t="str">
        <f t="shared" si="94"/>
        <v/>
      </c>
      <c r="FB30" s="86"/>
      <c r="FC30" s="91" t="str">
        <f t="shared" si="95"/>
        <v/>
      </c>
      <c r="FD30" s="85" t="str">
        <f t="shared" si="96"/>
        <v/>
      </c>
      <c r="FE30" s="86"/>
      <c r="FF30" s="91" t="str">
        <f t="shared" si="97"/>
        <v/>
      </c>
      <c r="FG30" s="85" t="str">
        <f t="shared" si="98"/>
        <v/>
      </c>
      <c r="FH30" s="86"/>
      <c r="FI30" s="91" t="str">
        <f t="shared" si="99"/>
        <v/>
      </c>
      <c r="FJ30" s="85" t="str">
        <f t="shared" si="100"/>
        <v/>
      </c>
      <c r="FK30" s="86"/>
      <c r="FL30" s="91" t="str">
        <f t="shared" si="101"/>
        <v/>
      </c>
      <c r="FM30" s="85" t="str">
        <f t="shared" si="102"/>
        <v/>
      </c>
      <c r="FN30" s="86"/>
      <c r="FO30" s="91" t="str">
        <f t="shared" si="103"/>
        <v/>
      </c>
      <c r="FP30" s="85" t="str">
        <f t="shared" si="104"/>
        <v/>
      </c>
      <c r="FQ30" s="86"/>
      <c r="FR30" s="91" t="str">
        <f t="shared" si="105"/>
        <v/>
      </c>
      <c r="FS30" s="85" t="str">
        <f t="shared" si="106"/>
        <v/>
      </c>
      <c r="FT30" s="86"/>
      <c r="FU30" s="91" t="str">
        <f t="shared" si="107"/>
        <v/>
      </c>
      <c r="FV30" s="85" t="str">
        <f t="shared" si="108"/>
        <v/>
      </c>
      <c r="FW30" s="56"/>
      <c r="FX30" s="91" t="str">
        <f t="shared" si="109"/>
        <v/>
      </c>
      <c r="FY30" s="85" t="str">
        <f t="shared" si="110"/>
        <v/>
      </c>
      <c r="FZ30" s="86"/>
      <c r="GA30" s="91" t="str">
        <f t="shared" si="111"/>
        <v/>
      </c>
      <c r="GB30" s="85" t="str">
        <f t="shared" si="112"/>
        <v/>
      </c>
      <c r="GC30" s="92"/>
      <c r="GD30" s="91" t="str">
        <f t="shared" si="113"/>
        <v/>
      </c>
      <c r="GE30" s="85" t="str">
        <f t="shared" si="114"/>
        <v/>
      </c>
      <c r="GF30" s="86"/>
      <c r="GG30" s="91" t="str">
        <f t="shared" si="115"/>
        <v/>
      </c>
      <c r="GH30" s="85" t="str">
        <f t="shared" si="116"/>
        <v/>
      </c>
      <c r="GI30" s="86"/>
      <c r="GJ30" s="91" t="str">
        <f t="shared" si="117"/>
        <v/>
      </c>
      <c r="GK30" s="85" t="str">
        <f t="shared" si="118"/>
        <v/>
      </c>
      <c r="GL30" s="86"/>
      <c r="GM30" s="91" t="str">
        <f t="shared" si="119"/>
        <v/>
      </c>
      <c r="GN30" s="85" t="str">
        <f t="shared" si="120"/>
        <v/>
      </c>
      <c r="GO30" s="86"/>
      <c r="GP30" s="91" t="str">
        <f t="shared" si="121"/>
        <v/>
      </c>
      <c r="GQ30" s="85" t="str">
        <f t="shared" si="122"/>
        <v/>
      </c>
      <c r="GR30" s="86"/>
      <c r="GS30" s="91" t="str">
        <f t="shared" si="123"/>
        <v/>
      </c>
      <c r="GT30" s="85" t="str">
        <f t="shared" si="124"/>
        <v/>
      </c>
      <c r="GU30" s="86"/>
      <c r="GV30" s="91" t="str">
        <f t="shared" si="125"/>
        <v/>
      </c>
      <c r="GW30" s="85" t="str">
        <f t="shared" si="126"/>
        <v/>
      </c>
      <c r="GX30" s="86"/>
      <c r="GY30" s="91" t="str">
        <f t="shared" si="127"/>
        <v/>
      </c>
      <c r="GZ30" s="85" t="str">
        <f t="shared" si="128"/>
        <v/>
      </c>
      <c r="HA30" s="86"/>
      <c r="HB30" s="91" t="str">
        <f t="shared" si="129"/>
        <v/>
      </c>
      <c r="HC30" s="85" t="str">
        <f t="shared" si="130"/>
        <v/>
      </c>
      <c r="HD30" s="86"/>
      <c r="HE30" s="91" t="str">
        <f t="shared" si="131"/>
        <v/>
      </c>
      <c r="HF30" s="85" t="str">
        <f t="shared" si="132"/>
        <v/>
      </c>
      <c r="HG30" s="86"/>
      <c r="HH30" s="91" t="str">
        <f t="shared" si="133"/>
        <v/>
      </c>
      <c r="HI30" s="85" t="str">
        <f t="shared" si="134"/>
        <v/>
      </c>
      <c r="HJ30" s="86"/>
      <c r="HK30" s="91" t="str">
        <f t="shared" si="135"/>
        <v/>
      </c>
      <c r="HL30" s="85" t="str">
        <f t="shared" si="136"/>
        <v/>
      </c>
      <c r="HM30" s="86"/>
      <c r="HN30" s="91" t="str">
        <f t="shared" si="137"/>
        <v/>
      </c>
      <c r="HO30" s="85" t="str">
        <f t="shared" si="138"/>
        <v/>
      </c>
      <c r="HP30" s="86"/>
      <c r="HQ30" s="91" t="str">
        <f t="shared" si="139"/>
        <v/>
      </c>
      <c r="HR30" s="85" t="str">
        <f t="shared" si="140"/>
        <v/>
      </c>
      <c r="HS30" s="86"/>
      <c r="HT30" s="91" t="str">
        <f t="shared" si="141"/>
        <v/>
      </c>
      <c r="HU30" s="85" t="str">
        <f t="shared" si="142"/>
        <v/>
      </c>
      <c r="HV30" s="86"/>
      <c r="HW30" s="91" t="str">
        <f t="shared" si="143"/>
        <v/>
      </c>
      <c r="HX30" s="85" t="str">
        <f t="shared" si="144"/>
        <v/>
      </c>
      <c r="HY30" s="86"/>
      <c r="HZ30" s="91" t="str">
        <f t="shared" si="145"/>
        <v/>
      </c>
      <c r="IA30" s="85" t="str">
        <f t="shared" si="146"/>
        <v/>
      </c>
      <c r="IB30" s="86"/>
      <c r="IC30" s="91" t="str">
        <f t="shared" si="147"/>
        <v/>
      </c>
      <c r="ID30" s="85" t="str">
        <f t="shared" si="148"/>
        <v/>
      </c>
      <c r="IE30" s="86"/>
      <c r="IF30" s="91" t="str">
        <f t="shared" si="149"/>
        <v/>
      </c>
      <c r="IG30" s="85" t="str">
        <f t="shared" si="150"/>
        <v/>
      </c>
      <c r="IH30" s="86"/>
      <c r="II30" s="91" t="str">
        <f t="shared" si="151"/>
        <v/>
      </c>
      <c r="IJ30" s="85" t="str">
        <f t="shared" si="152"/>
        <v/>
      </c>
      <c r="IK30" s="86"/>
      <c r="IL30" s="91" t="str">
        <f t="shared" si="153"/>
        <v/>
      </c>
      <c r="IM30" s="85" t="str">
        <f t="shared" si="154"/>
        <v/>
      </c>
      <c r="IN30" s="86"/>
      <c r="IO30" s="91" t="str">
        <f t="shared" si="155"/>
        <v/>
      </c>
      <c r="IP30" s="85" t="str">
        <f t="shared" si="156"/>
        <v/>
      </c>
      <c r="IQ30" s="86"/>
      <c r="IR30" s="91" t="str">
        <f t="shared" si="157"/>
        <v/>
      </c>
      <c r="IS30" s="85" t="str">
        <f t="shared" si="158"/>
        <v/>
      </c>
      <c r="IT30" s="86"/>
      <c r="IU30" s="91" t="str">
        <f t="shared" si="159"/>
        <v/>
      </c>
      <c r="IV30" s="85" t="str">
        <f t="shared" si="160"/>
        <v/>
      </c>
      <c r="IW30" s="86"/>
      <c r="IX30" s="91" t="str">
        <f t="shared" si="161"/>
        <v/>
      </c>
      <c r="IY30" s="85" t="str">
        <f t="shared" si="162"/>
        <v/>
      </c>
      <c r="IZ30" s="86"/>
      <c r="JA30" s="91" t="str">
        <f t="shared" si="163"/>
        <v/>
      </c>
      <c r="JB30" s="85" t="str">
        <f t="shared" si="164"/>
        <v/>
      </c>
      <c r="JC30" s="86"/>
      <c r="JD30" s="91" t="str">
        <f t="shared" si="165"/>
        <v/>
      </c>
      <c r="JE30" s="85" t="str">
        <f t="shared" si="166"/>
        <v/>
      </c>
      <c r="JF30" s="86"/>
      <c r="JG30" s="91" t="str">
        <f t="shared" si="167"/>
        <v/>
      </c>
      <c r="JH30" s="85" t="str">
        <f t="shared" si="168"/>
        <v/>
      </c>
      <c r="JI30" s="86"/>
      <c r="JJ30" s="91" t="str">
        <f t="shared" si="169"/>
        <v/>
      </c>
      <c r="JK30" s="85" t="str">
        <f t="shared" si="170"/>
        <v/>
      </c>
      <c r="JL30" s="86"/>
      <c r="JM30" s="91" t="str">
        <f t="shared" si="171"/>
        <v/>
      </c>
      <c r="JN30" s="85" t="str">
        <f t="shared" si="172"/>
        <v/>
      </c>
      <c r="JO30" s="86"/>
      <c r="JP30" s="91" t="str">
        <f t="shared" si="173"/>
        <v/>
      </c>
      <c r="JQ30" s="85" t="str">
        <f t="shared" si="174"/>
        <v/>
      </c>
      <c r="JR30" s="86"/>
      <c r="JS30" s="91" t="str">
        <f t="shared" si="175"/>
        <v/>
      </c>
      <c r="JT30" s="85" t="str">
        <f t="shared" si="176"/>
        <v/>
      </c>
      <c r="JU30" s="86"/>
      <c r="JV30" s="91" t="str">
        <f t="shared" si="177"/>
        <v/>
      </c>
      <c r="JW30" s="85" t="str">
        <f t="shared" si="178"/>
        <v/>
      </c>
      <c r="JX30" s="86"/>
      <c r="JY30" s="91" t="str">
        <f t="shared" si="179"/>
        <v/>
      </c>
      <c r="JZ30" s="85" t="str">
        <f t="shared" si="180"/>
        <v/>
      </c>
      <c r="KA30" s="86"/>
      <c r="KB30" s="91" t="str">
        <f t="shared" si="181"/>
        <v/>
      </c>
      <c r="KC30" s="85" t="str">
        <f t="shared" si="182"/>
        <v/>
      </c>
      <c r="KD30" s="86"/>
      <c r="KE30" s="91" t="str">
        <f t="shared" si="183"/>
        <v/>
      </c>
      <c r="KF30" s="85" t="str">
        <f t="shared" si="184"/>
        <v/>
      </c>
      <c r="KG30" s="86"/>
      <c r="KH30" s="91" t="str">
        <f t="shared" si="185"/>
        <v/>
      </c>
      <c r="KI30" s="85" t="str">
        <f t="shared" si="186"/>
        <v/>
      </c>
      <c r="KJ30" s="86"/>
      <c r="KK30" s="91" t="str">
        <f t="shared" si="187"/>
        <v/>
      </c>
      <c r="KL30" s="85" t="str">
        <f t="shared" si="188"/>
        <v/>
      </c>
      <c r="KM30" s="86"/>
      <c r="KN30" s="91" t="str">
        <f t="shared" si="189"/>
        <v/>
      </c>
      <c r="KO30" s="85" t="str">
        <f t="shared" si="190"/>
        <v/>
      </c>
      <c r="KP30" s="86"/>
      <c r="KQ30" s="91" t="str">
        <f t="shared" si="191"/>
        <v/>
      </c>
      <c r="KR30" s="85" t="str">
        <f t="shared" si="192"/>
        <v/>
      </c>
      <c r="KS30" s="86"/>
      <c r="KT30" s="91" t="str">
        <f t="shared" si="193"/>
        <v/>
      </c>
      <c r="KU30" s="85" t="str">
        <f t="shared" si="194"/>
        <v/>
      </c>
      <c r="KV30" s="86"/>
      <c r="KW30" s="91" t="str">
        <f t="shared" si="195"/>
        <v/>
      </c>
      <c r="KX30" s="85" t="str">
        <f t="shared" si="196"/>
        <v/>
      </c>
      <c r="KY30" s="92"/>
      <c r="KZ30" s="91" t="str">
        <f t="shared" si="197"/>
        <v/>
      </c>
      <c r="LA30" s="85" t="str">
        <f t="shared" si="198"/>
        <v/>
      </c>
      <c r="LB30" s="50">
        <f t="shared" si="218"/>
        <v>88</v>
      </c>
      <c r="LC30" s="57">
        <f t="shared" si="199"/>
        <v>22</v>
      </c>
      <c r="LD30" s="50">
        <f t="shared" si="207"/>
        <v>0.55914349705053623</v>
      </c>
      <c r="LE30" s="57">
        <f t="shared" si="200"/>
        <v>15</v>
      </c>
      <c r="LF30" s="50">
        <f t="shared" si="208"/>
        <v>0.7</v>
      </c>
      <c r="LG30" s="57">
        <f t="shared" si="201"/>
        <v>19</v>
      </c>
      <c r="LH30" s="58">
        <f t="shared" si="202"/>
        <v>44.517543859649123</v>
      </c>
      <c r="LI30" s="58">
        <f t="shared" si="203"/>
        <v>45.068649108836027</v>
      </c>
      <c r="LJ30" s="58">
        <f t="shared" si="204"/>
        <v>42.5</v>
      </c>
      <c r="LK30" s="58">
        <f t="shared" si="205"/>
        <v>82.086192968485136</v>
      </c>
      <c r="LL30" s="60">
        <f t="shared" si="206"/>
        <v>18</v>
      </c>
      <c r="LM30" s="55"/>
      <c r="LN30" s="112">
        <f t="shared" si="217"/>
        <v>7</v>
      </c>
      <c r="LO30" s="61">
        <f t="shared" si="214"/>
        <v>18</v>
      </c>
      <c r="LP30" s="64"/>
      <c r="LQ30" s="64"/>
      <c r="LR30" s="64"/>
    </row>
    <row r="31" spans="1:334" s="62" customFormat="1" ht="15" customHeight="1">
      <c r="A31" s="50">
        <f t="shared" si="211"/>
        <v>5</v>
      </c>
      <c r="B31" s="50">
        <f t="shared" si="212"/>
        <v>5</v>
      </c>
      <c r="C31" s="117">
        <v>38</v>
      </c>
      <c r="D31" s="118" t="s">
        <v>192</v>
      </c>
      <c r="E31" s="286" t="s">
        <v>630</v>
      </c>
      <c r="F31" s="76"/>
      <c r="G31" s="76"/>
      <c r="H31" s="119" t="s">
        <v>13</v>
      </c>
      <c r="I31" s="286" t="s">
        <v>552</v>
      </c>
      <c r="J31" s="119" t="s">
        <v>193</v>
      </c>
      <c r="K31" s="119" t="s">
        <v>2</v>
      </c>
      <c r="L31" s="53" t="s">
        <v>194</v>
      </c>
      <c r="M31" s="292" t="s">
        <v>35</v>
      </c>
      <c r="N31" s="86"/>
      <c r="O31" s="91" t="str">
        <f t="shared" si="0"/>
        <v/>
      </c>
      <c r="P31" s="85" t="str">
        <f t="shared" si="1"/>
        <v/>
      </c>
      <c r="Q31" s="86"/>
      <c r="R31" s="91" t="str">
        <f t="shared" si="2"/>
        <v/>
      </c>
      <c r="S31" s="85" t="str">
        <f t="shared" si="3"/>
        <v/>
      </c>
      <c r="T31" s="86">
        <v>93</v>
      </c>
      <c r="U31" s="91">
        <f t="shared" si="4"/>
        <v>0.14425411105030214</v>
      </c>
      <c r="V31" s="85">
        <f t="shared" si="5"/>
        <v>0.75</v>
      </c>
      <c r="W31" s="56"/>
      <c r="X31" s="91" t="str">
        <f t="shared" si="6"/>
        <v/>
      </c>
      <c r="Y31" s="85" t="str">
        <f t="shared" si="7"/>
        <v/>
      </c>
      <c r="Z31" s="86"/>
      <c r="AA31" s="91" t="str">
        <f t="shared" si="8"/>
        <v/>
      </c>
      <c r="AB31" s="85" t="str">
        <f t="shared" si="9"/>
        <v/>
      </c>
      <c r="AC31" s="86"/>
      <c r="AD31" s="91" t="str">
        <f t="shared" si="10"/>
        <v/>
      </c>
      <c r="AE31" s="85" t="str">
        <f t="shared" si="11"/>
        <v/>
      </c>
      <c r="AF31" s="86"/>
      <c r="AG31" s="91" t="str">
        <f t="shared" si="12"/>
        <v/>
      </c>
      <c r="AH31" s="85" t="str">
        <f t="shared" si="13"/>
        <v/>
      </c>
      <c r="AI31" s="86"/>
      <c r="AJ31" s="91" t="str">
        <f t="shared" si="14"/>
        <v/>
      </c>
      <c r="AK31" s="85" t="str">
        <f t="shared" si="15"/>
        <v/>
      </c>
      <c r="AL31" s="86"/>
      <c r="AM31" s="91" t="str">
        <f t="shared" si="16"/>
        <v/>
      </c>
      <c r="AN31" s="85" t="str">
        <f t="shared" si="17"/>
        <v/>
      </c>
      <c r="AO31" s="86"/>
      <c r="AP31" s="91" t="str">
        <f t="shared" si="18"/>
        <v/>
      </c>
      <c r="AQ31" s="85" t="str">
        <f t="shared" si="19"/>
        <v/>
      </c>
      <c r="AR31" s="86"/>
      <c r="AS31" s="91" t="str">
        <f t="shared" si="20"/>
        <v/>
      </c>
      <c r="AT31" s="85" t="str">
        <f t="shared" si="21"/>
        <v/>
      </c>
      <c r="AU31" s="86"/>
      <c r="AV31" s="91" t="str">
        <f t="shared" si="22"/>
        <v/>
      </c>
      <c r="AW31" s="85" t="str">
        <f t="shared" si="23"/>
        <v/>
      </c>
      <c r="AX31" s="86"/>
      <c r="AY31" s="91" t="str">
        <f t="shared" si="24"/>
        <v/>
      </c>
      <c r="AZ31" s="85" t="str">
        <f t="shared" si="25"/>
        <v/>
      </c>
      <c r="BA31" s="86"/>
      <c r="BB31" s="91" t="str">
        <f t="shared" si="26"/>
        <v/>
      </c>
      <c r="BC31" s="85" t="str">
        <f t="shared" si="27"/>
        <v/>
      </c>
      <c r="BD31" s="86"/>
      <c r="BE31" s="91" t="str">
        <f t="shared" si="28"/>
        <v/>
      </c>
      <c r="BF31" s="85" t="str">
        <f t="shared" si="29"/>
        <v/>
      </c>
      <c r="BG31" s="86"/>
      <c r="BH31" s="91" t="str">
        <f t="shared" si="30"/>
        <v/>
      </c>
      <c r="BI31" s="85" t="str">
        <f t="shared" si="31"/>
        <v/>
      </c>
      <c r="BJ31" s="86"/>
      <c r="BK31" s="91" t="str">
        <f t="shared" si="32"/>
        <v/>
      </c>
      <c r="BL31" s="85" t="str">
        <f t="shared" si="33"/>
        <v/>
      </c>
      <c r="BM31" s="86"/>
      <c r="BN31" s="91" t="str">
        <f t="shared" si="34"/>
        <v/>
      </c>
      <c r="BO31" s="85" t="str">
        <f t="shared" si="35"/>
        <v/>
      </c>
      <c r="BP31" s="51"/>
      <c r="BQ31" s="91" t="str">
        <f t="shared" si="36"/>
        <v/>
      </c>
      <c r="BR31" s="85" t="str">
        <f t="shared" si="37"/>
        <v/>
      </c>
      <c r="BS31" s="86"/>
      <c r="BT31" s="91" t="str">
        <f t="shared" si="38"/>
        <v/>
      </c>
      <c r="BU31" s="85" t="str">
        <f t="shared" si="39"/>
        <v/>
      </c>
      <c r="BV31" s="92"/>
      <c r="BW31" s="91" t="str">
        <f t="shared" si="40"/>
        <v/>
      </c>
      <c r="BX31" s="85" t="str">
        <f t="shared" si="41"/>
        <v/>
      </c>
      <c r="BY31" s="86"/>
      <c r="BZ31" s="91" t="str">
        <f t="shared" si="42"/>
        <v/>
      </c>
      <c r="CA31" s="85" t="str">
        <f t="shared" si="43"/>
        <v/>
      </c>
      <c r="CB31" s="86"/>
      <c r="CC31" s="91" t="str">
        <f t="shared" si="44"/>
        <v/>
      </c>
      <c r="CD31" s="85" t="str">
        <f t="shared" si="45"/>
        <v/>
      </c>
      <c r="CE31" s="86"/>
      <c r="CF31" s="91" t="str">
        <f t="shared" si="46"/>
        <v/>
      </c>
      <c r="CG31" s="85" t="str">
        <f t="shared" si="47"/>
        <v/>
      </c>
      <c r="CH31" s="86"/>
      <c r="CI31" s="91" t="str">
        <f t="shared" si="48"/>
        <v/>
      </c>
      <c r="CJ31" s="85" t="str">
        <f t="shared" si="49"/>
        <v/>
      </c>
      <c r="CK31" s="86"/>
      <c r="CL31" s="91" t="str">
        <f t="shared" si="50"/>
        <v/>
      </c>
      <c r="CM31" s="85" t="str">
        <f t="shared" si="51"/>
        <v/>
      </c>
      <c r="CN31" s="86"/>
      <c r="CO31" s="91" t="str">
        <f t="shared" si="52"/>
        <v/>
      </c>
      <c r="CP31" s="85" t="str">
        <f t="shared" si="53"/>
        <v/>
      </c>
      <c r="CQ31" s="56"/>
      <c r="CR31" s="91" t="str">
        <f t="shared" si="54"/>
        <v/>
      </c>
      <c r="CS31" s="85" t="str">
        <f t="shared" si="55"/>
        <v/>
      </c>
      <c r="CT31" s="86"/>
      <c r="CU31" s="91" t="str">
        <f t="shared" si="56"/>
        <v/>
      </c>
      <c r="CV31" s="85" t="str">
        <f t="shared" si="57"/>
        <v/>
      </c>
      <c r="CW31" s="86"/>
      <c r="CX31" s="91" t="str">
        <f t="shared" si="58"/>
        <v/>
      </c>
      <c r="CY31" s="85" t="str">
        <f t="shared" si="59"/>
        <v/>
      </c>
      <c r="CZ31" s="86"/>
      <c r="DA31" s="91" t="str">
        <f t="shared" si="60"/>
        <v/>
      </c>
      <c r="DB31" s="85" t="str">
        <f t="shared" si="61"/>
        <v/>
      </c>
      <c r="DC31" s="86"/>
      <c r="DD31" s="91" t="str">
        <f t="shared" si="62"/>
        <v/>
      </c>
      <c r="DE31" s="85" t="str">
        <f t="shared" si="63"/>
        <v/>
      </c>
      <c r="DF31" s="92"/>
      <c r="DG31" s="91"/>
      <c r="DH31" s="85" t="str">
        <f t="shared" si="64"/>
        <v/>
      </c>
      <c r="DI31" s="86"/>
      <c r="DJ31" s="91" t="str">
        <f t="shared" si="65"/>
        <v/>
      </c>
      <c r="DK31" s="85" t="str">
        <f t="shared" si="66"/>
        <v/>
      </c>
      <c r="DL31" s="86">
        <v>78</v>
      </c>
      <c r="DM31" s="91">
        <f t="shared" si="67"/>
        <v>-0.20130166051947671</v>
      </c>
      <c r="DN31" s="85">
        <f t="shared" si="68"/>
        <v>0.5</v>
      </c>
      <c r="DO31" s="86"/>
      <c r="DP31" s="91" t="str">
        <f t="shared" si="69"/>
        <v/>
      </c>
      <c r="DQ31" s="85" t="str">
        <f t="shared" si="70"/>
        <v/>
      </c>
      <c r="DR31" s="86"/>
      <c r="DS31" s="91" t="str">
        <f t="shared" si="71"/>
        <v/>
      </c>
      <c r="DT31" s="85" t="str">
        <f t="shared" si="72"/>
        <v/>
      </c>
      <c r="DU31" s="86"/>
      <c r="DV31" s="91" t="str">
        <f t="shared" si="73"/>
        <v/>
      </c>
      <c r="DW31" s="85" t="str">
        <f t="shared" si="74"/>
        <v/>
      </c>
      <c r="DX31" s="86">
        <v>84</v>
      </c>
      <c r="DY31" s="91">
        <f t="shared" si="75"/>
        <v>0.40687981161807746</v>
      </c>
      <c r="DZ31" s="85">
        <f t="shared" si="76"/>
        <v>0.75</v>
      </c>
      <c r="EA31" s="86"/>
      <c r="EB31" s="91" t="str">
        <f t="shared" si="77"/>
        <v/>
      </c>
      <c r="EC31" s="85" t="str">
        <f t="shared" si="78"/>
        <v/>
      </c>
      <c r="ED31" s="86"/>
      <c r="EE31" s="91" t="str">
        <f t="shared" si="79"/>
        <v/>
      </c>
      <c r="EF31" s="85" t="str">
        <f t="shared" si="80"/>
        <v/>
      </c>
      <c r="EG31" s="86"/>
      <c r="EH31" s="91" t="str">
        <f t="shared" si="81"/>
        <v/>
      </c>
      <c r="EI31" s="85" t="str">
        <f t="shared" si="82"/>
        <v/>
      </c>
      <c r="EJ31" s="56"/>
      <c r="EK31" s="91" t="str">
        <f t="shared" si="83"/>
        <v/>
      </c>
      <c r="EL31" s="85" t="str">
        <f t="shared" si="84"/>
        <v/>
      </c>
      <c r="EM31" s="86"/>
      <c r="EN31" s="91" t="str">
        <f t="shared" si="85"/>
        <v/>
      </c>
      <c r="EO31" s="85" t="str">
        <f t="shared" si="86"/>
        <v/>
      </c>
      <c r="EP31" s="86"/>
      <c r="EQ31" s="91" t="str">
        <f t="shared" si="87"/>
        <v/>
      </c>
      <c r="ER31" s="85" t="str">
        <f t="shared" si="88"/>
        <v/>
      </c>
      <c r="ES31" s="51"/>
      <c r="ET31" s="91" t="str">
        <f t="shared" si="89"/>
        <v/>
      </c>
      <c r="EU31" s="85" t="str">
        <f t="shared" si="90"/>
        <v/>
      </c>
      <c r="EV31" s="86"/>
      <c r="EW31" s="91" t="str">
        <f t="shared" si="91"/>
        <v/>
      </c>
      <c r="EX31" s="85" t="str">
        <f t="shared" si="92"/>
        <v/>
      </c>
      <c r="EY31" s="86"/>
      <c r="EZ31" s="91" t="str">
        <f t="shared" si="93"/>
        <v/>
      </c>
      <c r="FA31" s="85" t="str">
        <f t="shared" si="94"/>
        <v/>
      </c>
      <c r="FB31" s="86"/>
      <c r="FC31" s="91" t="str">
        <f t="shared" si="95"/>
        <v/>
      </c>
      <c r="FD31" s="85" t="str">
        <f t="shared" si="96"/>
        <v/>
      </c>
      <c r="FE31" s="86"/>
      <c r="FF31" s="91" t="str">
        <f t="shared" si="97"/>
        <v/>
      </c>
      <c r="FG31" s="85" t="str">
        <f t="shared" si="98"/>
        <v/>
      </c>
      <c r="FH31" s="86"/>
      <c r="FI31" s="91" t="str">
        <f t="shared" si="99"/>
        <v/>
      </c>
      <c r="FJ31" s="85" t="str">
        <f t="shared" si="100"/>
        <v/>
      </c>
      <c r="FK31" s="86"/>
      <c r="FL31" s="91" t="str">
        <f t="shared" si="101"/>
        <v/>
      </c>
      <c r="FM31" s="85" t="str">
        <f t="shared" si="102"/>
        <v/>
      </c>
      <c r="FN31" s="86"/>
      <c r="FO31" s="91" t="str">
        <f t="shared" si="103"/>
        <v/>
      </c>
      <c r="FP31" s="85" t="str">
        <f t="shared" si="104"/>
        <v/>
      </c>
      <c r="FQ31" s="252">
        <v>81</v>
      </c>
      <c r="FR31" s="91">
        <f t="shared" si="105"/>
        <v>-0.33508312663335726</v>
      </c>
      <c r="FS31" s="85">
        <f t="shared" si="106"/>
        <v>0.25</v>
      </c>
      <c r="FT31" s="86"/>
      <c r="FU31" s="91" t="str">
        <f t="shared" si="107"/>
        <v/>
      </c>
      <c r="FV31" s="85" t="str">
        <f t="shared" si="108"/>
        <v/>
      </c>
      <c r="FW31" s="92"/>
      <c r="FX31" s="91" t="str">
        <f t="shared" si="109"/>
        <v/>
      </c>
      <c r="FY31" s="85" t="str">
        <f t="shared" si="110"/>
        <v/>
      </c>
      <c r="FZ31" s="56"/>
      <c r="GA31" s="91" t="str">
        <f t="shared" si="111"/>
        <v/>
      </c>
      <c r="GB31" s="85" t="str">
        <f t="shared" si="112"/>
        <v/>
      </c>
      <c r="GC31" s="86"/>
      <c r="GD31" s="91" t="str">
        <f t="shared" si="113"/>
        <v/>
      </c>
      <c r="GE31" s="85" t="str">
        <f t="shared" si="114"/>
        <v/>
      </c>
      <c r="GF31" s="86"/>
      <c r="GG31" s="91" t="str">
        <f t="shared" si="115"/>
        <v/>
      </c>
      <c r="GH31" s="85" t="str">
        <f t="shared" si="116"/>
        <v/>
      </c>
      <c r="GI31" s="86"/>
      <c r="GJ31" s="91" t="str">
        <f t="shared" si="117"/>
        <v/>
      </c>
      <c r="GK31" s="85" t="str">
        <f t="shared" si="118"/>
        <v/>
      </c>
      <c r="GL31" s="86"/>
      <c r="GM31" s="91" t="str">
        <f t="shared" si="119"/>
        <v/>
      </c>
      <c r="GN31" s="85" t="str">
        <f t="shared" si="120"/>
        <v/>
      </c>
      <c r="GO31" s="86"/>
      <c r="GP31" s="91" t="str">
        <f t="shared" si="121"/>
        <v/>
      </c>
      <c r="GQ31" s="85" t="str">
        <f t="shared" si="122"/>
        <v/>
      </c>
      <c r="GR31" s="86"/>
      <c r="GS31" s="91" t="str">
        <f t="shared" si="123"/>
        <v/>
      </c>
      <c r="GT31" s="85" t="str">
        <f t="shared" si="124"/>
        <v/>
      </c>
      <c r="GU31" s="92"/>
      <c r="GV31" s="91" t="str">
        <f t="shared" si="125"/>
        <v/>
      </c>
      <c r="GW31" s="85" t="str">
        <f t="shared" si="126"/>
        <v/>
      </c>
      <c r="GX31" s="86">
        <v>88</v>
      </c>
      <c r="GY31" s="91">
        <f t="shared" si="127"/>
        <v>-0.21917850187980323</v>
      </c>
      <c r="GZ31" s="85">
        <f t="shared" si="128"/>
        <v>0.5</v>
      </c>
      <c r="HA31" s="86"/>
      <c r="HB31" s="91" t="str">
        <f t="shared" si="129"/>
        <v/>
      </c>
      <c r="HC31" s="85" t="str">
        <f t="shared" si="130"/>
        <v/>
      </c>
      <c r="HD31" s="86"/>
      <c r="HE31" s="91" t="str">
        <f t="shared" si="131"/>
        <v/>
      </c>
      <c r="HF31" s="85" t="str">
        <f t="shared" si="132"/>
        <v/>
      </c>
      <c r="HG31" s="86"/>
      <c r="HH31" s="91" t="str">
        <f t="shared" si="133"/>
        <v/>
      </c>
      <c r="HI31" s="85" t="str">
        <f t="shared" si="134"/>
        <v/>
      </c>
      <c r="HJ31" s="86"/>
      <c r="HK31" s="91" t="str">
        <f t="shared" si="135"/>
        <v/>
      </c>
      <c r="HL31" s="85" t="str">
        <f t="shared" si="136"/>
        <v/>
      </c>
      <c r="HM31" s="86"/>
      <c r="HN31" s="91" t="str">
        <f t="shared" si="137"/>
        <v/>
      </c>
      <c r="HO31" s="85" t="str">
        <f t="shared" si="138"/>
        <v/>
      </c>
      <c r="HP31" s="56"/>
      <c r="HQ31" s="91" t="str">
        <f t="shared" si="139"/>
        <v/>
      </c>
      <c r="HR31" s="85" t="str">
        <f t="shared" si="140"/>
        <v/>
      </c>
      <c r="HS31" s="86"/>
      <c r="HT31" s="91" t="str">
        <f t="shared" si="141"/>
        <v/>
      </c>
      <c r="HU31" s="85" t="str">
        <f t="shared" si="142"/>
        <v/>
      </c>
      <c r="HV31" s="86"/>
      <c r="HW31" s="91" t="str">
        <f t="shared" si="143"/>
        <v/>
      </c>
      <c r="HX31" s="85" t="str">
        <f t="shared" si="144"/>
        <v/>
      </c>
      <c r="HY31" s="86"/>
      <c r="HZ31" s="91" t="str">
        <f t="shared" si="145"/>
        <v/>
      </c>
      <c r="IA31" s="85" t="str">
        <f t="shared" si="146"/>
        <v/>
      </c>
      <c r="IB31" s="86"/>
      <c r="IC31" s="91" t="str">
        <f t="shared" si="147"/>
        <v/>
      </c>
      <c r="ID31" s="85" t="str">
        <f t="shared" si="148"/>
        <v/>
      </c>
      <c r="IE31" s="86"/>
      <c r="IF31" s="91" t="str">
        <f t="shared" si="149"/>
        <v/>
      </c>
      <c r="IG31" s="85" t="str">
        <f t="shared" si="150"/>
        <v/>
      </c>
      <c r="IH31" s="86"/>
      <c r="II31" s="91" t="str">
        <f t="shared" si="151"/>
        <v/>
      </c>
      <c r="IJ31" s="85" t="str">
        <f t="shared" si="152"/>
        <v/>
      </c>
      <c r="IK31" s="86"/>
      <c r="IL31" s="91" t="str">
        <f t="shared" si="153"/>
        <v/>
      </c>
      <c r="IM31" s="85" t="str">
        <f t="shared" si="154"/>
        <v/>
      </c>
      <c r="IN31" s="86"/>
      <c r="IO31" s="91" t="str">
        <f t="shared" si="155"/>
        <v/>
      </c>
      <c r="IP31" s="85" t="str">
        <f t="shared" si="156"/>
        <v/>
      </c>
      <c r="IQ31" s="86"/>
      <c r="IR31" s="91" t="str">
        <f t="shared" si="157"/>
        <v/>
      </c>
      <c r="IS31" s="85" t="str">
        <f t="shared" si="158"/>
        <v/>
      </c>
      <c r="IT31" s="86"/>
      <c r="IU31" s="91" t="str">
        <f t="shared" si="159"/>
        <v/>
      </c>
      <c r="IV31" s="85" t="str">
        <f t="shared" si="160"/>
        <v/>
      </c>
      <c r="IW31" s="86"/>
      <c r="IX31" s="91" t="str">
        <f t="shared" si="161"/>
        <v/>
      </c>
      <c r="IY31" s="85" t="str">
        <f t="shared" si="162"/>
        <v/>
      </c>
      <c r="IZ31" s="86"/>
      <c r="JA31" s="91" t="str">
        <f t="shared" si="163"/>
        <v/>
      </c>
      <c r="JB31" s="85" t="str">
        <f t="shared" si="164"/>
        <v/>
      </c>
      <c r="JC31" s="86"/>
      <c r="JD31" s="91" t="str">
        <f t="shared" si="165"/>
        <v/>
      </c>
      <c r="JE31" s="85" t="str">
        <f t="shared" si="166"/>
        <v/>
      </c>
      <c r="JF31" s="86"/>
      <c r="JG31" s="91" t="str">
        <f t="shared" si="167"/>
        <v/>
      </c>
      <c r="JH31" s="85" t="str">
        <f t="shared" si="168"/>
        <v/>
      </c>
      <c r="JI31" s="86"/>
      <c r="JJ31" s="91" t="str">
        <f t="shared" si="169"/>
        <v/>
      </c>
      <c r="JK31" s="85" t="str">
        <f t="shared" si="170"/>
        <v/>
      </c>
      <c r="JL31" s="86"/>
      <c r="JM31" s="91" t="str">
        <f t="shared" si="171"/>
        <v/>
      </c>
      <c r="JN31" s="85" t="str">
        <f t="shared" si="172"/>
        <v/>
      </c>
      <c r="JO31" s="86"/>
      <c r="JP31" s="91" t="str">
        <f t="shared" si="173"/>
        <v/>
      </c>
      <c r="JQ31" s="85" t="str">
        <f t="shared" si="174"/>
        <v/>
      </c>
      <c r="JR31" s="86"/>
      <c r="JS31" s="91" t="str">
        <f t="shared" si="175"/>
        <v/>
      </c>
      <c r="JT31" s="85" t="str">
        <f t="shared" si="176"/>
        <v/>
      </c>
      <c r="JU31" s="86"/>
      <c r="JV31" s="91" t="str">
        <f t="shared" si="177"/>
        <v/>
      </c>
      <c r="JW31" s="85" t="str">
        <f t="shared" si="178"/>
        <v/>
      </c>
      <c r="JX31" s="86"/>
      <c r="JY31" s="91" t="str">
        <f t="shared" si="179"/>
        <v/>
      </c>
      <c r="JZ31" s="85" t="str">
        <f t="shared" si="180"/>
        <v/>
      </c>
      <c r="KA31" s="86"/>
      <c r="KB31" s="91" t="str">
        <f t="shared" si="181"/>
        <v/>
      </c>
      <c r="KC31" s="85" t="str">
        <f t="shared" si="182"/>
        <v/>
      </c>
      <c r="KD31" s="86"/>
      <c r="KE31" s="91" t="str">
        <f t="shared" si="183"/>
        <v/>
      </c>
      <c r="KF31" s="85" t="str">
        <f t="shared" si="184"/>
        <v/>
      </c>
      <c r="KG31" s="86"/>
      <c r="KH31" s="91" t="str">
        <f t="shared" si="185"/>
        <v/>
      </c>
      <c r="KI31" s="85" t="str">
        <f t="shared" si="186"/>
        <v/>
      </c>
      <c r="KJ31" s="86"/>
      <c r="KK31" s="91" t="str">
        <f t="shared" si="187"/>
        <v/>
      </c>
      <c r="KL31" s="85" t="str">
        <f t="shared" si="188"/>
        <v/>
      </c>
      <c r="KM31" s="86"/>
      <c r="KN31" s="91" t="str">
        <f t="shared" si="189"/>
        <v/>
      </c>
      <c r="KO31" s="85" t="str">
        <f t="shared" si="190"/>
        <v/>
      </c>
      <c r="KP31" s="86"/>
      <c r="KQ31" s="91" t="str">
        <f t="shared" si="191"/>
        <v/>
      </c>
      <c r="KR31" s="85" t="str">
        <f t="shared" si="192"/>
        <v/>
      </c>
      <c r="KS31" s="86"/>
      <c r="KT31" s="91" t="str">
        <f t="shared" si="193"/>
        <v/>
      </c>
      <c r="KU31" s="85" t="str">
        <f t="shared" si="194"/>
        <v/>
      </c>
      <c r="KV31" s="86"/>
      <c r="KW31" s="91" t="str">
        <f t="shared" si="195"/>
        <v/>
      </c>
      <c r="KX31" s="85" t="str">
        <f t="shared" si="196"/>
        <v/>
      </c>
      <c r="KY31" s="92"/>
      <c r="KZ31" s="91" t="str">
        <f t="shared" si="197"/>
        <v/>
      </c>
      <c r="LA31" s="85" t="str">
        <f t="shared" si="198"/>
        <v/>
      </c>
      <c r="LB31" s="50">
        <f t="shared" si="218"/>
        <v>84.8</v>
      </c>
      <c r="LC31" s="57">
        <f t="shared" si="199"/>
        <v>37</v>
      </c>
      <c r="LD31" s="50">
        <f t="shared" si="207"/>
        <v>-4.0885873272851522E-2</v>
      </c>
      <c r="LE31" s="57">
        <f t="shared" si="200"/>
        <v>39</v>
      </c>
      <c r="LF31" s="50">
        <f t="shared" si="208"/>
        <v>0.55000000000000004</v>
      </c>
      <c r="LG31" s="57">
        <f t="shared" si="201"/>
        <v>33</v>
      </c>
      <c r="LH31" s="58">
        <f t="shared" si="202"/>
        <v>42.763157894736842</v>
      </c>
      <c r="LI31" s="58">
        <f t="shared" si="203"/>
        <v>39.467044114422421</v>
      </c>
      <c r="LJ31" s="58">
        <f t="shared" si="204"/>
        <v>38.75</v>
      </c>
      <c r="LK31" s="58">
        <f t="shared" si="205"/>
        <v>70.980202009159257</v>
      </c>
      <c r="LL31" s="60">
        <f t="shared" si="206"/>
        <v>35</v>
      </c>
      <c r="LM31" s="55"/>
      <c r="LN31" s="112">
        <f t="shared" si="217"/>
        <v>15</v>
      </c>
      <c r="LO31" s="61">
        <f t="shared" si="214"/>
        <v>35</v>
      </c>
      <c r="LP31" s="64"/>
      <c r="LQ31" s="64"/>
      <c r="LR31" s="64"/>
    </row>
    <row r="32" spans="1:334" s="62" customFormat="1" ht="15" customHeight="1">
      <c r="A32" s="50">
        <f t="shared" si="211"/>
        <v>5</v>
      </c>
      <c r="B32" s="50">
        <f t="shared" si="212"/>
        <v>4</v>
      </c>
      <c r="C32" s="117">
        <v>28</v>
      </c>
      <c r="D32" s="118" t="s">
        <v>195</v>
      </c>
      <c r="E32" s="286" t="s">
        <v>631</v>
      </c>
      <c r="F32" s="76"/>
      <c r="G32" s="76"/>
      <c r="H32" s="119" t="s">
        <v>13</v>
      </c>
      <c r="I32" s="286" t="s">
        <v>553</v>
      </c>
      <c r="J32" s="119" t="s">
        <v>196</v>
      </c>
      <c r="K32" s="119" t="s">
        <v>2</v>
      </c>
      <c r="L32" s="53" t="s">
        <v>197</v>
      </c>
      <c r="M32" s="292" t="s">
        <v>35</v>
      </c>
      <c r="N32" s="86"/>
      <c r="O32" s="91" t="str">
        <f t="shared" si="0"/>
        <v/>
      </c>
      <c r="P32" s="85" t="str">
        <f t="shared" si="1"/>
        <v/>
      </c>
      <c r="Q32" s="86">
        <v>91</v>
      </c>
      <c r="R32" s="91">
        <f t="shared" si="2"/>
        <v>1.0919686063538458</v>
      </c>
      <c r="S32" s="85">
        <f t="shared" si="3"/>
        <v>1</v>
      </c>
      <c r="T32" s="86"/>
      <c r="U32" s="91" t="str">
        <f t="shared" si="4"/>
        <v/>
      </c>
      <c r="V32" s="85" t="str">
        <f t="shared" si="5"/>
        <v/>
      </c>
      <c r="W32" s="89"/>
      <c r="X32" s="91" t="str">
        <f t="shared" si="6"/>
        <v/>
      </c>
      <c r="Y32" s="85" t="str">
        <f t="shared" si="7"/>
        <v/>
      </c>
      <c r="Z32" s="86"/>
      <c r="AA32" s="91" t="str">
        <f t="shared" si="8"/>
        <v/>
      </c>
      <c r="AB32" s="85" t="str">
        <f t="shared" si="9"/>
        <v/>
      </c>
      <c r="AC32" s="86"/>
      <c r="AD32" s="91" t="str">
        <f t="shared" si="10"/>
        <v/>
      </c>
      <c r="AE32" s="85" t="str">
        <f t="shared" si="11"/>
        <v/>
      </c>
      <c r="AF32" s="86"/>
      <c r="AG32" s="91" t="str">
        <f t="shared" si="12"/>
        <v/>
      </c>
      <c r="AH32" s="85" t="str">
        <f t="shared" si="13"/>
        <v/>
      </c>
      <c r="AI32" s="86"/>
      <c r="AJ32" s="91" t="str">
        <f t="shared" si="14"/>
        <v/>
      </c>
      <c r="AK32" s="85" t="str">
        <f t="shared" si="15"/>
        <v/>
      </c>
      <c r="AL32" s="86"/>
      <c r="AM32" s="91" t="str">
        <f t="shared" si="16"/>
        <v/>
      </c>
      <c r="AN32" s="85" t="str">
        <f t="shared" si="17"/>
        <v/>
      </c>
      <c r="AO32" s="56"/>
      <c r="AP32" s="91" t="str">
        <f t="shared" si="18"/>
        <v/>
      </c>
      <c r="AQ32" s="85" t="str">
        <f t="shared" si="19"/>
        <v/>
      </c>
      <c r="AR32" s="86"/>
      <c r="AS32" s="91" t="str">
        <f t="shared" si="20"/>
        <v/>
      </c>
      <c r="AT32" s="85" t="str">
        <f t="shared" si="21"/>
        <v/>
      </c>
      <c r="AU32" s="56"/>
      <c r="AV32" s="91" t="str">
        <f t="shared" si="22"/>
        <v/>
      </c>
      <c r="AW32" s="85" t="str">
        <f t="shared" si="23"/>
        <v/>
      </c>
      <c r="AX32" s="89"/>
      <c r="AY32" s="91" t="str">
        <f t="shared" si="24"/>
        <v/>
      </c>
      <c r="AZ32" s="85" t="str">
        <f t="shared" si="25"/>
        <v/>
      </c>
      <c r="BA32" s="86"/>
      <c r="BB32" s="91" t="str">
        <f t="shared" si="26"/>
        <v/>
      </c>
      <c r="BC32" s="85" t="str">
        <f t="shared" si="27"/>
        <v/>
      </c>
      <c r="BD32" s="97"/>
      <c r="BE32" s="91" t="str">
        <f t="shared" si="28"/>
        <v/>
      </c>
      <c r="BF32" s="85" t="str">
        <f t="shared" si="29"/>
        <v/>
      </c>
      <c r="BG32" s="86"/>
      <c r="BH32" s="91" t="str">
        <f t="shared" si="30"/>
        <v/>
      </c>
      <c r="BI32" s="85" t="str">
        <f t="shared" si="31"/>
        <v/>
      </c>
      <c r="BJ32" s="89"/>
      <c r="BK32" s="91" t="str">
        <f t="shared" si="32"/>
        <v/>
      </c>
      <c r="BL32" s="85" t="str">
        <f t="shared" si="33"/>
        <v/>
      </c>
      <c r="BM32" s="86"/>
      <c r="BN32" s="91" t="str">
        <f t="shared" si="34"/>
        <v/>
      </c>
      <c r="BO32" s="85" t="str">
        <f t="shared" si="35"/>
        <v/>
      </c>
      <c r="BP32" s="51"/>
      <c r="BQ32" s="91" t="str">
        <f t="shared" si="36"/>
        <v/>
      </c>
      <c r="BR32" s="85" t="str">
        <f t="shared" si="37"/>
        <v/>
      </c>
      <c r="BS32" s="86"/>
      <c r="BT32" s="91" t="str">
        <f t="shared" si="38"/>
        <v/>
      </c>
      <c r="BU32" s="85" t="str">
        <f t="shared" si="39"/>
        <v/>
      </c>
      <c r="BV32" s="86"/>
      <c r="BW32" s="91" t="str">
        <f t="shared" si="40"/>
        <v/>
      </c>
      <c r="BX32" s="85" t="str">
        <f t="shared" si="41"/>
        <v/>
      </c>
      <c r="BY32" s="86"/>
      <c r="BZ32" s="91" t="str">
        <f t="shared" si="42"/>
        <v/>
      </c>
      <c r="CA32" s="85" t="str">
        <f t="shared" si="43"/>
        <v/>
      </c>
      <c r="CB32" s="86"/>
      <c r="CC32" s="91" t="str">
        <f t="shared" si="44"/>
        <v/>
      </c>
      <c r="CD32" s="85" t="str">
        <f t="shared" si="45"/>
        <v/>
      </c>
      <c r="CE32" s="86"/>
      <c r="CF32" s="91" t="str">
        <f t="shared" si="46"/>
        <v/>
      </c>
      <c r="CG32" s="85" t="str">
        <f t="shared" si="47"/>
        <v/>
      </c>
      <c r="CH32" s="271" t="s">
        <v>64</v>
      </c>
      <c r="CI32" s="91" t="str">
        <f t="shared" si="48"/>
        <v/>
      </c>
      <c r="CJ32" s="85" t="str">
        <f t="shared" si="49"/>
        <v/>
      </c>
      <c r="CK32" s="86"/>
      <c r="CL32" s="91" t="str">
        <f t="shared" si="50"/>
        <v/>
      </c>
      <c r="CM32" s="85" t="str">
        <f t="shared" si="51"/>
        <v/>
      </c>
      <c r="CN32" s="86"/>
      <c r="CO32" s="91" t="str">
        <f t="shared" si="52"/>
        <v/>
      </c>
      <c r="CP32" s="85" t="str">
        <f t="shared" si="53"/>
        <v/>
      </c>
      <c r="CQ32" s="86"/>
      <c r="CR32" s="91" t="str">
        <f t="shared" si="54"/>
        <v/>
      </c>
      <c r="CS32" s="85" t="str">
        <f t="shared" si="55"/>
        <v/>
      </c>
      <c r="CT32" s="86"/>
      <c r="CU32" s="91" t="str">
        <f t="shared" si="56"/>
        <v/>
      </c>
      <c r="CV32" s="85" t="str">
        <f t="shared" si="57"/>
        <v/>
      </c>
      <c r="CW32" s="86"/>
      <c r="CX32" s="91" t="str">
        <f t="shared" si="58"/>
        <v/>
      </c>
      <c r="CY32" s="85" t="str">
        <f t="shared" si="59"/>
        <v/>
      </c>
      <c r="CZ32" s="56"/>
      <c r="DA32" s="91" t="str">
        <f t="shared" si="60"/>
        <v/>
      </c>
      <c r="DB32" s="85" t="str">
        <f t="shared" si="61"/>
        <v/>
      </c>
      <c r="DC32" s="89"/>
      <c r="DD32" s="91" t="str">
        <f t="shared" si="62"/>
        <v/>
      </c>
      <c r="DE32" s="85" t="str">
        <f t="shared" si="63"/>
        <v/>
      </c>
      <c r="DF32" s="89"/>
      <c r="DG32" s="91"/>
      <c r="DH32" s="85" t="str">
        <f t="shared" si="64"/>
        <v/>
      </c>
      <c r="DI32" s="86"/>
      <c r="DJ32" s="91" t="str">
        <f t="shared" si="65"/>
        <v/>
      </c>
      <c r="DK32" s="85" t="str">
        <f t="shared" si="66"/>
        <v/>
      </c>
      <c r="DL32" s="86"/>
      <c r="DM32" s="91" t="str">
        <f t="shared" si="67"/>
        <v/>
      </c>
      <c r="DN32" s="85" t="str">
        <f t="shared" si="68"/>
        <v/>
      </c>
      <c r="DO32" s="86"/>
      <c r="DP32" s="91" t="str">
        <f t="shared" si="69"/>
        <v/>
      </c>
      <c r="DQ32" s="85" t="str">
        <f t="shared" si="70"/>
        <v/>
      </c>
      <c r="DR32" s="86"/>
      <c r="DS32" s="91" t="str">
        <f t="shared" si="71"/>
        <v/>
      </c>
      <c r="DT32" s="85" t="str">
        <f t="shared" si="72"/>
        <v/>
      </c>
      <c r="DU32" s="86">
        <v>100</v>
      </c>
      <c r="DV32" s="91">
        <f t="shared" si="73"/>
        <v>1.2922613230620934</v>
      </c>
      <c r="DW32" s="85">
        <f t="shared" si="74"/>
        <v>1</v>
      </c>
      <c r="DX32" s="86"/>
      <c r="DY32" s="91" t="str">
        <f t="shared" si="75"/>
        <v/>
      </c>
      <c r="DZ32" s="85" t="str">
        <f t="shared" si="76"/>
        <v/>
      </c>
      <c r="EA32" s="56"/>
      <c r="EB32" s="91" t="str">
        <f t="shared" si="77"/>
        <v/>
      </c>
      <c r="EC32" s="85" t="str">
        <f t="shared" si="78"/>
        <v/>
      </c>
      <c r="ED32" s="86"/>
      <c r="EE32" s="91" t="str">
        <f t="shared" si="79"/>
        <v/>
      </c>
      <c r="EF32" s="85" t="str">
        <f t="shared" si="80"/>
        <v/>
      </c>
      <c r="EG32" s="86"/>
      <c r="EH32" s="91" t="str">
        <f t="shared" si="81"/>
        <v/>
      </c>
      <c r="EI32" s="85" t="str">
        <f t="shared" si="82"/>
        <v/>
      </c>
      <c r="EJ32" s="86"/>
      <c r="EK32" s="91" t="str">
        <f t="shared" si="83"/>
        <v/>
      </c>
      <c r="EL32" s="85" t="str">
        <f t="shared" si="84"/>
        <v/>
      </c>
      <c r="EM32" s="89">
        <v>85</v>
      </c>
      <c r="EN32" s="91">
        <f t="shared" si="85"/>
        <v>0.37049696755784894</v>
      </c>
      <c r="EO32" s="85">
        <f t="shared" si="86"/>
        <v>0.5</v>
      </c>
      <c r="EP32" s="86"/>
      <c r="EQ32" s="91" t="str">
        <f t="shared" si="87"/>
        <v/>
      </c>
      <c r="ER32" s="85" t="str">
        <f t="shared" si="88"/>
        <v/>
      </c>
      <c r="ES32" s="51"/>
      <c r="ET32" s="91" t="str">
        <f t="shared" si="89"/>
        <v/>
      </c>
      <c r="EU32" s="85" t="str">
        <f t="shared" si="90"/>
        <v/>
      </c>
      <c r="EV32" s="86"/>
      <c r="EW32" s="91" t="str">
        <f t="shared" si="91"/>
        <v/>
      </c>
      <c r="EX32" s="85" t="str">
        <f t="shared" si="92"/>
        <v/>
      </c>
      <c r="EY32" s="86"/>
      <c r="EZ32" s="91" t="str">
        <f t="shared" si="93"/>
        <v/>
      </c>
      <c r="FA32" s="85" t="str">
        <f t="shared" si="94"/>
        <v/>
      </c>
      <c r="FB32" s="56"/>
      <c r="FC32" s="91" t="str">
        <f t="shared" si="95"/>
        <v/>
      </c>
      <c r="FD32" s="85" t="str">
        <f t="shared" si="96"/>
        <v/>
      </c>
      <c r="FE32" s="86"/>
      <c r="FF32" s="91" t="str">
        <f t="shared" si="97"/>
        <v/>
      </c>
      <c r="FG32" s="85" t="str">
        <f t="shared" si="98"/>
        <v/>
      </c>
      <c r="FH32" s="86"/>
      <c r="FI32" s="91" t="str">
        <f t="shared" si="99"/>
        <v/>
      </c>
      <c r="FJ32" s="85" t="str">
        <f t="shared" si="100"/>
        <v/>
      </c>
      <c r="FK32" s="86"/>
      <c r="FL32" s="91" t="str">
        <f t="shared" si="101"/>
        <v/>
      </c>
      <c r="FM32" s="85" t="str">
        <f t="shared" si="102"/>
        <v/>
      </c>
      <c r="FN32" s="86"/>
      <c r="FO32" s="91" t="str">
        <f t="shared" si="103"/>
        <v/>
      </c>
      <c r="FP32" s="85" t="str">
        <f t="shared" si="104"/>
        <v/>
      </c>
      <c r="FQ32" s="86"/>
      <c r="FR32" s="91" t="str">
        <f t="shared" si="105"/>
        <v/>
      </c>
      <c r="FS32" s="85" t="str">
        <f t="shared" si="106"/>
        <v/>
      </c>
      <c r="FT32" s="86"/>
      <c r="FU32" s="91" t="str">
        <f t="shared" si="107"/>
        <v/>
      </c>
      <c r="FV32" s="85" t="str">
        <f t="shared" si="108"/>
        <v/>
      </c>
      <c r="FW32" s="92"/>
      <c r="FX32" s="91" t="str">
        <f t="shared" si="109"/>
        <v/>
      </c>
      <c r="FY32" s="85" t="str">
        <f t="shared" si="110"/>
        <v/>
      </c>
      <c r="FZ32" s="86">
        <v>94</v>
      </c>
      <c r="GA32" s="91">
        <f t="shared" si="111"/>
        <v>0.50372140670227483</v>
      </c>
      <c r="GB32" s="85">
        <f t="shared" si="112"/>
        <v>0.75</v>
      </c>
      <c r="GC32" s="86"/>
      <c r="GD32" s="91" t="str">
        <f t="shared" si="113"/>
        <v/>
      </c>
      <c r="GE32" s="85" t="str">
        <f t="shared" si="114"/>
        <v/>
      </c>
      <c r="GF32" s="86"/>
      <c r="GG32" s="91" t="str">
        <f t="shared" si="115"/>
        <v/>
      </c>
      <c r="GH32" s="85" t="str">
        <f t="shared" si="116"/>
        <v/>
      </c>
      <c r="GI32" s="86"/>
      <c r="GJ32" s="91" t="str">
        <f t="shared" si="117"/>
        <v/>
      </c>
      <c r="GK32" s="85" t="str">
        <f t="shared" si="118"/>
        <v/>
      </c>
      <c r="GL32" s="86"/>
      <c r="GM32" s="91" t="str">
        <f t="shared" si="119"/>
        <v/>
      </c>
      <c r="GN32" s="85" t="str">
        <f t="shared" si="120"/>
        <v/>
      </c>
      <c r="GO32" s="86"/>
      <c r="GP32" s="91" t="str">
        <f t="shared" si="121"/>
        <v/>
      </c>
      <c r="GQ32" s="85" t="str">
        <f t="shared" si="122"/>
        <v/>
      </c>
      <c r="GR32" s="56"/>
      <c r="GS32" s="91" t="str">
        <f t="shared" si="123"/>
        <v/>
      </c>
      <c r="GT32" s="85" t="str">
        <f t="shared" si="124"/>
        <v/>
      </c>
      <c r="GU32" s="86"/>
      <c r="GV32" s="91" t="str">
        <f t="shared" si="125"/>
        <v/>
      </c>
      <c r="GW32" s="85" t="str">
        <f t="shared" si="126"/>
        <v/>
      </c>
      <c r="GX32" s="86"/>
      <c r="GY32" s="91" t="str">
        <f t="shared" si="127"/>
        <v/>
      </c>
      <c r="GZ32" s="85" t="str">
        <f t="shared" si="128"/>
        <v/>
      </c>
      <c r="HA32" s="86"/>
      <c r="HB32" s="91" t="str">
        <f t="shared" si="129"/>
        <v/>
      </c>
      <c r="HC32" s="85" t="str">
        <f t="shared" si="130"/>
        <v/>
      </c>
      <c r="HD32" s="92"/>
      <c r="HE32" s="91" t="str">
        <f t="shared" si="131"/>
        <v/>
      </c>
      <c r="HF32" s="85" t="str">
        <f t="shared" si="132"/>
        <v/>
      </c>
      <c r="HG32" s="86"/>
      <c r="HH32" s="91" t="str">
        <f t="shared" si="133"/>
        <v/>
      </c>
      <c r="HI32" s="85" t="str">
        <f t="shared" si="134"/>
        <v/>
      </c>
      <c r="HJ32" s="86"/>
      <c r="HK32" s="91" t="str">
        <f t="shared" si="135"/>
        <v/>
      </c>
      <c r="HL32" s="85" t="str">
        <f t="shared" si="136"/>
        <v/>
      </c>
      <c r="HM32" s="86"/>
      <c r="HN32" s="91" t="str">
        <f t="shared" si="137"/>
        <v/>
      </c>
      <c r="HO32" s="85" t="str">
        <f t="shared" si="138"/>
        <v/>
      </c>
      <c r="HP32" s="86"/>
      <c r="HQ32" s="91" t="str">
        <f t="shared" si="139"/>
        <v/>
      </c>
      <c r="HR32" s="85" t="str">
        <f t="shared" si="140"/>
        <v/>
      </c>
      <c r="HS32" s="86"/>
      <c r="HT32" s="91" t="str">
        <f t="shared" si="141"/>
        <v/>
      </c>
      <c r="HU32" s="85" t="str">
        <f t="shared" si="142"/>
        <v/>
      </c>
      <c r="HV32" s="86"/>
      <c r="HW32" s="91" t="str">
        <f t="shared" si="143"/>
        <v/>
      </c>
      <c r="HX32" s="85" t="str">
        <f t="shared" si="144"/>
        <v/>
      </c>
      <c r="HY32" s="86"/>
      <c r="HZ32" s="91" t="str">
        <f t="shared" si="145"/>
        <v/>
      </c>
      <c r="IA32" s="85" t="str">
        <f t="shared" si="146"/>
        <v/>
      </c>
      <c r="IB32" s="86"/>
      <c r="IC32" s="91" t="str">
        <f t="shared" si="147"/>
        <v/>
      </c>
      <c r="ID32" s="85" t="str">
        <f t="shared" si="148"/>
        <v/>
      </c>
      <c r="IE32" s="86"/>
      <c r="IF32" s="91" t="str">
        <f t="shared" si="149"/>
        <v/>
      </c>
      <c r="IG32" s="85" t="str">
        <f t="shared" si="150"/>
        <v/>
      </c>
      <c r="IH32" s="86"/>
      <c r="II32" s="91" t="str">
        <f t="shared" si="151"/>
        <v/>
      </c>
      <c r="IJ32" s="85" t="str">
        <f t="shared" si="152"/>
        <v/>
      </c>
      <c r="IK32" s="86"/>
      <c r="IL32" s="91" t="str">
        <f t="shared" si="153"/>
        <v/>
      </c>
      <c r="IM32" s="85" t="str">
        <f t="shared" si="154"/>
        <v/>
      </c>
      <c r="IN32" s="86"/>
      <c r="IO32" s="91" t="str">
        <f t="shared" si="155"/>
        <v/>
      </c>
      <c r="IP32" s="85" t="str">
        <f t="shared" si="156"/>
        <v/>
      </c>
      <c r="IQ32" s="86"/>
      <c r="IR32" s="91" t="str">
        <f t="shared" si="157"/>
        <v/>
      </c>
      <c r="IS32" s="85" t="str">
        <f t="shared" si="158"/>
        <v/>
      </c>
      <c r="IT32" s="86"/>
      <c r="IU32" s="91" t="str">
        <f t="shared" si="159"/>
        <v/>
      </c>
      <c r="IV32" s="85" t="str">
        <f t="shared" si="160"/>
        <v/>
      </c>
      <c r="IW32" s="86"/>
      <c r="IX32" s="91" t="str">
        <f t="shared" si="161"/>
        <v/>
      </c>
      <c r="IY32" s="85" t="str">
        <f t="shared" si="162"/>
        <v/>
      </c>
      <c r="IZ32" s="86"/>
      <c r="JA32" s="91" t="str">
        <f t="shared" si="163"/>
        <v/>
      </c>
      <c r="JB32" s="85" t="str">
        <f t="shared" si="164"/>
        <v/>
      </c>
      <c r="JC32" s="86"/>
      <c r="JD32" s="91" t="str">
        <f t="shared" si="165"/>
        <v/>
      </c>
      <c r="JE32" s="85" t="str">
        <f t="shared" si="166"/>
        <v/>
      </c>
      <c r="JF32" s="86"/>
      <c r="JG32" s="91" t="str">
        <f t="shared" si="167"/>
        <v/>
      </c>
      <c r="JH32" s="85" t="str">
        <f t="shared" si="168"/>
        <v/>
      </c>
      <c r="JI32" s="86"/>
      <c r="JJ32" s="91" t="str">
        <f t="shared" si="169"/>
        <v/>
      </c>
      <c r="JK32" s="85" t="str">
        <f t="shared" si="170"/>
        <v/>
      </c>
      <c r="JL32" s="86"/>
      <c r="JM32" s="91" t="str">
        <f t="shared" si="171"/>
        <v/>
      </c>
      <c r="JN32" s="85" t="str">
        <f t="shared" si="172"/>
        <v/>
      </c>
      <c r="JO32" s="86"/>
      <c r="JP32" s="91" t="str">
        <f t="shared" si="173"/>
        <v/>
      </c>
      <c r="JQ32" s="85" t="str">
        <f t="shared" si="174"/>
        <v/>
      </c>
      <c r="JR32" s="86"/>
      <c r="JS32" s="91" t="str">
        <f t="shared" si="175"/>
        <v/>
      </c>
      <c r="JT32" s="85" t="str">
        <f t="shared" si="176"/>
        <v/>
      </c>
      <c r="JU32" s="86"/>
      <c r="JV32" s="91" t="str">
        <f t="shared" si="177"/>
        <v/>
      </c>
      <c r="JW32" s="85" t="str">
        <f t="shared" si="178"/>
        <v/>
      </c>
      <c r="JX32" s="86"/>
      <c r="JY32" s="91" t="str">
        <f t="shared" si="179"/>
        <v/>
      </c>
      <c r="JZ32" s="85" t="str">
        <f t="shared" si="180"/>
        <v/>
      </c>
      <c r="KA32" s="86"/>
      <c r="KB32" s="91" t="str">
        <f t="shared" si="181"/>
        <v/>
      </c>
      <c r="KC32" s="85" t="str">
        <f t="shared" si="182"/>
        <v/>
      </c>
      <c r="KD32" s="86"/>
      <c r="KE32" s="91" t="str">
        <f t="shared" si="183"/>
        <v/>
      </c>
      <c r="KF32" s="85" t="str">
        <f t="shared" si="184"/>
        <v/>
      </c>
      <c r="KG32" s="86"/>
      <c r="KH32" s="91" t="str">
        <f t="shared" si="185"/>
        <v/>
      </c>
      <c r="KI32" s="85" t="str">
        <f t="shared" si="186"/>
        <v/>
      </c>
      <c r="KJ32" s="86"/>
      <c r="KK32" s="91" t="str">
        <f t="shared" si="187"/>
        <v/>
      </c>
      <c r="KL32" s="85" t="str">
        <f t="shared" si="188"/>
        <v/>
      </c>
      <c r="KM32" s="86"/>
      <c r="KN32" s="91" t="str">
        <f t="shared" si="189"/>
        <v/>
      </c>
      <c r="KO32" s="85" t="str">
        <f t="shared" si="190"/>
        <v/>
      </c>
      <c r="KP32" s="86"/>
      <c r="KQ32" s="91" t="str">
        <f t="shared" si="191"/>
        <v/>
      </c>
      <c r="KR32" s="85" t="str">
        <f t="shared" si="192"/>
        <v/>
      </c>
      <c r="KS32" s="86"/>
      <c r="KT32" s="91" t="str">
        <f t="shared" si="193"/>
        <v/>
      </c>
      <c r="KU32" s="85" t="str">
        <f t="shared" si="194"/>
        <v/>
      </c>
      <c r="KV32" s="86"/>
      <c r="KW32" s="91" t="str">
        <f t="shared" si="195"/>
        <v/>
      </c>
      <c r="KX32" s="85" t="str">
        <f t="shared" si="196"/>
        <v/>
      </c>
      <c r="KY32" s="92"/>
      <c r="KZ32" s="91" t="str">
        <f t="shared" si="197"/>
        <v/>
      </c>
      <c r="LA32" s="85" t="str">
        <f t="shared" si="198"/>
        <v/>
      </c>
      <c r="LB32" s="50">
        <f t="shared" si="218"/>
        <v>92.5</v>
      </c>
      <c r="LC32" s="57">
        <f t="shared" si="199"/>
        <v>10</v>
      </c>
      <c r="LD32" s="50">
        <f t="shared" si="207"/>
        <v>0.81461207591901585</v>
      </c>
      <c r="LE32" s="57">
        <f t="shared" si="200"/>
        <v>7</v>
      </c>
      <c r="LF32" s="50">
        <f t="shared" si="208"/>
        <v>0.8125</v>
      </c>
      <c r="LG32" s="57">
        <f t="shared" si="201"/>
        <v>9</v>
      </c>
      <c r="LH32" s="58">
        <f t="shared" si="202"/>
        <v>46.984649122807014</v>
      </c>
      <c r="LI32" s="58">
        <f t="shared" si="203"/>
        <v>47.453589143578256</v>
      </c>
      <c r="LJ32" s="58">
        <f t="shared" si="204"/>
        <v>45.3125</v>
      </c>
      <c r="LK32" s="58">
        <f t="shared" si="205"/>
        <v>89.75073826638527</v>
      </c>
      <c r="LL32" s="60">
        <f t="shared" si="206"/>
        <v>7</v>
      </c>
      <c r="LM32" s="55"/>
      <c r="LN32" s="112">
        <f t="shared" si="217"/>
        <v>2</v>
      </c>
      <c r="LO32" s="61">
        <f t="shared" si="214"/>
        <v>7</v>
      </c>
      <c r="LP32" s="64"/>
      <c r="LQ32" s="64"/>
      <c r="LR32" s="64"/>
    </row>
    <row r="33" spans="1:334" s="62" customFormat="1" ht="15" customHeight="1">
      <c r="A33" s="50">
        <f t="shared" si="211"/>
        <v>6</v>
      </c>
      <c r="B33" s="50">
        <f t="shared" si="212"/>
        <v>5</v>
      </c>
      <c r="C33" s="117">
        <v>30</v>
      </c>
      <c r="D33" s="118" t="s">
        <v>198</v>
      </c>
      <c r="E33" s="286" t="s">
        <v>632</v>
      </c>
      <c r="F33" s="76"/>
      <c r="G33" s="76"/>
      <c r="H33" s="119" t="s">
        <v>13</v>
      </c>
      <c r="I33" s="286" t="s">
        <v>554</v>
      </c>
      <c r="J33" s="119" t="s">
        <v>199</v>
      </c>
      <c r="K33" s="119" t="s">
        <v>2</v>
      </c>
      <c r="L33" s="53" t="s">
        <v>200</v>
      </c>
      <c r="M33" s="292" t="s">
        <v>35</v>
      </c>
      <c r="N33" s="97"/>
      <c r="O33" s="91" t="str">
        <f t="shared" si="0"/>
        <v/>
      </c>
      <c r="P33" s="85" t="str">
        <f t="shared" si="1"/>
        <v/>
      </c>
      <c r="Q33" s="86"/>
      <c r="R33" s="91" t="str">
        <f t="shared" si="2"/>
        <v/>
      </c>
      <c r="S33" s="85" t="str">
        <f t="shared" si="3"/>
        <v/>
      </c>
      <c r="T33" s="86"/>
      <c r="U33" s="91" t="str">
        <f t="shared" si="4"/>
        <v/>
      </c>
      <c r="V33" s="85" t="str">
        <f t="shared" si="5"/>
        <v/>
      </c>
      <c r="W33" s="89"/>
      <c r="X33" s="91" t="str">
        <f t="shared" si="6"/>
        <v/>
      </c>
      <c r="Y33" s="85" t="str">
        <f t="shared" si="7"/>
        <v/>
      </c>
      <c r="Z33" s="84">
        <v>85</v>
      </c>
      <c r="AA33" s="91">
        <f t="shared" si="8"/>
        <v>0.49699954427398407</v>
      </c>
      <c r="AB33" s="85">
        <f>IFERROR((Z$107-RANK(Z33,(Z$5:Z$103),0))/(Z$107-1),"")</f>
        <v>0.75</v>
      </c>
      <c r="AC33" s="86"/>
      <c r="AD33" s="91" t="str">
        <f t="shared" si="10"/>
        <v/>
      </c>
      <c r="AE33" s="85" t="str">
        <f t="shared" si="11"/>
        <v/>
      </c>
      <c r="AF33" s="86"/>
      <c r="AG33" s="91" t="str">
        <f t="shared" si="12"/>
        <v/>
      </c>
      <c r="AH33" s="85" t="str">
        <f t="shared" si="13"/>
        <v/>
      </c>
      <c r="AI33" s="86"/>
      <c r="AJ33" s="91" t="str">
        <f t="shared" si="14"/>
        <v/>
      </c>
      <c r="AK33" s="85" t="str">
        <f t="shared" si="15"/>
        <v/>
      </c>
      <c r="AL33" s="86"/>
      <c r="AM33" s="91" t="str">
        <f t="shared" si="16"/>
        <v/>
      </c>
      <c r="AN33" s="85" t="str">
        <f t="shared" si="17"/>
        <v/>
      </c>
      <c r="AO33" s="86"/>
      <c r="AP33" s="91" t="str">
        <f t="shared" si="18"/>
        <v/>
      </c>
      <c r="AQ33" s="85" t="str">
        <f t="shared" si="19"/>
        <v/>
      </c>
      <c r="AR33" s="86"/>
      <c r="AS33" s="91" t="str">
        <f t="shared" si="20"/>
        <v/>
      </c>
      <c r="AT33" s="85" t="str">
        <f t="shared" si="21"/>
        <v/>
      </c>
      <c r="AU33" s="86"/>
      <c r="AV33" s="91" t="str">
        <f t="shared" si="22"/>
        <v/>
      </c>
      <c r="AW33" s="85" t="str">
        <f t="shared" si="23"/>
        <v/>
      </c>
      <c r="AX33" s="89"/>
      <c r="AY33" s="91" t="str">
        <f t="shared" si="24"/>
        <v/>
      </c>
      <c r="AZ33" s="85" t="str">
        <f t="shared" si="25"/>
        <v/>
      </c>
      <c r="BA33" s="86"/>
      <c r="BB33" s="91" t="str">
        <f t="shared" si="26"/>
        <v/>
      </c>
      <c r="BC33" s="85" t="str">
        <f t="shared" si="27"/>
        <v/>
      </c>
      <c r="BD33" s="86"/>
      <c r="BE33" s="91" t="str">
        <f t="shared" si="28"/>
        <v/>
      </c>
      <c r="BF33" s="85" t="str">
        <f t="shared" si="29"/>
        <v/>
      </c>
      <c r="BG33" s="86"/>
      <c r="BH33" s="91" t="str">
        <f t="shared" si="30"/>
        <v/>
      </c>
      <c r="BI33" s="85" t="str">
        <f t="shared" si="31"/>
        <v/>
      </c>
      <c r="BJ33" s="56"/>
      <c r="BK33" s="91" t="str">
        <f t="shared" si="32"/>
        <v/>
      </c>
      <c r="BL33" s="85" t="str">
        <f t="shared" si="33"/>
        <v/>
      </c>
      <c r="BM33" s="86"/>
      <c r="BN33" s="91" t="str">
        <f t="shared" si="34"/>
        <v/>
      </c>
      <c r="BO33" s="85" t="str">
        <f t="shared" si="35"/>
        <v/>
      </c>
      <c r="BP33" s="51"/>
      <c r="BQ33" s="91" t="str">
        <f t="shared" si="36"/>
        <v/>
      </c>
      <c r="BR33" s="85" t="str">
        <f t="shared" si="37"/>
        <v/>
      </c>
      <c r="BS33" s="86"/>
      <c r="BT33" s="91" t="str">
        <f t="shared" si="38"/>
        <v/>
      </c>
      <c r="BU33" s="85" t="str">
        <f t="shared" si="39"/>
        <v/>
      </c>
      <c r="BV33" s="252">
        <v>90</v>
      </c>
      <c r="BW33" s="91">
        <f t="shared" si="40"/>
        <v>0.60043547363484218</v>
      </c>
      <c r="BX33" s="85">
        <f t="shared" si="41"/>
        <v>0.83333333333333337</v>
      </c>
      <c r="BY33" s="86"/>
      <c r="BZ33" s="91" t="str">
        <f t="shared" si="42"/>
        <v/>
      </c>
      <c r="CA33" s="85" t="str">
        <f t="shared" si="43"/>
        <v/>
      </c>
      <c r="CB33" s="86"/>
      <c r="CC33" s="91" t="str">
        <f t="shared" si="44"/>
        <v/>
      </c>
      <c r="CD33" s="85" t="str">
        <f t="shared" si="45"/>
        <v/>
      </c>
      <c r="CE33" s="86"/>
      <c r="CF33" s="91" t="str">
        <f t="shared" si="46"/>
        <v/>
      </c>
      <c r="CG33" s="85" t="str">
        <f t="shared" si="47"/>
        <v/>
      </c>
      <c r="CH33" s="86"/>
      <c r="CI33" s="91" t="str">
        <f t="shared" si="48"/>
        <v/>
      </c>
      <c r="CJ33" s="85" t="str">
        <f t="shared" si="49"/>
        <v/>
      </c>
      <c r="CK33" s="86"/>
      <c r="CL33" s="91" t="str">
        <f t="shared" si="50"/>
        <v/>
      </c>
      <c r="CM33" s="85" t="str">
        <f t="shared" si="51"/>
        <v/>
      </c>
      <c r="CN33" s="86"/>
      <c r="CO33" s="91" t="str">
        <f t="shared" si="52"/>
        <v/>
      </c>
      <c r="CP33" s="85" t="str">
        <f t="shared" si="53"/>
        <v/>
      </c>
      <c r="CQ33" s="86"/>
      <c r="CR33" s="91" t="str">
        <f t="shared" si="54"/>
        <v/>
      </c>
      <c r="CS33" s="85" t="str">
        <f t="shared" si="55"/>
        <v/>
      </c>
      <c r="CT33" s="86"/>
      <c r="CU33" s="91" t="str">
        <f t="shared" si="56"/>
        <v/>
      </c>
      <c r="CV33" s="85" t="str">
        <f t="shared" si="57"/>
        <v/>
      </c>
      <c r="CW33" s="56"/>
      <c r="CX33" s="91" t="str">
        <f t="shared" si="58"/>
        <v/>
      </c>
      <c r="CY33" s="85" t="str">
        <f t="shared" si="59"/>
        <v/>
      </c>
      <c r="CZ33" s="86"/>
      <c r="DA33" s="91" t="str">
        <f t="shared" si="60"/>
        <v/>
      </c>
      <c r="DB33" s="85" t="str">
        <f t="shared" si="61"/>
        <v/>
      </c>
      <c r="DC33" s="89"/>
      <c r="DD33" s="91" t="str">
        <f t="shared" si="62"/>
        <v/>
      </c>
      <c r="DE33" s="85" t="str">
        <f t="shared" si="63"/>
        <v/>
      </c>
      <c r="DF33" s="89"/>
      <c r="DG33" s="91"/>
      <c r="DH33" s="85" t="str">
        <f t="shared" si="64"/>
        <v/>
      </c>
      <c r="DI33" s="86"/>
      <c r="DJ33" s="91" t="str">
        <f t="shared" si="65"/>
        <v/>
      </c>
      <c r="DK33" s="85" t="str">
        <f t="shared" si="66"/>
        <v/>
      </c>
      <c r="DL33" s="56"/>
      <c r="DM33" s="91" t="str">
        <f t="shared" si="67"/>
        <v/>
      </c>
      <c r="DN33" s="85" t="str">
        <f t="shared" si="68"/>
        <v/>
      </c>
      <c r="DO33" s="86"/>
      <c r="DP33" s="91" t="str">
        <f t="shared" si="69"/>
        <v/>
      </c>
      <c r="DQ33" s="85" t="str">
        <f t="shared" si="70"/>
        <v/>
      </c>
      <c r="DR33" s="86"/>
      <c r="DS33" s="91" t="str">
        <f t="shared" si="71"/>
        <v/>
      </c>
      <c r="DT33" s="85" t="str">
        <f t="shared" si="72"/>
        <v/>
      </c>
      <c r="DU33" s="86">
        <v>90</v>
      </c>
      <c r="DV33" s="91">
        <f t="shared" si="73"/>
        <v>0.54958240176203998</v>
      </c>
      <c r="DW33" s="85">
        <f t="shared" si="74"/>
        <v>0.75</v>
      </c>
      <c r="DX33" s="86"/>
      <c r="DY33" s="91" t="str">
        <f t="shared" si="75"/>
        <v/>
      </c>
      <c r="DZ33" s="85" t="str">
        <f t="shared" si="76"/>
        <v/>
      </c>
      <c r="EA33" s="86"/>
      <c r="EB33" s="91" t="str">
        <f t="shared" si="77"/>
        <v/>
      </c>
      <c r="EC33" s="85" t="str">
        <f t="shared" si="78"/>
        <v/>
      </c>
      <c r="ED33" s="271" t="s">
        <v>80</v>
      </c>
      <c r="EE33" s="91" t="str">
        <f t="shared" si="79"/>
        <v/>
      </c>
      <c r="EF33" s="85" t="str">
        <f t="shared" si="80"/>
        <v/>
      </c>
      <c r="EG33" s="86"/>
      <c r="EH33" s="91" t="str">
        <f t="shared" si="81"/>
        <v/>
      </c>
      <c r="EI33" s="85" t="str">
        <f t="shared" si="82"/>
        <v/>
      </c>
      <c r="EJ33" s="86"/>
      <c r="EK33" s="91" t="str">
        <f t="shared" si="83"/>
        <v/>
      </c>
      <c r="EL33" s="85" t="str">
        <f t="shared" si="84"/>
        <v/>
      </c>
      <c r="EM33" s="89"/>
      <c r="EN33" s="91" t="str">
        <f t="shared" si="85"/>
        <v/>
      </c>
      <c r="EO33" s="85" t="str">
        <f t="shared" si="86"/>
        <v/>
      </c>
      <c r="EP33" s="86"/>
      <c r="EQ33" s="91" t="str">
        <f t="shared" si="87"/>
        <v/>
      </c>
      <c r="ER33" s="85" t="str">
        <f t="shared" si="88"/>
        <v/>
      </c>
      <c r="ES33" s="51">
        <v>83</v>
      </c>
      <c r="ET33" s="91">
        <f t="shared" si="89"/>
        <v>-0.34696575154441917</v>
      </c>
      <c r="EU33" s="85">
        <f t="shared" si="90"/>
        <v>0.33333333333333331</v>
      </c>
      <c r="EV33" s="86"/>
      <c r="EW33" s="91" t="str">
        <f t="shared" si="91"/>
        <v/>
      </c>
      <c r="EX33" s="85" t="str">
        <f t="shared" si="92"/>
        <v/>
      </c>
      <c r="EY33" s="86"/>
      <c r="EZ33" s="91" t="str">
        <f t="shared" si="93"/>
        <v/>
      </c>
      <c r="FA33" s="85" t="str">
        <f t="shared" si="94"/>
        <v/>
      </c>
      <c r="FB33" s="89"/>
      <c r="FC33" s="91" t="str">
        <f t="shared" si="95"/>
        <v/>
      </c>
      <c r="FD33" s="85" t="str">
        <f t="shared" si="96"/>
        <v/>
      </c>
      <c r="FE33" s="86"/>
      <c r="FF33" s="91" t="str">
        <f t="shared" si="97"/>
        <v/>
      </c>
      <c r="FG33" s="85" t="str">
        <f t="shared" si="98"/>
        <v/>
      </c>
      <c r="FH33" s="86"/>
      <c r="FI33" s="91" t="str">
        <f t="shared" si="99"/>
        <v/>
      </c>
      <c r="FJ33" s="85" t="str">
        <f t="shared" si="100"/>
        <v/>
      </c>
      <c r="FK33" s="86"/>
      <c r="FL33" s="91" t="str">
        <f t="shared" si="101"/>
        <v/>
      </c>
      <c r="FM33" s="85" t="str">
        <f t="shared" si="102"/>
        <v/>
      </c>
      <c r="FN33" s="86"/>
      <c r="FO33" s="91" t="str">
        <f t="shared" si="103"/>
        <v/>
      </c>
      <c r="FP33" s="85" t="str">
        <f t="shared" si="104"/>
        <v/>
      </c>
      <c r="FQ33" s="252">
        <v>87</v>
      </c>
      <c r="FR33" s="91">
        <f t="shared" si="105"/>
        <v>0.50262468995003384</v>
      </c>
      <c r="FS33" s="85">
        <f t="shared" si="106"/>
        <v>0.75</v>
      </c>
      <c r="FT33" s="86"/>
      <c r="FU33" s="91" t="str">
        <f t="shared" si="107"/>
        <v/>
      </c>
      <c r="FV33" s="85" t="str">
        <f t="shared" si="108"/>
        <v/>
      </c>
      <c r="FW33" s="92"/>
      <c r="FX33" s="91" t="str">
        <f t="shared" si="109"/>
        <v/>
      </c>
      <c r="FY33" s="85" t="str">
        <f t="shared" si="110"/>
        <v/>
      </c>
      <c r="FZ33" s="86"/>
      <c r="GA33" s="91" t="str">
        <f t="shared" si="111"/>
        <v/>
      </c>
      <c r="GB33" s="85" t="str">
        <f t="shared" si="112"/>
        <v/>
      </c>
      <c r="GC33" s="86"/>
      <c r="GD33" s="91" t="str">
        <f t="shared" si="113"/>
        <v/>
      </c>
      <c r="GE33" s="85" t="str">
        <f t="shared" si="114"/>
        <v/>
      </c>
      <c r="GF33" s="86"/>
      <c r="GG33" s="91" t="str">
        <f t="shared" si="115"/>
        <v/>
      </c>
      <c r="GH33" s="85" t="str">
        <f t="shared" si="116"/>
        <v/>
      </c>
      <c r="GI33" s="86"/>
      <c r="GJ33" s="91" t="str">
        <f t="shared" si="117"/>
        <v/>
      </c>
      <c r="GK33" s="85" t="str">
        <f t="shared" si="118"/>
        <v/>
      </c>
      <c r="GL33" s="86"/>
      <c r="GM33" s="91" t="str">
        <f t="shared" si="119"/>
        <v/>
      </c>
      <c r="GN33" s="85" t="str">
        <f t="shared" si="120"/>
        <v/>
      </c>
      <c r="GO33" s="56"/>
      <c r="GP33" s="91" t="str">
        <f t="shared" si="121"/>
        <v/>
      </c>
      <c r="GQ33" s="85" t="str">
        <f t="shared" si="122"/>
        <v/>
      </c>
      <c r="GR33" s="86"/>
      <c r="GS33" s="91" t="str">
        <f t="shared" si="123"/>
        <v/>
      </c>
      <c r="GT33" s="85" t="str">
        <f t="shared" si="124"/>
        <v/>
      </c>
      <c r="GU33" s="86"/>
      <c r="GV33" s="91" t="str">
        <f t="shared" si="125"/>
        <v/>
      </c>
      <c r="GW33" s="85" t="str">
        <f t="shared" si="126"/>
        <v/>
      </c>
      <c r="GX33" s="86"/>
      <c r="GY33" s="91" t="str">
        <f t="shared" si="127"/>
        <v/>
      </c>
      <c r="GZ33" s="85" t="str">
        <f t="shared" si="128"/>
        <v/>
      </c>
      <c r="HA33" s="86"/>
      <c r="HB33" s="91" t="str">
        <f t="shared" si="129"/>
        <v/>
      </c>
      <c r="HC33" s="85" t="str">
        <f t="shared" si="130"/>
        <v/>
      </c>
      <c r="HD33" s="86"/>
      <c r="HE33" s="91" t="str">
        <f t="shared" si="131"/>
        <v/>
      </c>
      <c r="HF33" s="85" t="str">
        <f t="shared" si="132"/>
        <v/>
      </c>
      <c r="HG33" s="86"/>
      <c r="HH33" s="91" t="str">
        <f t="shared" si="133"/>
        <v/>
      </c>
      <c r="HI33" s="85" t="str">
        <f t="shared" si="134"/>
        <v/>
      </c>
      <c r="HJ33" s="86"/>
      <c r="HK33" s="91" t="str">
        <f t="shared" si="135"/>
        <v/>
      </c>
      <c r="HL33" s="85" t="str">
        <f t="shared" si="136"/>
        <v/>
      </c>
      <c r="HM33" s="86"/>
      <c r="HN33" s="91" t="str">
        <f t="shared" si="137"/>
        <v/>
      </c>
      <c r="HO33" s="85" t="str">
        <f t="shared" si="138"/>
        <v/>
      </c>
      <c r="HP33" s="86"/>
      <c r="HQ33" s="91" t="str">
        <f t="shared" si="139"/>
        <v/>
      </c>
      <c r="HR33" s="85" t="str">
        <f t="shared" si="140"/>
        <v/>
      </c>
      <c r="HS33" s="86"/>
      <c r="HT33" s="91" t="str">
        <f t="shared" si="141"/>
        <v/>
      </c>
      <c r="HU33" s="85" t="str">
        <f t="shared" si="142"/>
        <v/>
      </c>
      <c r="HV33" s="86"/>
      <c r="HW33" s="91" t="str">
        <f t="shared" si="143"/>
        <v/>
      </c>
      <c r="HX33" s="85" t="str">
        <f t="shared" si="144"/>
        <v/>
      </c>
      <c r="HY33" s="86"/>
      <c r="HZ33" s="91" t="str">
        <f t="shared" si="145"/>
        <v/>
      </c>
      <c r="IA33" s="85" t="str">
        <f t="shared" si="146"/>
        <v/>
      </c>
      <c r="IB33" s="86"/>
      <c r="IC33" s="91" t="str">
        <f t="shared" si="147"/>
        <v/>
      </c>
      <c r="ID33" s="85" t="str">
        <f t="shared" si="148"/>
        <v/>
      </c>
      <c r="IE33" s="86"/>
      <c r="IF33" s="91" t="str">
        <f t="shared" si="149"/>
        <v/>
      </c>
      <c r="IG33" s="85" t="str">
        <f t="shared" si="150"/>
        <v/>
      </c>
      <c r="IH33" s="86"/>
      <c r="II33" s="91" t="str">
        <f t="shared" si="151"/>
        <v/>
      </c>
      <c r="IJ33" s="85" t="str">
        <f t="shared" si="152"/>
        <v/>
      </c>
      <c r="IK33" s="86"/>
      <c r="IL33" s="91" t="str">
        <f t="shared" si="153"/>
        <v/>
      </c>
      <c r="IM33" s="85" t="str">
        <f t="shared" si="154"/>
        <v/>
      </c>
      <c r="IN33" s="86"/>
      <c r="IO33" s="91" t="str">
        <f t="shared" si="155"/>
        <v/>
      </c>
      <c r="IP33" s="85" t="str">
        <f t="shared" si="156"/>
        <v/>
      </c>
      <c r="IQ33" s="86"/>
      <c r="IR33" s="91" t="str">
        <f t="shared" si="157"/>
        <v/>
      </c>
      <c r="IS33" s="85" t="str">
        <f t="shared" si="158"/>
        <v/>
      </c>
      <c r="IT33" s="86"/>
      <c r="IU33" s="91" t="str">
        <f t="shared" si="159"/>
        <v/>
      </c>
      <c r="IV33" s="85" t="str">
        <f t="shared" si="160"/>
        <v/>
      </c>
      <c r="IW33" s="86"/>
      <c r="IX33" s="91" t="str">
        <f t="shared" si="161"/>
        <v/>
      </c>
      <c r="IY33" s="85" t="str">
        <f t="shared" si="162"/>
        <v/>
      </c>
      <c r="IZ33" s="86"/>
      <c r="JA33" s="91" t="str">
        <f t="shared" si="163"/>
        <v/>
      </c>
      <c r="JB33" s="85" t="str">
        <f t="shared" si="164"/>
        <v/>
      </c>
      <c r="JC33" s="86"/>
      <c r="JD33" s="91" t="str">
        <f t="shared" si="165"/>
        <v/>
      </c>
      <c r="JE33" s="85" t="str">
        <f t="shared" si="166"/>
        <v/>
      </c>
      <c r="JF33" s="86"/>
      <c r="JG33" s="91" t="str">
        <f t="shared" si="167"/>
        <v/>
      </c>
      <c r="JH33" s="85" t="str">
        <f t="shared" si="168"/>
        <v/>
      </c>
      <c r="JI33" s="86"/>
      <c r="JJ33" s="91" t="str">
        <f t="shared" si="169"/>
        <v/>
      </c>
      <c r="JK33" s="85" t="str">
        <f t="shared" si="170"/>
        <v/>
      </c>
      <c r="JL33" s="86"/>
      <c r="JM33" s="91" t="str">
        <f t="shared" si="171"/>
        <v/>
      </c>
      <c r="JN33" s="85" t="str">
        <f t="shared" si="172"/>
        <v/>
      </c>
      <c r="JO33" s="86"/>
      <c r="JP33" s="91" t="str">
        <f t="shared" si="173"/>
        <v/>
      </c>
      <c r="JQ33" s="85" t="str">
        <f t="shared" si="174"/>
        <v/>
      </c>
      <c r="JR33" s="86"/>
      <c r="JS33" s="91" t="str">
        <f t="shared" si="175"/>
        <v/>
      </c>
      <c r="JT33" s="85" t="str">
        <f t="shared" si="176"/>
        <v/>
      </c>
      <c r="JU33" s="86"/>
      <c r="JV33" s="91" t="str">
        <f t="shared" si="177"/>
        <v/>
      </c>
      <c r="JW33" s="85" t="str">
        <f t="shared" si="178"/>
        <v/>
      </c>
      <c r="JX33" s="86"/>
      <c r="JY33" s="91" t="str">
        <f t="shared" si="179"/>
        <v/>
      </c>
      <c r="JZ33" s="85" t="str">
        <f t="shared" si="180"/>
        <v/>
      </c>
      <c r="KA33" s="86"/>
      <c r="KB33" s="91" t="str">
        <f t="shared" si="181"/>
        <v/>
      </c>
      <c r="KC33" s="85" t="str">
        <f t="shared" si="182"/>
        <v/>
      </c>
      <c r="KD33" s="86"/>
      <c r="KE33" s="91" t="str">
        <f t="shared" si="183"/>
        <v/>
      </c>
      <c r="KF33" s="85" t="str">
        <f t="shared" si="184"/>
        <v/>
      </c>
      <c r="KG33" s="86"/>
      <c r="KH33" s="91" t="str">
        <f t="shared" si="185"/>
        <v/>
      </c>
      <c r="KI33" s="85" t="str">
        <f t="shared" si="186"/>
        <v/>
      </c>
      <c r="KJ33" s="86"/>
      <c r="KK33" s="91" t="str">
        <f t="shared" si="187"/>
        <v/>
      </c>
      <c r="KL33" s="85" t="str">
        <f t="shared" si="188"/>
        <v/>
      </c>
      <c r="KM33" s="86"/>
      <c r="KN33" s="91" t="str">
        <f t="shared" si="189"/>
        <v/>
      </c>
      <c r="KO33" s="85" t="str">
        <f t="shared" si="190"/>
        <v/>
      </c>
      <c r="KP33" s="86"/>
      <c r="KQ33" s="91" t="str">
        <f t="shared" si="191"/>
        <v/>
      </c>
      <c r="KR33" s="85" t="str">
        <f t="shared" si="192"/>
        <v/>
      </c>
      <c r="KS33" s="86"/>
      <c r="KT33" s="91" t="str">
        <f t="shared" si="193"/>
        <v/>
      </c>
      <c r="KU33" s="85" t="str">
        <f t="shared" si="194"/>
        <v/>
      </c>
      <c r="KV33" s="86"/>
      <c r="KW33" s="91" t="str">
        <f t="shared" si="195"/>
        <v/>
      </c>
      <c r="KX33" s="85" t="str">
        <f t="shared" si="196"/>
        <v/>
      </c>
      <c r="KY33" s="92"/>
      <c r="KZ33" s="91" t="str">
        <f t="shared" si="197"/>
        <v/>
      </c>
      <c r="LA33" s="85" t="str">
        <f t="shared" si="198"/>
        <v/>
      </c>
      <c r="LB33" s="50">
        <f t="shared" si="218"/>
        <v>87</v>
      </c>
      <c r="LC33" s="57">
        <f t="shared" si="199"/>
        <v>28</v>
      </c>
      <c r="LD33" s="50">
        <f t="shared" si="207"/>
        <v>0.36053527161529625</v>
      </c>
      <c r="LE33" s="57">
        <f t="shared" si="200"/>
        <v>22</v>
      </c>
      <c r="LF33" s="50">
        <f t="shared" si="208"/>
        <v>0.68333333333333335</v>
      </c>
      <c r="LG33" s="57">
        <f t="shared" si="201"/>
        <v>20</v>
      </c>
      <c r="LH33" s="58">
        <f t="shared" si="202"/>
        <v>43.969298245614034</v>
      </c>
      <c r="LI33" s="58">
        <f t="shared" si="203"/>
        <v>43.214531822993727</v>
      </c>
      <c r="LJ33" s="58">
        <f t="shared" si="204"/>
        <v>42.083333333333329</v>
      </c>
      <c r="LK33" s="58">
        <f t="shared" si="205"/>
        <v>79.267163401941104</v>
      </c>
      <c r="LL33" s="60">
        <f t="shared" si="206"/>
        <v>23</v>
      </c>
      <c r="LM33" s="55"/>
      <c r="LN33" s="112">
        <f t="shared" si="217"/>
        <v>9</v>
      </c>
      <c r="LO33" s="61">
        <f t="shared" si="214"/>
        <v>23</v>
      </c>
      <c r="LP33" s="64"/>
      <c r="LQ33" s="64"/>
      <c r="LR33" s="64"/>
    </row>
    <row r="34" spans="1:334" s="62" customFormat="1" ht="15" customHeight="1">
      <c r="A34" s="50">
        <f t="shared" si="211"/>
        <v>6</v>
      </c>
      <c r="B34" s="50">
        <f t="shared" si="212"/>
        <v>5</v>
      </c>
      <c r="C34" s="117">
        <v>55</v>
      </c>
      <c r="D34" s="118" t="s">
        <v>201</v>
      </c>
      <c r="E34" s="286" t="s">
        <v>633</v>
      </c>
      <c r="F34" s="76"/>
      <c r="G34" s="76"/>
      <c r="H34" s="119" t="s">
        <v>13</v>
      </c>
      <c r="I34" s="286" t="s">
        <v>555</v>
      </c>
      <c r="J34" s="119" t="s">
        <v>202</v>
      </c>
      <c r="K34" s="119" t="s">
        <v>2</v>
      </c>
      <c r="L34" s="53" t="s">
        <v>203</v>
      </c>
      <c r="M34" s="292" t="s">
        <v>35</v>
      </c>
      <c r="N34" s="86"/>
      <c r="O34" s="91" t="str">
        <f t="shared" si="0"/>
        <v/>
      </c>
      <c r="P34" s="85" t="str">
        <f t="shared" si="1"/>
        <v/>
      </c>
      <c r="Q34" s="86">
        <v>81</v>
      </c>
      <c r="R34" s="91">
        <f t="shared" si="2"/>
        <v>0.11699663639505516</v>
      </c>
      <c r="S34" s="85">
        <f t="shared" si="3"/>
        <v>0.5</v>
      </c>
      <c r="T34" s="86"/>
      <c r="U34" s="91" t="str">
        <f t="shared" si="4"/>
        <v/>
      </c>
      <c r="V34" s="85" t="str">
        <f t="shared" si="5"/>
        <v/>
      </c>
      <c r="W34" s="89"/>
      <c r="X34" s="91" t="str">
        <f t="shared" si="6"/>
        <v/>
      </c>
      <c r="Y34" s="85" t="str">
        <f t="shared" si="7"/>
        <v/>
      </c>
      <c r="Z34" s="86"/>
      <c r="AA34" s="91" t="str">
        <f t="shared" si="8"/>
        <v/>
      </c>
      <c r="AB34" s="85" t="str">
        <f t="shared" si="9"/>
        <v/>
      </c>
      <c r="AC34" s="86"/>
      <c r="AD34" s="91" t="str">
        <f t="shared" si="10"/>
        <v/>
      </c>
      <c r="AE34" s="85" t="str">
        <f t="shared" si="11"/>
        <v/>
      </c>
      <c r="AF34" s="86"/>
      <c r="AG34" s="91" t="str">
        <f t="shared" si="12"/>
        <v/>
      </c>
      <c r="AH34" s="85" t="str">
        <f t="shared" si="13"/>
        <v/>
      </c>
      <c r="AI34" s="86"/>
      <c r="AJ34" s="91" t="str">
        <f t="shared" si="14"/>
        <v/>
      </c>
      <c r="AK34" s="85" t="str">
        <f t="shared" si="15"/>
        <v/>
      </c>
      <c r="AL34" s="86"/>
      <c r="AM34" s="91" t="str">
        <f t="shared" si="16"/>
        <v/>
      </c>
      <c r="AN34" s="85" t="str">
        <f t="shared" si="17"/>
        <v/>
      </c>
      <c r="AO34" s="56"/>
      <c r="AP34" s="91" t="str">
        <f t="shared" si="18"/>
        <v/>
      </c>
      <c r="AQ34" s="85" t="str">
        <f t="shared" si="19"/>
        <v/>
      </c>
      <c r="AR34" s="86"/>
      <c r="AS34" s="91" t="str">
        <f t="shared" si="20"/>
        <v/>
      </c>
      <c r="AT34" s="85" t="str">
        <f t="shared" si="21"/>
        <v/>
      </c>
      <c r="AU34" s="86"/>
      <c r="AV34" s="91" t="str">
        <f t="shared" si="22"/>
        <v/>
      </c>
      <c r="AW34" s="85" t="str">
        <f t="shared" si="23"/>
        <v/>
      </c>
      <c r="AX34" s="89"/>
      <c r="AY34" s="91" t="str">
        <f t="shared" si="24"/>
        <v/>
      </c>
      <c r="AZ34" s="85" t="str">
        <f t="shared" si="25"/>
        <v/>
      </c>
      <c r="BA34" s="56"/>
      <c r="BB34" s="91" t="str">
        <f t="shared" si="26"/>
        <v/>
      </c>
      <c r="BC34" s="85" t="str">
        <f t="shared" si="27"/>
        <v/>
      </c>
      <c r="BD34" s="92"/>
      <c r="BE34" s="91" t="str">
        <f t="shared" si="28"/>
        <v/>
      </c>
      <c r="BF34" s="85" t="str">
        <f t="shared" si="29"/>
        <v/>
      </c>
      <c r="BG34" s="86"/>
      <c r="BH34" s="91" t="str">
        <f t="shared" si="30"/>
        <v/>
      </c>
      <c r="BI34" s="85" t="str">
        <f t="shared" si="31"/>
        <v/>
      </c>
      <c r="BJ34" s="89"/>
      <c r="BK34" s="91" t="str">
        <f t="shared" si="32"/>
        <v/>
      </c>
      <c r="BL34" s="85" t="str">
        <f t="shared" si="33"/>
        <v/>
      </c>
      <c r="BM34" s="86"/>
      <c r="BN34" s="91" t="str">
        <f t="shared" si="34"/>
        <v/>
      </c>
      <c r="BO34" s="85" t="str">
        <f t="shared" si="35"/>
        <v/>
      </c>
      <c r="BP34" s="51"/>
      <c r="BQ34" s="91" t="str">
        <f t="shared" si="36"/>
        <v/>
      </c>
      <c r="BR34" s="85" t="str">
        <f t="shared" si="37"/>
        <v/>
      </c>
      <c r="BS34" s="86"/>
      <c r="BT34" s="91" t="str">
        <f t="shared" si="38"/>
        <v/>
      </c>
      <c r="BU34" s="85" t="str">
        <f t="shared" si="39"/>
        <v/>
      </c>
      <c r="BV34" s="86"/>
      <c r="BW34" s="91" t="str">
        <f t="shared" si="40"/>
        <v/>
      </c>
      <c r="BX34" s="85" t="str">
        <f t="shared" si="41"/>
        <v/>
      </c>
      <c r="BY34" s="86"/>
      <c r="BZ34" s="91" t="str">
        <f t="shared" si="42"/>
        <v/>
      </c>
      <c r="CA34" s="85" t="str">
        <f t="shared" si="43"/>
        <v/>
      </c>
      <c r="CB34" s="86"/>
      <c r="CC34" s="91" t="str">
        <f t="shared" si="44"/>
        <v/>
      </c>
      <c r="CD34" s="85" t="str">
        <f t="shared" si="45"/>
        <v/>
      </c>
      <c r="CE34" s="92"/>
      <c r="CF34" s="91" t="str">
        <f t="shared" si="46"/>
        <v/>
      </c>
      <c r="CG34" s="85" t="str">
        <f t="shared" si="47"/>
        <v/>
      </c>
      <c r="CH34" s="271" t="s">
        <v>64</v>
      </c>
      <c r="CI34" s="91" t="str">
        <f t="shared" si="48"/>
        <v/>
      </c>
      <c r="CJ34" s="85" t="str">
        <f t="shared" si="49"/>
        <v/>
      </c>
      <c r="CK34" s="86"/>
      <c r="CL34" s="91" t="str">
        <f t="shared" si="50"/>
        <v/>
      </c>
      <c r="CM34" s="85" t="str">
        <f t="shared" si="51"/>
        <v/>
      </c>
      <c r="CN34" s="86"/>
      <c r="CO34" s="91" t="str">
        <f t="shared" si="52"/>
        <v/>
      </c>
      <c r="CP34" s="85" t="str">
        <f t="shared" si="53"/>
        <v/>
      </c>
      <c r="CQ34" s="86"/>
      <c r="CR34" s="91" t="str">
        <f t="shared" si="54"/>
        <v/>
      </c>
      <c r="CS34" s="85" t="str">
        <f t="shared" si="55"/>
        <v/>
      </c>
      <c r="CT34" s="86"/>
      <c r="CU34" s="91" t="str">
        <f t="shared" si="56"/>
        <v/>
      </c>
      <c r="CV34" s="85" t="str">
        <f t="shared" si="57"/>
        <v/>
      </c>
      <c r="CW34" s="86"/>
      <c r="CX34" s="91" t="str">
        <f t="shared" si="58"/>
        <v/>
      </c>
      <c r="CY34" s="85" t="str">
        <f t="shared" si="59"/>
        <v/>
      </c>
      <c r="CZ34" s="86"/>
      <c r="DA34" s="91" t="str">
        <f t="shared" si="60"/>
        <v/>
      </c>
      <c r="DB34" s="85" t="str">
        <f t="shared" si="61"/>
        <v/>
      </c>
      <c r="DC34" s="89"/>
      <c r="DD34" s="91" t="str">
        <f t="shared" si="62"/>
        <v/>
      </c>
      <c r="DE34" s="85" t="str">
        <f t="shared" si="63"/>
        <v/>
      </c>
      <c r="DF34" s="89"/>
      <c r="DG34" s="91"/>
      <c r="DH34" s="85" t="str">
        <f t="shared" si="64"/>
        <v/>
      </c>
      <c r="DI34" s="86"/>
      <c r="DJ34" s="91" t="str">
        <f t="shared" si="65"/>
        <v/>
      </c>
      <c r="DK34" s="85" t="str">
        <f t="shared" si="66"/>
        <v/>
      </c>
      <c r="DL34" s="86"/>
      <c r="DM34" s="91" t="str">
        <f t="shared" si="67"/>
        <v/>
      </c>
      <c r="DN34" s="85" t="str">
        <f t="shared" si="68"/>
        <v/>
      </c>
      <c r="DO34" s="86"/>
      <c r="DP34" s="91" t="str">
        <f t="shared" si="69"/>
        <v/>
      </c>
      <c r="DQ34" s="85" t="str">
        <f t="shared" si="70"/>
        <v/>
      </c>
      <c r="DR34" s="86"/>
      <c r="DS34" s="91" t="str">
        <f t="shared" si="71"/>
        <v/>
      </c>
      <c r="DT34" s="85" t="str">
        <f t="shared" si="72"/>
        <v/>
      </c>
      <c r="DU34" s="86">
        <v>83</v>
      </c>
      <c r="DV34" s="91">
        <f t="shared" si="73"/>
        <v>2.9707156852002561E-2</v>
      </c>
      <c r="DW34" s="85">
        <f t="shared" si="74"/>
        <v>0.5</v>
      </c>
      <c r="DX34" s="56"/>
      <c r="DY34" s="91" t="str">
        <f t="shared" si="75"/>
        <v/>
      </c>
      <c r="DZ34" s="85" t="str">
        <f t="shared" si="76"/>
        <v/>
      </c>
      <c r="EA34" s="56">
        <v>95</v>
      </c>
      <c r="EB34" s="91">
        <f t="shared" si="77"/>
        <v>0.78915866804713775</v>
      </c>
      <c r="EC34" s="85">
        <f t="shared" si="78"/>
        <v>0.75</v>
      </c>
      <c r="ED34" s="86"/>
      <c r="EE34" s="91" t="str">
        <f t="shared" si="79"/>
        <v/>
      </c>
      <c r="EF34" s="85" t="str">
        <f t="shared" si="80"/>
        <v/>
      </c>
      <c r="EG34" s="86"/>
      <c r="EH34" s="91" t="str">
        <f t="shared" si="81"/>
        <v/>
      </c>
      <c r="EI34" s="85" t="str">
        <f t="shared" si="82"/>
        <v/>
      </c>
      <c r="EJ34" s="86"/>
      <c r="EK34" s="91" t="str">
        <f t="shared" si="83"/>
        <v/>
      </c>
      <c r="EL34" s="85" t="str">
        <f t="shared" si="84"/>
        <v/>
      </c>
      <c r="EM34" s="89"/>
      <c r="EN34" s="91" t="str">
        <f t="shared" si="85"/>
        <v/>
      </c>
      <c r="EO34" s="85" t="str">
        <f t="shared" si="86"/>
        <v/>
      </c>
      <c r="EP34" s="86"/>
      <c r="EQ34" s="91" t="str">
        <f t="shared" si="87"/>
        <v/>
      </c>
      <c r="ER34" s="85" t="str">
        <f t="shared" si="88"/>
        <v/>
      </c>
      <c r="ES34" s="51"/>
      <c r="ET34" s="91" t="str">
        <f t="shared" si="89"/>
        <v/>
      </c>
      <c r="EU34" s="85" t="str">
        <f t="shared" si="90"/>
        <v/>
      </c>
      <c r="EV34" s="56"/>
      <c r="EW34" s="91" t="str">
        <f t="shared" si="91"/>
        <v/>
      </c>
      <c r="EX34" s="85" t="str">
        <f t="shared" si="92"/>
        <v/>
      </c>
      <c r="EY34" s="86">
        <v>96</v>
      </c>
      <c r="EZ34" s="91">
        <f t="shared" si="93"/>
        <v>0.83740286287230814</v>
      </c>
      <c r="FA34" s="85">
        <f t="shared" si="94"/>
        <v>0.83333333333333337</v>
      </c>
      <c r="FB34" s="86"/>
      <c r="FC34" s="91" t="str">
        <f t="shared" si="95"/>
        <v/>
      </c>
      <c r="FD34" s="85" t="str">
        <f t="shared" si="96"/>
        <v/>
      </c>
      <c r="FE34" s="86"/>
      <c r="FF34" s="91" t="str">
        <f t="shared" si="97"/>
        <v/>
      </c>
      <c r="FG34" s="85" t="str">
        <f t="shared" si="98"/>
        <v/>
      </c>
      <c r="FH34" s="86"/>
      <c r="FI34" s="91" t="str">
        <f t="shared" si="99"/>
        <v/>
      </c>
      <c r="FJ34" s="85" t="str">
        <f t="shared" si="100"/>
        <v/>
      </c>
      <c r="FK34" s="86"/>
      <c r="FL34" s="91" t="str">
        <f t="shared" si="101"/>
        <v/>
      </c>
      <c r="FM34" s="85" t="str">
        <f t="shared" si="102"/>
        <v/>
      </c>
      <c r="FN34" s="86"/>
      <c r="FO34" s="91" t="str">
        <f t="shared" si="103"/>
        <v/>
      </c>
      <c r="FP34" s="85" t="str">
        <f t="shared" si="104"/>
        <v/>
      </c>
      <c r="FQ34" s="86"/>
      <c r="FR34" s="91" t="str">
        <f t="shared" si="105"/>
        <v/>
      </c>
      <c r="FS34" s="85" t="str">
        <f t="shared" si="106"/>
        <v/>
      </c>
      <c r="FT34" s="86"/>
      <c r="FU34" s="91" t="str">
        <f t="shared" si="107"/>
        <v/>
      </c>
      <c r="FV34" s="85" t="str">
        <f t="shared" si="108"/>
        <v/>
      </c>
      <c r="FW34" s="92"/>
      <c r="FX34" s="91" t="str">
        <f t="shared" si="109"/>
        <v/>
      </c>
      <c r="FY34" s="85" t="str">
        <f t="shared" si="110"/>
        <v/>
      </c>
      <c r="FZ34" s="86"/>
      <c r="GA34" s="91" t="str">
        <f t="shared" si="111"/>
        <v/>
      </c>
      <c r="GB34" s="85" t="str">
        <f t="shared" si="112"/>
        <v/>
      </c>
      <c r="GC34" s="86"/>
      <c r="GD34" s="91" t="str">
        <f t="shared" si="113"/>
        <v/>
      </c>
      <c r="GE34" s="85" t="str">
        <f t="shared" si="114"/>
        <v/>
      </c>
      <c r="GF34" s="86"/>
      <c r="GG34" s="91" t="str">
        <f t="shared" si="115"/>
        <v/>
      </c>
      <c r="GH34" s="85" t="str">
        <f t="shared" si="116"/>
        <v/>
      </c>
      <c r="GI34" s="86"/>
      <c r="GJ34" s="91" t="str">
        <f t="shared" si="117"/>
        <v/>
      </c>
      <c r="GK34" s="85" t="str">
        <f t="shared" si="118"/>
        <v/>
      </c>
      <c r="GL34" s="86"/>
      <c r="GM34" s="91" t="str">
        <f t="shared" si="119"/>
        <v/>
      </c>
      <c r="GN34" s="85" t="str">
        <f t="shared" si="120"/>
        <v/>
      </c>
      <c r="GO34" s="86"/>
      <c r="GP34" s="91" t="str">
        <f t="shared" si="121"/>
        <v/>
      </c>
      <c r="GQ34" s="85" t="str">
        <f t="shared" si="122"/>
        <v/>
      </c>
      <c r="GR34" s="86"/>
      <c r="GS34" s="91" t="str">
        <f t="shared" si="123"/>
        <v/>
      </c>
      <c r="GT34" s="85" t="str">
        <f t="shared" si="124"/>
        <v/>
      </c>
      <c r="GU34" s="92"/>
      <c r="GV34" s="91" t="str">
        <f t="shared" si="125"/>
        <v/>
      </c>
      <c r="GW34" s="85" t="str">
        <f t="shared" si="126"/>
        <v/>
      </c>
      <c r="GX34" s="86">
        <v>96</v>
      </c>
      <c r="GY34" s="91">
        <f t="shared" si="127"/>
        <v>1.0332700802904957</v>
      </c>
      <c r="GZ34" s="85">
        <f t="shared" si="128"/>
        <v>1</v>
      </c>
      <c r="HA34" s="86"/>
      <c r="HB34" s="91" t="str">
        <f t="shared" si="129"/>
        <v/>
      </c>
      <c r="HC34" s="85" t="str">
        <f t="shared" si="130"/>
        <v/>
      </c>
      <c r="HD34" s="86"/>
      <c r="HE34" s="91" t="str">
        <f t="shared" si="131"/>
        <v/>
      </c>
      <c r="HF34" s="85" t="str">
        <f t="shared" si="132"/>
        <v/>
      </c>
      <c r="HG34" s="56"/>
      <c r="HH34" s="91" t="str">
        <f t="shared" si="133"/>
        <v/>
      </c>
      <c r="HI34" s="85" t="str">
        <f t="shared" si="134"/>
        <v/>
      </c>
      <c r="HJ34" s="86"/>
      <c r="HK34" s="91" t="str">
        <f t="shared" si="135"/>
        <v/>
      </c>
      <c r="HL34" s="85" t="str">
        <f t="shared" si="136"/>
        <v/>
      </c>
      <c r="HM34" s="86"/>
      <c r="HN34" s="91" t="str">
        <f t="shared" si="137"/>
        <v/>
      </c>
      <c r="HO34" s="85" t="str">
        <f t="shared" si="138"/>
        <v/>
      </c>
      <c r="HP34" s="86"/>
      <c r="HQ34" s="91" t="str">
        <f t="shared" si="139"/>
        <v/>
      </c>
      <c r="HR34" s="85" t="str">
        <f t="shared" si="140"/>
        <v/>
      </c>
      <c r="HS34" s="86"/>
      <c r="HT34" s="91" t="str">
        <f t="shared" si="141"/>
        <v/>
      </c>
      <c r="HU34" s="85" t="str">
        <f t="shared" si="142"/>
        <v/>
      </c>
      <c r="HV34" s="86"/>
      <c r="HW34" s="91" t="str">
        <f t="shared" si="143"/>
        <v/>
      </c>
      <c r="HX34" s="85" t="str">
        <f t="shared" si="144"/>
        <v/>
      </c>
      <c r="HY34" s="86"/>
      <c r="HZ34" s="91" t="str">
        <f t="shared" si="145"/>
        <v/>
      </c>
      <c r="IA34" s="85" t="str">
        <f t="shared" si="146"/>
        <v/>
      </c>
      <c r="IB34" s="86"/>
      <c r="IC34" s="91" t="str">
        <f t="shared" si="147"/>
        <v/>
      </c>
      <c r="ID34" s="85" t="str">
        <f t="shared" si="148"/>
        <v/>
      </c>
      <c r="IE34" s="86"/>
      <c r="IF34" s="91" t="str">
        <f t="shared" si="149"/>
        <v/>
      </c>
      <c r="IG34" s="85" t="str">
        <f t="shared" si="150"/>
        <v/>
      </c>
      <c r="IH34" s="86"/>
      <c r="II34" s="91" t="str">
        <f t="shared" si="151"/>
        <v/>
      </c>
      <c r="IJ34" s="85" t="str">
        <f t="shared" si="152"/>
        <v/>
      </c>
      <c r="IK34" s="86"/>
      <c r="IL34" s="91" t="str">
        <f t="shared" si="153"/>
        <v/>
      </c>
      <c r="IM34" s="85" t="str">
        <f t="shared" si="154"/>
        <v/>
      </c>
      <c r="IN34" s="86"/>
      <c r="IO34" s="91" t="str">
        <f t="shared" si="155"/>
        <v/>
      </c>
      <c r="IP34" s="85" t="str">
        <f t="shared" si="156"/>
        <v/>
      </c>
      <c r="IQ34" s="86"/>
      <c r="IR34" s="91" t="str">
        <f t="shared" si="157"/>
        <v/>
      </c>
      <c r="IS34" s="85" t="str">
        <f t="shared" si="158"/>
        <v/>
      </c>
      <c r="IT34" s="86"/>
      <c r="IU34" s="91" t="str">
        <f t="shared" si="159"/>
        <v/>
      </c>
      <c r="IV34" s="85" t="str">
        <f t="shared" si="160"/>
        <v/>
      </c>
      <c r="IW34" s="86"/>
      <c r="IX34" s="91" t="str">
        <f t="shared" si="161"/>
        <v/>
      </c>
      <c r="IY34" s="85" t="str">
        <f t="shared" si="162"/>
        <v/>
      </c>
      <c r="IZ34" s="86"/>
      <c r="JA34" s="91" t="str">
        <f t="shared" si="163"/>
        <v/>
      </c>
      <c r="JB34" s="85" t="str">
        <f t="shared" si="164"/>
        <v/>
      </c>
      <c r="JC34" s="86"/>
      <c r="JD34" s="91" t="str">
        <f t="shared" si="165"/>
        <v/>
      </c>
      <c r="JE34" s="85" t="str">
        <f t="shared" si="166"/>
        <v/>
      </c>
      <c r="JF34" s="86"/>
      <c r="JG34" s="91" t="str">
        <f t="shared" si="167"/>
        <v/>
      </c>
      <c r="JH34" s="85" t="str">
        <f t="shared" si="168"/>
        <v/>
      </c>
      <c r="JI34" s="86"/>
      <c r="JJ34" s="91" t="str">
        <f t="shared" si="169"/>
        <v/>
      </c>
      <c r="JK34" s="85" t="str">
        <f t="shared" si="170"/>
        <v/>
      </c>
      <c r="JL34" s="86"/>
      <c r="JM34" s="91" t="str">
        <f t="shared" si="171"/>
        <v/>
      </c>
      <c r="JN34" s="85" t="str">
        <f t="shared" si="172"/>
        <v/>
      </c>
      <c r="JO34" s="86"/>
      <c r="JP34" s="91" t="str">
        <f t="shared" si="173"/>
        <v/>
      </c>
      <c r="JQ34" s="85" t="str">
        <f t="shared" si="174"/>
        <v/>
      </c>
      <c r="JR34" s="86"/>
      <c r="JS34" s="91" t="str">
        <f t="shared" si="175"/>
        <v/>
      </c>
      <c r="JT34" s="85" t="str">
        <f t="shared" si="176"/>
        <v/>
      </c>
      <c r="JU34" s="86"/>
      <c r="JV34" s="91" t="str">
        <f t="shared" si="177"/>
        <v/>
      </c>
      <c r="JW34" s="85" t="str">
        <f t="shared" si="178"/>
        <v/>
      </c>
      <c r="JX34" s="86"/>
      <c r="JY34" s="91" t="str">
        <f t="shared" si="179"/>
        <v/>
      </c>
      <c r="JZ34" s="85" t="str">
        <f t="shared" si="180"/>
        <v/>
      </c>
      <c r="KA34" s="86"/>
      <c r="KB34" s="91" t="str">
        <f t="shared" si="181"/>
        <v/>
      </c>
      <c r="KC34" s="85" t="str">
        <f t="shared" si="182"/>
        <v/>
      </c>
      <c r="KD34" s="86"/>
      <c r="KE34" s="91" t="str">
        <f t="shared" si="183"/>
        <v/>
      </c>
      <c r="KF34" s="85" t="str">
        <f t="shared" si="184"/>
        <v/>
      </c>
      <c r="KG34" s="86"/>
      <c r="KH34" s="91" t="str">
        <f t="shared" si="185"/>
        <v/>
      </c>
      <c r="KI34" s="85" t="str">
        <f t="shared" si="186"/>
        <v/>
      </c>
      <c r="KJ34" s="86"/>
      <c r="KK34" s="91" t="str">
        <f t="shared" si="187"/>
        <v/>
      </c>
      <c r="KL34" s="85" t="str">
        <f t="shared" si="188"/>
        <v/>
      </c>
      <c r="KM34" s="86"/>
      <c r="KN34" s="91" t="str">
        <f t="shared" si="189"/>
        <v/>
      </c>
      <c r="KO34" s="85" t="str">
        <f t="shared" si="190"/>
        <v/>
      </c>
      <c r="KP34" s="86"/>
      <c r="KQ34" s="91" t="str">
        <f t="shared" si="191"/>
        <v/>
      </c>
      <c r="KR34" s="85" t="str">
        <f t="shared" si="192"/>
        <v/>
      </c>
      <c r="KS34" s="86"/>
      <c r="KT34" s="91" t="str">
        <f t="shared" si="193"/>
        <v/>
      </c>
      <c r="KU34" s="85" t="str">
        <f t="shared" si="194"/>
        <v/>
      </c>
      <c r="KV34" s="86"/>
      <c r="KW34" s="91" t="str">
        <f t="shared" si="195"/>
        <v/>
      </c>
      <c r="KX34" s="85" t="str">
        <f t="shared" si="196"/>
        <v/>
      </c>
      <c r="KY34" s="92"/>
      <c r="KZ34" s="91" t="str">
        <f t="shared" si="197"/>
        <v/>
      </c>
      <c r="LA34" s="85" t="str">
        <f t="shared" si="198"/>
        <v/>
      </c>
      <c r="LB34" s="50">
        <f t="shared" si="218"/>
        <v>90.2</v>
      </c>
      <c r="LC34" s="57">
        <f t="shared" si="199"/>
        <v>15</v>
      </c>
      <c r="LD34" s="50">
        <f t="shared" si="207"/>
        <v>0.56130708089139991</v>
      </c>
      <c r="LE34" s="57">
        <f t="shared" si="200"/>
        <v>14</v>
      </c>
      <c r="LF34" s="50">
        <f t="shared" si="208"/>
        <v>0.71666666666666667</v>
      </c>
      <c r="LG34" s="57">
        <f t="shared" si="201"/>
        <v>16</v>
      </c>
      <c r="LH34" s="58">
        <f t="shared" si="202"/>
        <v>45.723684210526315</v>
      </c>
      <c r="LI34" s="58">
        <f t="shared" si="203"/>
        <v>45.088847356868925</v>
      </c>
      <c r="LJ34" s="58">
        <f t="shared" si="204"/>
        <v>42.916666666666671</v>
      </c>
      <c r="LK34" s="58">
        <f t="shared" si="205"/>
        <v>83.729198234061926</v>
      </c>
      <c r="LL34" s="60">
        <f t="shared" si="206"/>
        <v>16</v>
      </c>
      <c r="LM34" s="55"/>
      <c r="LN34" s="112">
        <f t="shared" si="217"/>
        <v>6</v>
      </c>
      <c r="LO34" s="61">
        <f t="shared" si="214"/>
        <v>16</v>
      </c>
      <c r="LP34" s="64"/>
      <c r="LQ34" s="64"/>
      <c r="LR34" s="64"/>
    </row>
    <row r="35" spans="1:334" s="62" customFormat="1" ht="13.5" customHeight="1">
      <c r="A35" s="50">
        <f t="shared" si="211"/>
        <v>5</v>
      </c>
      <c r="B35" s="50">
        <f t="shared" si="212"/>
        <v>5</v>
      </c>
      <c r="C35" s="117">
        <v>33</v>
      </c>
      <c r="D35" s="118" t="s">
        <v>204</v>
      </c>
      <c r="E35" s="286" t="s">
        <v>634</v>
      </c>
      <c r="F35" s="76"/>
      <c r="G35" s="76"/>
      <c r="H35" s="119" t="s">
        <v>13</v>
      </c>
      <c r="I35" s="286" t="s">
        <v>556</v>
      </c>
      <c r="J35" s="119" t="s">
        <v>205</v>
      </c>
      <c r="K35" s="119" t="s">
        <v>2</v>
      </c>
      <c r="L35" s="53" t="s">
        <v>206</v>
      </c>
      <c r="M35" s="292" t="s">
        <v>35</v>
      </c>
      <c r="N35" s="86"/>
      <c r="O35" s="91" t="str">
        <f t="shared" si="0"/>
        <v/>
      </c>
      <c r="P35" s="85" t="str">
        <f t="shared" si="1"/>
        <v/>
      </c>
      <c r="Q35" s="86"/>
      <c r="R35" s="91" t="str">
        <f t="shared" si="2"/>
        <v/>
      </c>
      <c r="S35" s="85" t="str">
        <f t="shared" si="3"/>
        <v/>
      </c>
      <c r="T35" s="56"/>
      <c r="U35" s="91" t="str">
        <f t="shared" si="4"/>
        <v/>
      </c>
      <c r="V35" s="85" t="str">
        <f t="shared" si="5"/>
        <v/>
      </c>
      <c r="W35" s="56"/>
      <c r="X35" s="91" t="str">
        <f t="shared" si="6"/>
        <v/>
      </c>
      <c r="Y35" s="85" t="str">
        <f t="shared" si="7"/>
        <v/>
      </c>
      <c r="Z35" s="86"/>
      <c r="AA35" s="91" t="str">
        <f t="shared" si="8"/>
        <v/>
      </c>
      <c r="AB35" s="85" t="str">
        <f t="shared" si="9"/>
        <v/>
      </c>
      <c r="AC35" s="86"/>
      <c r="AD35" s="91" t="str">
        <f t="shared" si="10"/>
        <v/>
      </c>
      <c r="AE35" s="85" t="str">
        <f t="shared" si="11"/>
        <v/>
      </c>
      <c r="AF35" s="86"/>
      <c r="AG35" s="91" t="str">
        <f t="shared" si="12"/>
        <v/>
      </c>
      <c r="AH35" s="85" t="str">
        <f t="shared" si="13"/>
        <v/>
      </c>
      <c r="AI35" s="86"/>
      <c r="AJ35" s="91" t="str">
        <f t="shared" si="14"/>
        <v/>
      </c>
      <c r="AK35" s="85" t="str">
        <f t="shared" si="15"/>
        <v/>
      </c>
      <c r="AL35" s="86"/>
      <c r="AM35" s="91" t="str">
        <f t="shared" si="16"/>
        <v/>
      </c>
      <c r="AN35" s="85" t="str">
        <f t="shared" si="17"/>
        <v/>
      </c>
      <c r="AO35" s="86"/>
      <c r="AP35" s="91" t="str">
        <f t="shared" si="18"/>
        <v/>
      </c>
      <c r="AQ35" s="85" t="str">
        <f t="shared" si="19"/>
        <v/>
      </c>
      <c r="AR35" s="86"/>
      <c r="AS35" s="91" t="str">
        <f t="shared" si="20"/>
        <v/>
      </c>
      <c r="AT35" s="85" t="str">
        <f t="shared" si="21"/>
        <v/>
      </c>
      <c r="AU35" s="56"/>
      <c r="AV35" s="91" t="str">
        <f t="shared" si="22"/>
        <v/>
      </c>
      <c r="AW35" s="85" t="str">
        <f t="shared" si="23"/>
        <v/>
      </c>
      <c r="AX35" s="86"/>
      <c r="AY35" s="91" t="str">
        <f t="shared" si="24"/>
        <v/>
      </c>
      <c r="AZ35" s="85" t="str">
        <f t="shared" si="25"/>
        <v/>
      </c>
      <c r="BA35" s="86"/>
      <c r="BB35" s="91" t="str">
        <f t="shared" si="26"/>
        <v/>
      </c>
      <c r="BC35" s="85" t="str">
        <f t="shared" si="27"/>
        <v/>
      </c>
      <c r="BD35" s="86"/>
      <c r="BE35" s="91" t="str">
        <f t="shared" si="28"/>
        <v/>
      </c>
      <c r="BF35" s="85" t="str">
        <f t="shared" si="29"/>
        <v/>
      </c>
      <c r="BG35" s="86"/>
      <c r="BH35" s="91" t="str">
        <f t="shared" si="30"/>
        <v/>
      </c>
      <c r="BI35" s="85" t="str">
        <f t="shared" si="31"/>
        <v/>
      </c>
      <c r="BJ35" s="86">
        <v>82</v>
      </c>
      <c r="BK35" s="91">
        <f t="shared" si="32"/>
        <v>-0.98019605881960681</v>
      </c>
      <c r="BL35" s="85">
        <f t="shared" si="33"/>
        <v>0</v>
      </c>
      <c r="BM35" s="86"/>
      <c r="BN35" s="91" t="str">
        <f t="shared" si="34"/>
        <v/>
      </c>
      <c r="BO35" s="85" t="str">
        <f t="shared" si="35"/>
        <v/>
      </c>
      <c r="BP35" s="51"/>
      <c r="BQ35" s="91" t="str">
        <f t="shared" si="36"/>
        <v/>
      </c>
      <c r="BR35" s="85" t="str">
        <f t="shared" si="37"/>
        <v/>
      </c>
      <c r="BS35" s="86"/>
      <c r="BT35" s="91" t="str">
        <f t="shared" si="38"/>
        <v/>
      </c>
      <c r="BU35" s="85" t="str">
        <f t="shared" si="39"/>
        <v/>
      </c>
      <c r="BV35" s="252">
        <v>89</v>
      </c>
      <c r="BW35" s="91">
        <f t="shared" si="40"/>
        <v>0.49535926574874467</v>
      </c>
      <c r="BX35" s="85">
        <f t="shared" si="41"/>
        <v>0.66666666666666663</v>
      </c>
      <c r="BY35" s="86"/>
      <c r="BZ35" s="91" t="str">
        <f t="shared" si="42"/>
        <v/>
      </c>
      <c r="CA35" s="85" t="str">
        <f t="shared" si="43"/>
        <v/>
      </c>
      <c r="CB35" s="86"/>
      <c r="CC35" s="91" t="str">
        <f t="shared" si="44"/>
        <v/>
      </c>
      <c r="CD35" s="85" t="str">
        <f t="shared" si="45"/>
        <v/>
      </c>
      <c r="CE35" s="86"/>
      <c r="CF35" s="91" t="str">
        <f t="shared" si="46"/>
        <v/>
      </c>
      <c r="CG35" s="85" t="str">
        <f t="shared" si="47"/>
        <v/>
      </c>
      <c r="CH35" s="86"/>
      <c r="CI35" s="91" t="str">
        <f t="shared" si="48"/>
        <v/>
      </c>
      <c r="CJ35" s="85" t="str">
        <f t="shared" si="49"/>
        <v/>
      </c>
      <c r="CK35" s="86"/>
      <c r="CL35" s="91" t="str">
        <f t="shared" si="50"/>
        <v/>
      </c>
      <c r="CM35" s="85" t="str">
        <f t="shared" si="51"/>
        <v/>
      </c>
      <c r="CN35" s="86"/>
      <c r="CO35" s="91" t="str">
        <f t="shared" si="52"/>
        <v/>
      </c>
      <c r="CP35" s="85" t="str">
        <f t="shared" si="53"/>
        <v/>
      </c>
      <c r="CQ35" s="86"/>
      <c r="CR35" s="91" t="str">
        <f t="shared" si="54"/>
        <v/>
      </c>
      <c r="CS35" s="85" t="str">
        <f t="shared" si="55"/>
        <v/>
      </c>
      <c r="CT35" s="86"/>
      <c r="CU35" s="91" t="str">
        <f t="shared" si="56"/>
        <v/>
      </c>
      <c r="CV35" s="85" t="str">
        <f t="shared" si="57"/>
        <v/>
      </c>
      <c r="CW35" s="86"/>
      <c r="CX35" s="91" t="str">
        <f t="shared" si="58"/>
        <v/>
      </c>
      <c r="CY35" s="85" t="str">
        <f t="shared" si="59"/>
        <v/>
      </c>
      <c r="CZ35" s="86"/>
      <c r="DA35" s="91" t="str">
        <f t="shared" si="60"/>
        <v/>
      </c>
      <c r="DB35" s="85" t="str">
        <f t="shared" si="61"/>
        <v/>
      </c>
      <c r="DC35" s="86"/>
      <c r="DD35" s="91" t="str">
        <f t="shared" si="62"/>
        <v/>
      </c>
      <c r="DE35" s="85" t="str">
        <f t="shared" si="63"/>
        <v/>
      </c>
      <c r="DF35" s="86"/>
      <c r="DG35" s="91"/>
      <c r="DH35" s="85" t="str">
        <f t="shared" si="64"/>
        <v/>
      </c>
      <c r="DI35" s="86"/>
      <c r="DJ35" s="91" t="str">
        <f t="shared" si="65"/>
        <v/>
      </c>
      <c r="DK35" s="85" t="str">
        <f t="shared" si="66"/>
        <v/>
      </c>
      <c r="DL35" s="56"/>
      <c r="DM35" s="91" t="str">
        <f t="shared" si="67"/>
        <v/>
      </c>
      <c r="DN35" s="85" t="str">
        <f t="shared" si="68"/>
        <v/>
      </c>
      <c r="DO35" s="86"/>
      <c r="DP35" s="91" t="str">
        <f t="shared" si="69"/>
        <v/>
      </c>
      <c r="DQ35" s="85" t="str">
        <f t="shared" si="70"/>
        <v/>
      </c>
      <c r="DR35" s="86"/>
      <c r="DS35" s="91" t="str">
        <f t="shared" si="71"/>
        <v/>
      </c>
      <c r="DT35" s="85" t="str">
        <f t="shared" si="72"/>
        <v/>
      </c>
      <c r="DU35" s="86">
        <v>75</v>
      </c>
      <c r="DV35" s="91">
        <f t="shared" si="73"/>
        <v>-0.5644359801880402</v>
      </c>
      <c r="DW35" s="85">
        <f t="shared" si="74"/>
        <v>0.25</v>
      </c>
      <c r="DX35" s="86"/>
      <c r="DY35" s="91" t="str">
        <f t="shared" si="75"/>
        <v/>
      </c>
      <c r="DZ35" s="85" t="str">
        <f t="shared" si="76"/>
        <v/>
      </c>
      <c r="EA35" s="86"/>
      <c r="EB35" s="91" t="str">
        <f t="shared" si="77"/>
        <v/>
      </c>
      <c r="EC35" s="85" t="str">
        <f t="shared" si="78"/>
        <v/>
      </c>
      <c r="ED35" s="86"/>
      <c r="EE35" s="91" t="str">
        <f t="shared" si="79"/>
        <v/>
      </c>
      <c r="EF35" s="85" t="str">
        <f t="shared" si="80"/>
        <v/>
      </c>
      <c r="EG35" s="86"/>
      <c r="EH35" s="91" t="str">
        <f t="shared" si="81"/>
        <v/>
      </c>
      <c r="EI35" s="85" t="str">
        <f t="shared" si="82"/>
        <v/>
      </c>
      <c r="EJ35" s="86"/>
      <c r="EK35" s="91" t="str">
        <f t="shared" si="83"/>
        <v/>
      </c>
      <c r="EL35" s="85" t="str">
        <f t="shared" si="84"/>
        <v/>
      </c>
      <c r="EM35" s="86"/>
      <c r="EN35" s="91" t="str">
        <f t="shared" si="85"/>
        <v/>
      </c>
      <c r="EO35" s="85" t="str">
        <f t="shared" si="86"/>
        <v/>
      </c>
      <c r="EP35" s="86"/>
      <c r="EQ35" s="91" t="str">
        <f t="shared" si="87"/>
        <v/>
      </c>
      <c r="ER35" s="85" t="str">
        <f t="shared" si="88"/>
        <v/>
      </c>
      <c r="ES35" s="51"/>
      <c r="ET35" s="91" t="str">
        <f t="shared" si="89"/>
        <v/>
      </c>
      <c r="EU35" s="85" t="str">
        <f t="shared" si="90"/>
        <v/>
      </c>
      <c r="EV35" s="86">
        <v>96</v>
      </c>
      <c r="EW35" s="91">
        <f t="shared" si="91"/>
        <v>0.75810476725679066</v>
      </c>
      <c r="EX35" s="85">
        <f t="shared" si="92"/>
        <v>1</v>
      </c>
      <c r="EY35" s="86"/>
      <c r="EZ35" s="91" t="str">
        <f t="shared" si="93"/>
        <v/>
      </c>
      <c r="FA35" s="85" t="str">
        <f t="shared" si="94"/>
        <v/>
      </c>
      <c r="FB35" s="86"/>
      <c r="FC35" s="91" t="str">
        <f t="shared" si="95"/>
        <v/>
      </c>
      <c r="FD35" s="85" t="str">
        <f t="shared" si="96"/>
        <v/>
      </c>
      <c r="FE35" s="86"/>
      <c r="FF35" s="91" t="str">
        <f t="shared" si="97"/>
        <v/>
      </c>
      <c r="FG35" s="85" t="str">
        <f t="shared" si="98"/>
        <v/>
      </c>
      <c r="FH35" s="86"/>
      <c r="FI35" s="91" t="str">
        <f t="shared" si="99"/>
        <v/>
      </c>
      <c r="FJ35" s="85" t="str">
        <f t="shared" si="100"/>
        <v/>
      </c>
      <c r="FK35" s="86"/>
      <c r="FL35" s="91" t="str">
        <f t="shared" si="101"/>
        <v/>
      </c>
      <c r="FM35" s="85" t="str">
        <f t="shared" si="102"/>
        <v/>
      </c>
      <c r="FN35" s="86"/>
      <c r="FO35" s="91" t="str">
        <f t="shared" si="103"/>
        <v/>
      </c>
      <c r="FP35" s="85" t="str">
        <f t="shared" si="104"/>
        <v/>
      </c>
      <c r="FQ35" s="252">
        <v>90</v>
      </c>
      <c r="FR35" s="91">
        <f t="shared" si="105"/>
        <v>0.9214785982417294</v>
      </c>
      <c r="FS35" s="85">
        <f t="shared" si="106"/>
        <v>1</v>
      </c>
      <c r="FT35" s="86"/>
      <c r="FU35" s="91" t="str">
        <f t="shared" si="107"/>
        <v/>
      </c>
      <c r="FV35" s="85" t="str">
        <f t="shared" si="108"/>
        <v/>
      </c>
      <c r="FW35" s="92"/>
      <c r="FX35" s="91" t="str">
        <f t="shared" si="109"/>
        <v/>
      </c>
      <c r="FY35" s="85" t="str">
        <f t="shared" si="110"/>
        <v/>
      </c>
      <c r="FZ35" s="86"/>
      <c r="GA35" s="91" t="str">
        <f t="shared" si="111"/>
        <v/>
      </c>
      <c r="GB35" s="85" t="str">
        <f t="shared" si="112"/>
        <v/>
      </c>
      <c r="GC35" s="86"/>
      <c r="GD35" s="91" t="str">
        <f t="shared" si="113"/>
        <v/>
      </c>
      <c r="GE35" s="85" t="str">
        <f t="shared" si="114"/>
        <v/>
      </c>
      <c r="GF35" s="86"/>
      <c r="GG35" s="91" t="str">
        <f t="shared" si="115"/>
        <v/>
      </c>
      <c r="GH35" s="85" t="str">
        <f t="shared" si="116"/>
        <v/>
      </c>
      <c r="GI35" s="86"/>
      <c r="GJ35" s="91" t="str">
        <f t="shared" si="117"/>
        <v/>
      </c>
      <c r="GK35" s="85" t="str">
        <f t="shared" si="118"/>
        <v/>
      </c>
      <c r="GL35" s="86"/>
      <c r="GM35" s="91" t="str">
        <f t="shared" si="119"/>
        <v/>
      </c>
      <c r="GN35" s="85" t="str">
        <f t="shared" si="120"/>
        <v/>
      </c>
      <c r="GO35" s="86"/>
      <c r="GP35" s="91" t="str">
        <f t="shared" si="121"/>
        <v/>
      </c>
      <c r="GQ35" s="85" t="str">
        <f t="shared" si="122"/>
        <v/>
      </c>
      <c r="GR35" s="86"/>
      <c r="GS35" s="91" t="str">
        <f t="shared" si="123"/>
        <v/>
      </c>
      <c r="GT35" s="85" t="str">
        <f t="shared" si="124"/>
        <v/>
      </c>
      <c r="GU35" s="86"/>
      <c r="GV35" s="91" t="str">
        <f t="shared" si="125"/>
        <v/>
      </c>
      <c r="GW35" s="85" t="str">
        <f t="shared" si="126"/>
        <v/>
      </c>
      <c r="GX35" s="86"/>
      <c r="GY35" s="91" t="str">
        <f t="shared" si="127"/>
        <v/>
      </c>
      <c r="GZ35" s="85" t="str">
        <f t="shared" si="128"/>
        <v/>
      </c>
      <c r="HA35" s="86"/>
      <c r="HB35" s="91" t="str">
        <f t="shared" si="129"/>
        <v/>
      </c>
      <c r="HC35" s="85" t="str">
        <f t="shared" si="130"/>
        <v/>
      </c>
      <c r="HD35" s="92"/>
      <c r="HE35" s="91" t="str">
        <f t="shared" si="131"/>
        <v/>
      </c>
      <c r="HF35" s="85" t="str">
        <f t="shared" si="132"/>
        <v/>
      </c>
      <c r="HG35" s="86"/>
      <c r="HH35" s="91" t="str">
        <f t="shared" si="133"/>
        <v/>
      </c>
      <c r="HI35" s="85" t="str">
        <f t="shared" si="134"/>
        <v/>
      </c>
      <c r="HJ35" s="86"/>
      <c r="HK35" s="91" t="str">
        <f t="shared" si="135"/>
        <v/>
      </c>
      <c r="HL35" s="85" t="str">
        <f t="shared" si="136"/>
        <v/>
      </c>
      <c r="HM35" s="56"/>
      <c r="HN35" s="91" t="str">
        <f t="shared" si="137"/>
        <v/>
      </c>
      <c r="HO35" s="85" t="str">
        <f t="shared" si="138"/>
        <v/>
      </c>
      <c r="HP35" s="86"/>
      <c r="HQ35" s="91" t="str">
        <f t="shared" si="139"/>
        <v/>
      </c>
      <c r="HR35" s="85" t="str">
        <f t="shared" si="140"/>
        <v/>
      </c>
      <c r="HS35" s="86"/>
      <c r="HT35" s="91" t="str">
        <f t="shared" si="141"/>
        <v/>
      </c>
      <c r="HU35" s="85" t="str">
        <f t="shared" si="142"/>
        <v/>
      </c>
      <c r="HV35" s="86"/>
      <c r="HW35" s="91" t="str">
        <f t="shared" si="143"/>
        <v/>
      </c>
      <c r="HX35" s="85" t="str">
        <f t="shared" si="144"/>
        <v/>
      </c>
      <c r="HY35" s="86"/>
      <c r="HZ35" s="91" t="str">
        <f t="shared" si="145"/>
        <v/>
      </c>
      <c r="IA35" s="85" t="str">
        <f t="shared" si="146"/>
        <v/>
      </c>
      <c r="IB35" s="86"/>
      <c r="IC35" s="91" t="str">
        <f t="shared" si="147"/>
        <v/>
      </c>
      <c r="ID35" s="85" t="str">
        <f t="shared" si="148"/>
        <v/>
      </c>
      <c r="IE35" s="86"/>
      <c r="IF35" s="91" t="str">
        <f t="shared" si="149"/>
        <v/>
      </c>
      <c r="IG35" s="85" t="str">
        <f t="shared" si="150"/>
        <v/>
      </c>
      <c r="IH35" s="86"/>
      <c r="II35" s="91" t="str">
        <f t="shared" si="151"/>
        <v/>
      </c>
      <c r="IJ35" s="85" t="str">
        <f t="shared" si="152"/>
        <v/>
      </c>
      <c r="IK35" s="86"/>
      <c r="IL35" s="91" t="str">
        <f t="shared" si="153"/>
        <v/>
      </c>
      <c r="IM35" s="85" t="str">
        <f t="shared" si="154"/>
        <v/>
      </c>
      <c r="IN35" s="86"/>
      <c r="IO35" s="91" t="str">
        <f t="shared" si="155"/>
        <v/>
      </c>
      <c r="IP35" s="85" t="str">
        <f t="shared" si="156"/>
        <v/>
      </c>
      <c r="IQ35" s="86"/>
      <c r="IR35" s="91" t="str">
        <f t="shared" si="157"/>
        <v/>
      </c>
      <c r="IS35" s="85" t="str">
        <f t="shared" si="158"/>
        <v/>
      </c>
      <c r="IT35" s="86"/>
      <c r="IU35" s="91" t="str">
        <f t="shared" si="159"/>
        <v/>
      </c>
      <c r="IV35" s="85" t="str">
        <f t="shared" si="160"/>
        <v/>
      </c>
      <c r="IW35" s="86"/>
      <c r="IX35" s="91" t="str">
        <f t="shared" si="161"/>
        <v/>
      </c>
      <c r="IY35" s="85" t="str">
        <f t="shared" si="162"/>
        <v/>
      </c>
      <c r="IZ35" s="86"/>
      <c r="JA35" s="91" t="str">
        <f t="shared" si="163"/>
        <v/>
      </c>
      <c r="JB35" s="85" t="str">
        <f t="shared" si="164"/>
        <v/>
      </c>
      <c r="JC35" s="86"/>
      <c r="JD35" s="91" t="str">
        <f t="shared" si="165"/>
        <v/>
      </c>
      <c r="JE35" s="85" t="str">
        <f t="shared" si="166"/>
        <v/>
      </c>
      <c r="JF35" s="86"/>
      <c r="JG35" s="91" t="str">
        <f t="shared" si="167"/>
        <v/>
      </c>
      <c r="JH35" s="85" t="str">
        <f t="shared" si="168"/>
        <v/>
      </c>
      <c r="JI35" s="86"/>
      <c r="JJ35" s="91" t="str">
        <f t="shared" si="169"/>
        <v/>
      </c>
      <c r="JK35" s="85" t="str">
        <f t="shared" si="170"/>
        <v/>
      </c>
      <c r="JL35" s="86"/>
      <c r="JM35" s="91" t="str">
        <f t="shared" si="171"/>
        <v/>
      </c>
      <c r="JN35" s="85" t="str">
        <f t="shared" si="172"/>
        <v/>
      </c>
      <c r="JO35" s="86"/>
      <c r="JP35" s="91" t="str">
        <f t="shared" si="173"/>
        <v/>
      </c>
      <c r="JQ35" s="85" t="str">
        <f t="shared" si="174"/>
        <v/>
      </c>
      <c r="JR35" s="86"/>
      <c r="JS35" s="91" t="str">
        <f t="shared" si="175"/>
        <v/>
      </c>
      <c r="JT35" s="85" t="str">
        <f t="shared" si="176"/>
        <v/>
      </c>
      <c r="JU35" s="86"/>
      <c r="JV35" s="91" t="str">
        <f t="shared" si="177"/>
        <v/>
      </c>
      <c r="JW35" s="85" t="str">
        <f t="shared" si="178"/>
        <v/>
      </c>
      <c r="JX35" s="86"/>
      <c r="JY35" s="91" t="str">
        <f t="shared" si="179"/>
        <v/>
      </c>
      <c r="JZ35" s="85" t="str">
        <f t="shared" si="180"/>
        <v/>
      </c>
      <c r="KA35" s="86"/>
      <c r="KB35" s="91" t="str">
        <f t="shared" si="181"/>
        <v/>
      </c>
      <c r="KC35" s="85" t="str">
        <f t="shared" si="182"/>
        <v/>
      </c>
      <c r="KD35" s="86"/>
      <c r="KE35" s="91" t="str">
        <f t="shared" si="183"/>
        <v/>
      </c>
      <c r="KF35" s="85" t="str">
        <f t="shared" si="184"/>
        <v/>
      </c>
      <c r="KG35" s="86"/>
      <c r="KH35" s="91" t="str">
        <f t="shared" si="185"/>
        <v/>
      </c>
      <c r="KI35" s="85" t="str">
        <f t="shared" si="186"/>
        <v/>
      </c>
      <c r="KJ35" s="86"/>
      <c r="KK35" s="91" t="str">
        <f t="shared" si="187"/>
        <v/>
      </c>
      <c r="KL35" s="85" t="str">
        <f t="shared" si="188"/>
        <v/>
      </c>
      <c r="KM35" s="86"/>
      <c r="KN35" s="91" t="str">
        <f t="shared" si="189"/>
        <v/>
      </c>
      <c r="KO35" s="85" t="str">
        <f t="shared" si="190"/>
        <v/>
      </c>
      <c r="KP35" s="86"/>
      <c r="KQ35" s="91" t="str">
        <f t="shared" si="191"/>
        <v/>
      </c>
      <c r="KR35" s="85" t="str">
        <f t="shared" si="192"/>
        <v/>
      </c>
      <c r="KS35" s="86"/>
      <c r="KT35" s="91" t="str">
        <f t="shared" si="193"/>
        <v/>
      </c>
      <c r="KU35" s="85" t="str">
        <f t="shared" si="194"/>
        <v/>
      </c>
      <c r="KV35" s="86"/>
      <c r="KW35" s="91" t="str">
        <f t="shared" si="195"/>
        <v/>
      </c>
      <c r="KX35" s="85" t="str">
        <f t="shared" si="196"/>
        <v/>
      </c>
      <c r="KY35" s="92"/>
      <c r="KZ35" s="91" t="str">
        <f t="shared" si="197"/>
        <v/>
      </c>
      <c r="LA35" s="85" t="str">
        <f t="shared" si="198"/>
        <v/>
      </c>
      <c r="LB35" s="50">
        <f t="shared" si="218"/>
        <v>86.4</v>
      </c>
      <c r="LC35" s="57">
        <f t="shared" si="199"/>
        <v>31</v>
      </c>
      <c r="LD35" s="50">
        <f t="shared" si="207"/>
        <v>0.12606211844792353</v>
      </c>
      <c r="LE35" s="57">
        <f t="shared" si="200"/>
        <v>32</v>
      </c>
      <c r="LF35" s="50">
        <f t="shared" si="208"/>
        <v>0.58333333333333326</v>
      </c>
      <c r="LG35" s="57">
        <f t="shared" si="201"/>
        <v>31</v>
      </c>
      <c r="LH35" s="58">
        <f t="shared" si="202"/>
        <v>43.640350877192986</v>
      </c>
      <c r="LI35" s="58">
        <f t="shared" si="203"/>
        <v>41.025595662868128</v>
      </c>
      <c r="LJ35" s="58">
        <f t="shared" si="204"/>
        <v>39.583333333333329</v>
      </c>
      <c r="LK35" s="58">
        <f t="shared" si="205"/>
        <v>74.249279873394443</v>
      </c>
      <c r="LL35" s="60">
        <f t="shared" si="206"/>
        <v>32</v>
      </c>
      <c r="LM35" s="55"/>
      <c r="LN35" s="112">
        <f t="shared" si="217"/>
        <v>13</v>
      </c>
      <c r="LO35" s="61">
        <f t="shared" si="214"/>
        <v>32</v>
      </c>
      <c r="LP35" s="64"/>
      <c r="LQ35" s="64"/>
      <c r="LR35" s="64"/>
    </row>
    <row r="36" spans="1:334" s="62" customFormat="1" ht="15" customHeight="1">
      <c r="A36" s="50">
        <f t="shared" si="211"/>
        <v>5</v>
      </c>
      <c r="B36" s="50">
        <f t="shared" si="212"/>
        <v>5</v>
      </c>
      <c r="C36" s="117">
        <v>40</v>
      </c>
      <c r="D36" s="118" t="s">
        <v>207</v>
      </c>
      <c r="E36" s="286" t="s">
        <v>635</v>
      </c>
      <c r="F36" s="286" t="s">
        <v>636</v>
      </c>
      <c r="G36" s="76"/>
      <c r="H36" s="119" t="s">
        <v>129</v>
      </c>
      <c r="I36" s="286" t="s">
        <v>557</v>
      </c>
      <c r="J36" s="119" t="s">
        <v>208</v>
      </c>
      <c r="K36" s="119" t="s">
        <v>2</v>
      </c>
      <c r="L36" s="53" t="s">
        <v>209</v>
      </c>
      <c r="M36" s="292" t="s">
        <v>35</v>
      </c>
      <c r="N36" s="89"/>
      <c r="O36" s="91" t="str">
        <f t="shared" ref="O36:O67" si="219">IF(COUNT(N36)=0,"",(N36-N$105)/N$106)</f>
        <v/>
      </c>
      <c r="P36" s="85" t="str">
        <f t="shared" si="1"/>
        <v/>
      </c>
      <c r="Q36" s="86">
        <v>63</v>
      </c>
      <c r="R36" s="91">
        <f t="shared" ref="R36:R67" si="220">IF(COUNT(Q36)=0,"",(Q36-Q$105)/Q$106)</f>
        <v>-1.6379529095307679</v>
      </c>
      <c r="S36" s="85">
        <f t="shared" si="3"/>
        <v>0</v>
      </c>
      <c r="T36" s="86"/>
      <c r="U36" s="91" t="str">
        <f t="shared" ref="U36:U67" si="221">IF(COUNT(T36)=0,"",(T36-T$105)/T$106)</f>
        <v/>
      </c>
      <c r="V36" s="85" t="str">
        <f t="shared" si="5"/>
        <v/>
      </c>
      <c r="W36" s="86"/>
      <c r="X36" s="91" t="str">
        <f t="shared" ref="X36:X67" si="222">IF(COUNT(W36)=0,"",(W36-W$105)/W$106)</f>
        <v/>
      </c>
      <c r="Y36" s="85" t="str">
        <f t="shared" si="7"/>
        <v/>
      </c>
      <c r="Z36" s="86"/>
      <c r="AA36" s="91" t="str">
        <f t="shared" ref="AA36:AA67" si="223">IF(COUNT(Z36)=0,"",(Z36-Z$105)/Z$106)</f>
        <v/>
      </c>
      <c r="AB36" s="85" t="str">
        <f t="shared" si="9"/>
        <v/>
      </c>
      <c r="AC36" s="86"/>
      <c r="AD36" s="91" t="str">
        <f t="shared" ref="AD36:AD67" si="224">IF(COUNT(AC36)=0,"",(AC36-AC$105)/AC$106)</f>
        <v/>
      </c>
      <c r="AE36" s="85" t="str">
        <f t="shared" si="11"/>
        <v/>
      </c>
      <c r="AF36" s="86"/>
      <c r="AG36" s="91" t="str">
        <f t="shared" ref="AG36:AG67" si="225">IF(COUNT(AF36)=0,"",(AF36-AF$105)/AF$106)</f>
        <v/>
      </c>
      <c r="AH36" s="85" t="str">
        <f t="shared" si="13"/>
        <v/>
      </c>
      <c r="AI36" s="86"/>
      <c r="AJ36" s="91" t="str">
        <f t="shared" ref="AJ36:AJ67" si="226">IF(COUNT(AI36)=0,"",(AI36-AI$105)/AI$106)</f>
        <v/>
      </c>
      <c r="AK36" s="85" t="str">
        <f t="shared" si="15"/>
        <v/>
      </c>
      <c r="AL36" s="86"/>
      <c r="AM36" s="91" t="str">
        <f t="shared" ref="AM36:AM67" si="227">IF(COUNT(AL36)=0,"",(AL36-AL$105)/AL$106)</f>
        <v/>
      </c>
      <c r="AN36" s="85" t="str">
        <f t="shared" si="17"/>
        <v/>
      </c>
      <c r="AO36" s="86"/>
      <c r="AP36" s="91" t="str">
        <f t="shared" ref="AP36:AP67" si="228">IF(COUNT(AO36)=0,"",(AO36-AO$105)/AO$106)</f>
        <v/>
      </c>
      <c r="AQ36" s="85" t="str">
        <f t="shared" si="19"/>
        <v/>
      </c>
      <c r="AR36" s="86"/>
      <c r="AS36" s="91" t="str">
        <f t="shared" ref="AS36:AS67" si="229">IF(COUNT(AR36)=0,"",(AR36-AR$105)/AR$106)</f>
        <v/>
      </c>
      <c r="AT36" s="85" t="str">
        <f t="shared" si="21"/>
        <v/>
      </c>
      <c r="AU36" s="86"/>
      <c r="AV36" s="91" t="str">
        <f t="shared" ref="AV36:AV67" si="230">IF(COUNT(AU36)=0,"",(AU36-AU$105)/AU$106)</f>
        <v/>
      </c>
      <c r="AW36" s="85" t="str">
        <f t="shared" si="23"/>
        <v/>
      </c>
      <c r="AX36" s="89"/>
      <c r="AY36" s="91" t="str">
        <f t="shared" ref="AY36:AY67" si="231">IF(COUNT(AX36)=0,"",(AX36-AX$105)/AX$106)</f>
        <v/>
      </c>
      <c r="AZ36" s="85" t="str">
        <f t="shared" si="25"/>
        <v/>
      </c>
      <c r="BA36" s="86"/>
      <c r="BB36" s="91" t="str">
        <f t="shared" ref="BB36:BB67" si="232">IF(COUNT(BA36)=0,"",(BA36-BA$105)/BA$106)</f>
        <v/>
      </c>
      <c r="BC36" s="85" t="str">
        <f t="shared" si="27"/>
        <v/>
      </c>
      <c r="BD36" s="97"/>
      <c r="BE36" s="91" t="str">
        <f t="shared" ref="BE36:BE67" si="233">IF(COUNT(BD36)=0,"",(BD36-BD$105)/BD$106)</f>
        <v/>
      </c>
      <c r="BF36" s="85" t="str">
        <f t="shared" si="29"/>
        <v/>
      </c>
      <c r="BG36" s="86"/>
      <c r="BH36" s="91" t="str">
        <f t="shared" ref="BH36:BH67" si="234">IF(COUNT(BG36)=0,"",(BG36-BG$105)/BG$106)</f>
        <v/>
      </c>
      <c r="BI36" s="85" t="str">
        <f t="shared" si="31"/>
        <v/>
      </c>
      <c r="BJ36" s="89"/>
      <c r="BK36" s="91" t="str">
        <f t="shared" ref="BK36:BK67" si="235">IF(COUNT(BJ36)=0,"",(BJ36-BJ$105)/BJ$106)</f>
        <v/>
      </c>
      <c r="BL36" s="85" t="str">
        <f t="shared" si="33"/>
        <v/>
      </c>
      <c r="BM36" s="56"/>
      <c r="BN36" s="91" t="str">
        <f t="shared" ref="BN36:BN67" si="236">IF(COUNT(BM36)=0,"",(BM36-BM$105)/BM$106)</f>
        <v/>
      </c>
      <c r="BO36" s="85" t="str">
        <f t="shared" si="35"/>
        <v/>
      </c>
      <c r="BP36" s="51"/>
      <c r="BQ36" s="91" t="str">
        <f t="shared" ref="BQ36:BQ67" si="237">IF(COUNT(BP36)=0,"",(BP36-BP$105)/BP$106)</f>
        <v/>
      </c>
      <c r="BR36" s="85" t="str">
        <f t="shared" si="37"/>
        <v/>
      </c>
      <c r="BS36" s="86"/>
      <c r="BT36" s="91" t="str">
        <f t="shared" ref="BT36:BT67" si="238">IF(COUNT(BS36)=0,"",(BS36-BS$105)/BS$106)</f>
        <v/>
      </c>
      <c r="BU36" s="85" t="str">
        <f t="shared" si="39"/>
        <v/>
      </c>
      <c r="BV36" s="86">
        <v>74</v>
      </c>
      <c r="BW36" s="91">
        <f t="shared" ref="BW36:BW67" si="239">IF(COUNT(BV36)=0,"",(BV36-BV$105)/BV$106)</f>
        <v>-1.0807838525427178</v>
      </c>
      <c r="BX36" s="85">
        <f t="shared" si="41"/>
        <v>0.16666666666666666</v>
      </c>
      <c r="BY36" s="86"/>
      <c r="BZ36" s="91" t="str">
        <f t="shared" ref="BZ36:BZ67" si="240">IF(COUNT(BY36)=0,"",(BY36-BY$105)/BY$106)</f>
        <v/>
      </c>
      <c r="CA36" s="85" t="str">
        <f t="shared" si="43"/>
        <v/>
      </c>
      <c r="CB36" s="56"/>
      <c r="CC36" s="91" t="str">
        <f t="shared" ref="CC36:CC67" si="241">IF(COUNT(CB36)=0,"",(CB36-CB$105)/CB$106)</f>
        <v/>
      </c>
      <c r="CD36" s="85" t="str">
        <f t="shared" si="45"/>
        <v/>
      </c>
      <c r="CE36" s="92"/>
      <c r="CF36" s="91" t="str">
        <f t="shared" ref="CF36:CF67" si="242">IF(COUNT(CE36)=0,"",(CE36-CE$105)/CE$106)</f>
        <v/>
      </c>
      <c r="CG36" s="85" t="str">
        <f t="shared" si="47"/>
        <v/>
      </c>
      <c r="CH36" s="86"/>
      <c r="CI36" s="91" t="str">
        <f t="shared" ref="CI36:CI67" si="243">IF(COUNT(CH36)=0,"",(CH36-CH$105)/CH$106)</f>
        <v/>
      </c>
      <c r="CJ36" s="85" t="str">
        <f t="shared" si="49"/>
        <v/>
      </c>
      <c r="CK36" s="86"/>
      <c r="CL36" s="91" t="str">
        <f t="shared" ref="CL36:CL67" si="244">IF(COUNT(CK36)=0,"",(CK36-CK$105)/CK$106)</f>
        <v/>
      </c>
      <c r="CM36" s="85" t="str">
        <f t="shared" si="51"/>
        <v/>
      </c>
      <c r="CN36" s="86"/>
      <c r="CO36" s="91" t="str">
        <f t="shared" ref="CO36:CO67" si="245">IF(COUNT(CN36)=0,"",(CN36-CN$105)/CN$106)</f>
        <v/>
      </c>
      <c r="CP36" s="85" t="str">
        <f t="shared" si="53"/>
        <v/>
      </c>
      <c r="CQ36" s="86"/>
      <c r="CR36" s="91" t="str">
        <f t="shared" ref="CR36:CR67" si="246">IF(COUNT(CQ36)=0,"",(CQ36-CQ$105)/CQ$106)</f>
        <v/>
      </c>
      <c r="CS36" s="85" t="str">
        <f t="shared" si="55"/>
        <v/>
      </c>
      <c r="CT36" s="86"/>
      <c r="CU36" s="91" t="str">
        <f t="shared" ref="CU36:CU67" si="247">IF(COUNT(CT36)=0,"",(CT36-CT$105)/CT$106)</f>
        <v/>
      </c>
      <c r="CV36" s="85" t="str">
        <f t="shared" si="57"/>
        <v/>
      </c>
      <c r="CW36" s="86">
        <v>79</v>
      </c>
      <c r="CX36" s="91">
        <f t="shared" ref="CX36:CX67" si="248">IF(COUNT(CW36)=0,"",(CW36-CW$105)/CW$106)</f>
        <v>-1.0274108226168059</v>
      </c>
      <c r="CY36" s="85">
        <f t="shared" si="59"/>
        <v>0.25</v>
      </c>
      <c r="CZ36" s="86"/>
      <c r="DA36" s="91" t="str">
        <f t="shared" ref="DA36:DA67" si="249">IF(COUNT(CZ36)=0,"",(CZ36-CZ$105)/CZ$106)</f>
        <v/>
      </c>
      <c r="DB36" s="85" t="str">
        <f t="shared" si="61"/>
        <v/>
      </c>
      <c r="DC36" s="86"/>
      <c r="DD36" s="91" t="str">
        <f t="shared" ref="DD36:DD67" si="250">IF(COUNT(DC36)=0,"",(DC36-DC$105)/DC$106)</f>
        <v/>
      </c>
      <c r="DE36" s="85" t="str">
        <f t="shared" si="63"/>
        <v/>
      </c>
      <c r="DF36" s="92"/>
      <c r="DG36" s="91"/>
      <c r="DH36" s="85" t="str">
        <f t="shared" si="64"/>
        <v/>
      </c>
      <c r="DI36" s="86"/>
      <c r="DJ36" s="91" t="str">
        <f t="shared" ref="DJ36:DJ67" si="251">IF(COUNT(DI36)=0,"",(DI36-DI$105)/DI$106)</f>
        <v/>
      </c>
      <c r="DK36" s="85" t="str">
        <f t="shared" si="66"/>
        <v/>
      </c>
      <c r="DL36" s="86"/>
      <c r="DM36" s="91" t="str">
        <f t="shared" ref="DM36:DM67" si="252">IF(COUNT(DL36)=0,"",(DL36-DL$105)/DL$106)</f>
        <v/>
      </c>
      <c r="DN36" s="85" t="str">
        <f t="shared" si="68"/>
        <v/>
      </c>
      <c r="DO36" s="86"/>
      <c r="DP36" s="91" t="str">
        <f t="shared" ref="DP36:DP67" si="253">IF(COUNT(DO36)=0,"",(DO36-DO$105)/DO$106)</f>
        <v/>
      </c>
      <c r="DQ36" s="85" t="str">
        <f t="shared" si="70"/>
        <v/>
      </c>
      <c r="DR36" s="86"/>
      <c r="DS36" s="91" t="str">
        <f t="shared" ref="DS36:DS67" si="254">IF(COUNT(DR36)=0,"",(DR36-DR$105)/DR$106)</f>
        <v/>
      </c>
      <c r="DT36" s="85" t="str">
        <f t="shared" si="72"/>
        <v/>
      </c>
      <c r="DU36" s="86"/>
      <c r="DV36" s="91" t="str">
        <f t="shared" ref="DV36:DV67" si="255">IF(COUNT(DU36)=0,"",(DU36-DU$105)/DU$106)</f>
        <v/>
      </c>
      <c r="DW36" s="85" t="str">
        <f t="shared" si="74"/>
        <v/>
      </c>
      <c r="DX36" s="86"/>
      <c r="DY36" s="91" t="str">
        <f t="shared" ref="DY36:DY67" si="256">IF(COUNT(DX36)=0,"",(DX36-DX$105)/DX$106)</f>
        <v/>
      </c>
      <c r="DZ36" s="85" t="str">
        <f t="shared" si="76"/>
        <v/>
      </c>
      <c r="EA36" s="86"/>
      <c r="EB36" s="91" t="str">
        <f t="shared" ref="EB36:EB67" si="257">IF(COUNT(EA36)=0,"",(EA36-EA$105)/EA$106)</f>
        <v/>
      </c>
      <c r="EC36" s="85" t="str">
        <f t="shared" si="78"/>
        <v/>
      </c>
      <c r="ED36" s="56"/>
      <c r="EE36" s="91" t="str">
        <f t="shared" ref="EE36:EE67" si="258">IF(COUNT(ED36)=0,"",(ED36-ED$105)/ED$106)</f>
        <v/>
      </c>
      <c r="EF36" s="85" t="str">
        <f t="shared" si="80"/>
        <v/>
      </c>
      <c r="EG36" s="86"/>
      <c r="EH36" s="91" t="str">
        <f t="shared" ref="EH36:EH67" si="259">IF(COUNT(EG36)=0,"",(EG36-EG$105)/EG$106)</f>
        <v/>
      </c>
      <c r="EI36" s="85" t="str">
        <f t="shared" si="82"/>
        <v/>
      </c>
      <c r="EJ36" s="86"/>
      <c r="EK36" s="91" t="str">
        <f t="shared" ref="EK36:EK67" si="260">IF(COUNT(EJ36)=0,"",(EJ36-EJ$105)/EJ$106)</f>
        <v/>
      </c>
      <c r="EL36" s="85" t="str">
        <f t="shared" si="84"/>
        <v/>
      </c>
      <c r="EM36" s="89">
        <v>35</v>
      </c>
      <c r="EN36" s="91">
        <f t="shared" ref="EN36:EN67" si="261">IF(COUNT(EM36)=0,"",(EM36-EM$105)/EM$106)</f>
        <v>-1.7835551694063905</v>
      </c>
      <c r="EO36" s="85">
        <f t="shared" si="86"/>
        <v>0</v>
      </c>
      <c r="EP36" s="86"/>
      <c r="EQ36" s="91" t="str">
        <f t="shared" ref="EQ36:EQ67" si="262">IF(COUNT(EP36)=0,"",(EP36-EP$105)/EP$106)</f>
        <v/>
      </c>
      <c r="ER36" s="85" t="str">
        <f t="shared" si="88"/>
        <v/>
      </c>
      <c r="ES36" s="51"/>
      <c r="ET36" s="91" t="str">
        <f t="shared" ref="ET36:ET67" si="263">IF(COUNT(ES36)=0,"",(ES36-ES$105)/ES$106)</f>
        <v/>
      </c>
      <c r="EU36" s="85" t="str">
        <f t="shared" si="90"/>
        <v/>
      </c>
      <c r="EV36" s="86"/>
      <c r="EW36" s="91" t="str">
        <f t="shared" ref="EW36:EW67" si="264">IF(COUNT(EV36)=0,"",(EV36-EV$105)/EV$106)</f>
        <v/>
      </c>
      <c r="EX36" s="85" t="str">
        <f t="shared" si="92"/>
        <v/>
      </c>
      <c r="EY36" s="86"/>
      <c r="EZ36" s="91" t="str">
        <f t="shared" ref="EZ36:EZ67" si="265">IF(COUNT(EY36)=0,"",(EY36-EY$105)/EY$106)</f>
        <v/>
      </c>
      <c r="FA36" s="85" t="str">
        <f t="shared" si="94"/>
        <v/>
      </c>
      <c r="FB36" s="56"/>
      <c r="FC36" s="91" t="str">
        <f t="shared" ref="FC36:FC67" si="266">IF(COUNT(FB36)=0,"",(FB36-FB$105)/FB$106)</f>
        <v/>
      </c>
      <c r="FD36" s="85" t="str">
        <f t="shared" si="96"/>
        <v/>
      </c>
      <c r="FE36" s="89"/>
      <c r="FF36" s="91" t="str">
        <f t="shared" ref="FF36:FF67" si="267">IF(COUNT(FE36)=0,"",(FE36-FE$105)/FE$106)</f>
        <v/>
      </c>
      <c r="FG36" s="85" t="str">
        <f t="shared" si="98"/>
        <v/>
      </c>
      <c r="FH36" s="86"/>
      <c r="FI36" s="91" t="str">
        <f t="shared" ref="FI36:FI67" si="268">IF(COUNT(FH36)=0,"",(FH36-FH$105)/FH$106)</f>
        <v/>
      </c>
      <c r="FJ36" s="85" t="str">
        <f t="shared" si="100"/>
        <v/>
      </c>
      <c r="FK36" s="86"/>
      <c r="FL36" s="91" t="str">
        <f t="shared" ref="FL36:FL67" si="269">IF(COUNT(FK36)=0,"",(FK36-FK$105)/FK$106)</f>
        <v/>
      </c>
      <c r="FM36" s="85" t="str">
        <f t="shared" si="102"/>
        <v/>
      </c>
      <c r="FN36" s="86"/>
      <c r="FO36" s="91" t="str">
        <f t="shared" ref="FO36:FO67" si="270">IF(COUNT(FN36)=0,"",(FN36-FN$105)/FN$106)</f>
        <v/>
      </c>
      <c r="FP36" s="85" t="str">
        <f t="shared" si="104"/>
        <v/>
      </c>
      <c r="FQ36" s="86"/>
      <c r="FR36" s="91" t="str">
        <f t="shared" ref="FR36:FR67" si="271">IF(COUNT(FQ36)=0,"",(FQ36-FQ$105)/FQ$106)</f>
        <v/>
      </c>
      <c r="FS36" s="85" t="str">
        <f t="shared" si="106"/>
        <v/>
      </c>
      <c r="FT36" s="86"/>
      <c r="FU36" s="91" t="str">
        <f t="shared" ref="FU36:FU67" si="272">IF(COUNT(FT36)=0,"",(FT36-FT$105)/FT$106)</f>
        <v/>
      </c>
      <c r="FV36" s="85" t="str">
        <f t="shared" si="108"/>
        <v/>
      </c>
      <c r="FW36" s="92"/>
      <c r="FX36" s="91" t="str">
        <f t="shared" ref="FX36:FX67" si="273">IF(COUNT(FW36)=0,"",(FW36-FW$105)/FW$106)</f>
        <v/>
      </c>
      <c r="FY36" s="85" t="str">
        <f t="shared" si="110"/>
        <v/>
      </c>
      <c r="FZ36" s="86">
        <v>78</v>
      </c>
      <c r="GA36" s="91">
        <f t="shared" ref="GA36:GA67" si="274">IF(COUNT(FZ36)=0,"",(FZ36-FZ$105)/FZ$106)</f>
        <v>-1.3279927994878131</v>
      </c>
      <c r="GB36" s="85">
        <f t="shared" si="112"/>
        <v>0</v>
      </c>
      <c r="GC36" s="86"/>
      <c r="GD36" s="91" t="str">
        <f t="shared" ref="GD36:GD67" si="275">IF(COUNT(GC36)=0,"",(GC36-GC$105)/GC$106)</f>
        <v/>
      </c>
      <c r="GE36" s="85" t="str">
        <f t="shared" si="114"/>
        <v/>
      </c>
      <c r="GF36" s="89"/>
      <c r="GG36" s="91" t="str">
        <f t="shared" ref="GG36:GG67" si="276">IF(COUNT(GF36)=0,"",(GF36-GF$105)/GF$106)</f>
        <v/>
      </c>
      <c r="GH36" s="85" t="str">
        <f t="shared" si="116"/>
        <v/>
      </c>
      <c r="GI36" s="86"/>
      <c r="GJ36" s="91" t="str">
        <f t="shared" ref="GJ36:GJ67" si="277">IF(COUNT(GI36)=0,"",(GI36-GI$105)/GI$106)</f>
        <v/>
      </c>
      <c r="GK36" s="85" t="str">
        <f t="shared" si="118"/>
        <v/>
      </c>
      <c r="GL36" s="86"/>
      <c r="GM36" s="91" t="str">
        <f t="shared" ref="GM36:GM67" si="278">IF(COUNT(GL36)=0,"",(GL36-GL$105)/GL$106)</f>
        <v/>
      </c>
      <c r="GN36" s="85" t="str">
        <f t="shared" si="120"/>
        <v/>
      </c>
      <c r="GO36" s="86"/>
      <c r="GP36" s="91" t="str">
        <f t="shared" ref="GP36:GP67" si="279">IF(COUNT(GO36)=0,"",(GO36-GO$105)/GO$106)</f>
        <v/>
      </c>
      <c r="GQ36" s="85" t="str">
        <f t="shared" si="122"/>
        <v/>
      </c>
      <c r="GR36" s="86"/>
      <c r="GS36" s="91" t="str">
        <f t="shared" ref="GS36:GS67" si="280">IF(COUNT(GR36)=0,"",(GR36-GR$105)/GR$106)</f>
        <v/>
      </c>
      <c r="GT36" s="85" t="str">
        <f t="shared" si="124"/>
        <v/>
      </c>
      <c r="GU36" s="86"/>
      <c r="GV36" s="91" t="str">
        <f t="shared" ref="GV36:GV67" si="281">IF(COUNT(GU36)=0,"",(GU36-GU$105)/GU$106)</f>
        <v/>
      </c>
      <c r="GW36" s="85" t="str">
        <f t="shared" si="126"/>
        <v/>
      </c>
      <c r="GX36" s="86"/>
      <c r="GY36" s="91" t="str">
        <f t="shared" ref="GY36:GY67" si="282">IF(COUNT(GX36)=0,"",(GX36-GX$105)/GX$106)</f>
        <v/>
      </c>
      <c r="GZ36" s="85" t="str">
        <f t="shared" si="128"/>
        <v/>
      </c>
      <c r="HA36" s="86"/>
      <c r="HB36" s="91" t="str">
        <f t="shared" ref="HB36:HB67" si="283">IF(COUNT(HA36)=0,"",(HA36-HA$105)/HA$106)</f>
        <v/>
      </c>
      <c r="HC36" s="85" t="str">
        <f t="shared" si="130"/>
        <v/>
      </c>
      <c r="HD36" s="92"/>
      <c r="HE36" s="91" t="str">
        <f t="shared" ref="HE36:HE67" si="284">IF(COUNT(HD36)=0,"",(HD36-HD$105)/HD$106)</f>
        <v/>
      </c>
      <c r="HF36" s="85" t="str">
        <f t="shared" si="132"/>
        <v/>
      </c>
      <c r="HG36" s="86"/>
      <c r="HH36" s="91" t="str">
        <f t="shared" ref="HH36:HH67" si="285">IF(COUNT(HG36)=0,"",(HG36-HG$105)/HG$106)</f>
        <v/>
      </c>
      <c r="HI36" s="85" t="str">
        <f t="shared" si="134"/>
        <v/>
      </c>
      <c r="HJ36" s="86"/>
      <c r="HK36" s="91" t="str">
        <f t="shared" ref="HK36:HK67" si="286">IF(COUNT(HJ36)=0,"",(HJ36-HJ$105)/HJ$106)</f>
        <v/>
      </c>
      <c r="HL36" s="85" t="str">
        <f t="shared" si="136"/>
        <v/>
      </c>
      <c r="HM36" s="86"/>
      <c r="HN36" s="91" t="str">
        <f t="shared" ref="HN36:HN67" si="287">IF(COUNT(HM36)=0,"",(HM36-HM$105)/HM$106)</f>
        <v/>
      </c>
      <c r="HO36" s="85" t="str">
        <f t="shared" si="138"/>
        <v/>
      </c>
      <c r="HP36" s="56"/>
      <c r="HQ36" s="91" t="str">
        <f t="shared" ref="HQ36:HQ67" si="288">IF(COUNT(HP36)=0,"",(HP36-HP$105)/HP$106)</f>
        <v/>
      </c>
      <c r="HR36" s="85" t="str">
        <f t="shared" si="140"/>
        <v/>
      </c>
      <c r="HS36" s="86"/>
      <c r="HT36" s="91" t="str">
        <f t="shared" ref="HT36:HT67" si="289">IF(COUNT(HS36)=0,"",(HS36-HS$105)/HS$106)</f>
        <v/>
      </c>
      <c r="HU36" s="85" t="str">
        <f t="shared" si="142"/>
        <v/>
      </c>
      <c r="HV36" s="86"/>
      <c r="HW36" s="91" t="str">
        <f t="shared" ref="HW36:HW67" si="290">IF(COUNT(HV36)=0,"",(HV36-HV$105)/HV$106)</f>
        <v/>
      </c>
      <c r="HX36" s="85" t="str">
        <f t="shared" si="144"/>
        <v/>
      </c>
      <c r="HY36" s="86"/>
      <c r="HZ36" s="91" t="str">
        <f t="shared" ref="HZ36:HZ67" si="291">IF(COUNT(HY36)=0,"",(HY36-HY$105)/HY$106)</f>
        <v/>
      </c>
      <c r="IA36" s="85" t="str">
        <f t="shared" si="146"/>
        <v/>
      </c>
      <c r="IB36" s="86"/>
      <c r="IC36" s="91" t="str">
        <f t="shared" ref="IC36:IC67" si="292">IF(COUNT(IB36)=0,"",(IB36-IB$105)/IB$106)</f>
        <v/>
      </c>
      <c r="ID36" s="85" t="str">
        <f t="shared" si="148"/>
        <v/>
      </c>
      <c r="IE36" s="86"/>
      <c r="IF36" s="91" t="str">
        <f t="shared" ref="IF36:IF67" si="293">IF(COUNT(IE36)=0,"",(IE36-IE$105)/IE$106)</f>
        <v/>
      </c>
      <c r="IG36" s="85" t="str">
        <f t="shared" si="150"/>
        <v/>
      </c>
      <c r="IH36" s="86"/>
      <c r="II36" s="91" t="str">
        <f t="shared" ref="II36:II67" si="294">IF(COUNT(IH36)=0,"",(IH36-IH$105)/IH$106)</f>
        <v/>
      </c>
      <c r="IJ36" s="85" t="str">
        <f t="shared" si="152"/>
        <v/>
      </c>
      <c r="IK36" s="86"/>
      <c r="IL36" s="91" t="str">
        <f t="shared" ref="IL36:IL67" si="295">IF(COUNT(IK36)=0,"",(IK36-IK$105)/IK$106)</f>
        <v/>
      </c>
      <c r="IM36" s="85" t="str">
        <f t="shared" si="154"/>
        <v/>
      </c>
      <c r="IN36" s="86"/>
      <c r="IO36" s="91" t="str">
        <f t="shared" ref="IO36:IO67" si="296">IF(COUNT(IN36)=0,"",(IN36-IN$105)/IN$106)</f>
        <v/>
      </c>
      <c r="IP36" s="85" t="str">
        <f t="shared" si="156"/>
        <v/>
      </c>
      <c r="IQ36" s="86"/>
      <c r="IR36" s="91" t="str">
        <f t="shared" ref="IR36:IR67" si="297">IF(COUNT(IQ36)=0,"",(IQ36-IQ$105)/IQ$106)</f>
        <v/>
      </c>
      <c r="IS36" s="85" t="str">
        <f t="shared" si="158"/>
        <v/>
      </c>
      <c r="IT36" s="86"/>
      <c r="IU36" s="91" t="str">
        <f t="shared" ref="IU36:IU67" si="298">IF(COUNT(IT36)=0,"",(IT36-IT$105)/IT$106)</f>
        <v/>
      </c>
      <c r="IV36" s="85" t="str">
        <f t="shared" si="160"/>
        <v/>
      </c>
      <c r="IW36" s="86"/>
      <c r="IX36" s="91" t="str">
        <f t="shared" ref="IX36:IX67" si="299">IF(COUNT(IW36)=0,"",(IW36-IW$105)/IW$106)</f>
        <v/>
      </c>
      <c r="IY36" s="85" t="str">
        <f t="shared" si="162"/>
        <v/>
      </c>
      <c r="IZ36" s="86"/>
      <c r="JA36" s="91" t="str">
        <f t="shared" ref="JA36:JA67" si="300">IF(COUNT(IZ36)=0,"",(IZ36-IZ$105)/IZ$106)</f>
        <v/>
      </c>
      <c r="JB36" s="85" t="str">
        <f t="shared" si="164"/>
        <v/>
      </c>
      <c r="JC36" s="86"/>
      <c r="JD36" s="91" t="str">
        <f t="shared" ref="JD36:JD67" si="301">IF(COUNT(JC36)=0,"",(JC36-JC$105)/JC$106)</f>
        <v/>
      </c>
      <c r="JE36" s="85" t="str">
        <f t="shared" si="166"/>
        <v/>
      </c>
      <c r="JF36" s="86"/>
      <c r="JG36" s="91" t="str">
        <f t="shared" ref="JG36:JG67" si="302">IF(COUNT(JF36)=0,"",(JF36-JF$105)/JF$106)</f>
        <v/>
      </c>
      <c r="JH36" s="85" t="str">
        <f t="shared" si="168"/>
        <v/>
      </c>
      <c r="JI36" s="86"/>
      <c r="JJ36" s="91" t="str">
        <f t="shared" ref="JJ36:JJ67" si="303">IF(COUNT(JI36)=0,"",(JI36-JI$105)/JI$106)</f>
        <v/>
      </c>
      <c r="JK36" s="85" t="str">
        <f t="shared" si="170"/>
        <v/>
      </c>
      <c r="JL36" s="86"/>
      <c r="JM36" s="91" t="str">
        <f t="shared" ref="JM36:JM67" si="304">IF(COUNT(JL36)=0,"",(JL36-JL$105)/JL$106)</f>
        <v/>
      </c>
      <c r="JN36" s="85" t="str">
        <f t="shared" si="172"/>
        <v/>
      </c>
      <c r="JO36" s="86"/>
      <c r="JP36" s="91" t="str">
        <f t="shared" ref="JP36:JP67" si="305">IF(COUNT(JO36)=0,"",(JO36-JO$105)/JO$106)</f>
        <v/>
      </c>
      <c r="JQ36" s="85" t="str">
        <f t="shared" si="174"/>
        <v/>
      </c>
      <c r="JR36" s="86"/>
      <c r="JS36" s="91" t="str">
        <f t="shared" ref="JS36:JS67" si="306">IF(COUNT(JR36)=0,"",(JR36-JR$105)/JR$106)</f>
        <v/>
      </c>
      <c r="JT36" s="85" t="str">
        <f t="shared" si="176"/>
        <v/>
      </c>
      <c r="JU36" s="86"/>
      <c r="JV36" s="91" t="str">
        <f t="shared" ref="JV36:JV67" si="307">IF(COUNT(JU36)=0,"",(JU36-JU$105)/JU$106)</f>
        <v/>
      </c>
      <c r="JW36" s="85" t="str">
        <f t="shared" si="178"/>
        <v/>
      </c>
      <c r="JX36" s="86"/>
      <c r="JY36" s="91" t="str">
        <f t="shared" ref="JY36:JY67" si="308">IF(COUNT(JX36)=0,"",(JX36-JX$105)/JX$106)</f>
        <v/>
      </c>
      <c r="JZ36" s="85" t="str">
        <f t="shared" si="180"/>
        <v/>
      </c>
      <c r="KA36" s="86"/>
      <c r="KB36" s="91" t="str">
        <f t="shared" ref="KB36:KB67" si="309">IF(COUNT(KA36)=0,"",(KA36-KA$105)/KA$106)</f>
        <v/>
      </c>
      <c r="KC36" s="85" t="str">
        <f t="shared" si="182"/>
        <v/>
      </c>
      <c r="KD36" s="86"/>
      <c r="KE36" s="91" t="str">
        <f t="shared" ref="KE36:KE67" si="310">IF(COUNT(KD36)=0,"",(KD36-KD$105)/KD$106)</f>
        <v/>
      </c>
      <c r="KF36" s="85" t="str">
        <f t="shared" si="184"/>
        <v/>
      </c>
      <c r="KG36" s="86"/>
      <c r="KH36" s="91" t="str">
        <f t="shared" ref="KH36:KH67" si="311">IF(COUNT(KG36)=0,"",(KG36-KG$105)/KG$106)</f>
        <v/>
      </c>
      <c r="KI36" s="85" t="str">
        <f t="shared" si="186"/>
        <v/>
      </c>
      <c r="KJ36" s="86"/>
      <c r="KK36" s="91" t="str">
        <f t="shared" ref="KK36:KK67" si="312">IF(COUNT(KJ36)=0,"",(KJ36-KJ$105)/KJ$106)</f>
        <v/>
      </c>
      <c r="KL36" s="85" t="str">
        <f t="shared" si="188"/>
        <v/>
      </c>
      <c r="KM36" s="86"/>
      <c r="KN36" s="91" t="str">
        <f t="shared" ref="KN36:KN67" si="313">IF(COUNT(KM36)=0,"",(KM36-KM$105)/KM$106)</f>
        <v/>
      </c>
      <c r="KO36" s="85" t="str">
        <f t="shared" si="190"/>
        <v/>
      </c>
      <c r="KP36" s="86"/>
      <c r="KQ36" s="91" t="str">
        <f t="shared" ref="KQ36:KQ67" si="314">IF(COUNT(KP36)=0,"",(KP36-KP$105)/KP$106)</f>
        <v/>
      </c>
      <c r="KR36" s="85" t="str">
        <f t="shared" si="192"/>
        <v/>
      </c>
      <c r="KS36" s="86"/>
      <c r="KT36" s="91" t="str">
        <f t="shared" ref="KT36:KT67" si="315">IF(COUNT(KS36)=0,"",(KS36-KS$105)/KS$106)</f>
        <v/>
      </c>
      <c r="KU36" s="85" t="str">
        <f t="shared" si="194"/>
        <v/>
      </c>
      <c r="KV36" s="86"/>
      <c r="KW36" s="91" t="str">
        <f t="shared" ref="KW36:KW67" si="316">IF(COUNT(KV36)=0,"",(KV36-KV$105)/KV$106)</f>
        <v/>
      </c>
      <c r="KX36" s="85" t="str">
        <f t="shared" si="196"/>
        <v/>
      </c>
      <c r="KY36" s="92"/>
      <c r="KZ36" s="91" t="str">
        <f t="shared" ref="KZ36:KZ67" si="317">IF(COUNT(KY36)=0,"",(KY36-KY$105)/KY$106)</f>
        <v/>
      </c>
      <c r="LA36" s="85" t="str">
        <f t="shared" si="198"/>
        <v/>
      </c>
      <c r="LB36" s="50">
        <f t="shared" si="218"/>
        <v>65.8</v>
      </c>
      <c r="LC36" s="57">
        <f t="shared" si="199"/>
        <v>59</v>
      </c>
      <c r="LD36" s="50">
        <f t="shared" si="207"/>
        <v>-1.371539110716899</v>
      </c>
      <c r="LE36" s="57">
        <f t="shared" si="200"/>
        <v>61</v>
      </c>
      <c r="LF36" s="50">
        <f t="shared" si="208"/>
        <v>8.3333333333333329E-2</v>
      </c>
      <c r="LG36" s="57">
        <f t="shared" si="201"/>
        <v>59</v>
      </c>
      <c r="LH36" s="58">
        <f t="shared" ref="LH36:LH67" si="318">IFERROR((((LB36-LB$105)/LB$107)*25+25),"")</f>
        <v>32.346491228070178</v>
      </c>
      <c r="LI36" s="58">
        <f t="shared" ref="LI36:LI67" si="319">IFERROR((((LD36-LD$105)/LD$107)*25+25),"")</f>
        <v>27.044662495532734</v>
      </c>
      <c r="LJ36" s="58">
        <f t="shared" ref="LJ36:LJ67" si="320">IFERROR((((LF36-LF$105)/LF$107)*25+25),"")</f>
        <v>27.083333333333332</v>
      </c>
      <c r="LK36" s="58">
        <f t="shared" si="205"/>
        <v>36.47448705693624</v>
      </c>
      <c r="LL36" s="60">
        <f t="shared" si="206"/>
        <v>60</v>
      </c>
      <c r="LM36" s="55"/>
      <c r="LN36" s="112">
        <f t="shared" si="217"/>
        <v>25</v>
      </c>
      <c r="LO36" s="61">
        <f t="shared" si="214"/>
        <v>60</v>
      </c>
      <c r="LP36" s="64"/>
      <c r="LQ36" s="64"/>
      <c r="LR36" s="64"/>
    </row>
    <row r="37" spans="1:334" s="62" customFormat="1" ht="15" customHeight="1">
      <c r="A37" s="50">
        <f t="shared" si="211"/>
        <v>6</v>
      </c>
      <c r="B37" s="50">
        <f t="shared" si="212"/>
        <v>4</v>
      </c>
      <c r="C37" s="117">
        <v>26</v>
      </c>
      <c r="D37" s="118" t="s">
        <v>210</v>
      </c>
      <c r="E37" s="286" t="s">
        <v>637</v>
      </c>
      <c r="F37" s="286" t="s">
        <v>638</v>
      </c>
      <c r="G37" s="76"/>
      <c r="H37" s="119" t="s">
        <v>129</v>
      </c>
      <c r="I37" s="286" t="s">
        <v>558</v>
      </c>
      <c r="J37" s="119" t="s">
        <v>211</v>
      </c>
      <c r="K37" s="119" t="s">
        <v>2</v>
      </c>
      <c r="L37" s="53" t="s">
        <v>212</v>
      </c>
      <c r="M37" s="292" t="s">
        <v>35</v>
      </c>
      <c r="N37" s="89"/>
      <c r="O37" s="91" t="str">
        <f t="shared" si="219"/>
        <v/>
      </c>
      <c r="P37" s="85" t="str">
        <f t="shared" ref="P37:P68" si="321">IFERROR((N$107-RANK(N37,(N$5:N$103),0))/(N$107-1),"")</f>
        <v/>
      </c>
      <c r="Q37" s="86"/>
      <c r="R37" s="91" t="str">
        <f t="shared" si="220"/>
        <v/>
      </c>
      <c r="S37" s="85" t="str">
        <f t="shared" ref="S37:S68" si="322">IFERROR((Q$107-RANK(Q37,(Q$5:Q$103),0))/(Q$107-1),"")</f>
        <v/>
      </c>
      <c r="T37" s="86">
        <v>88</v>
      </c>
      <c r="U37" s="91">
        <f t="shared" si="221"/>
        <v>-1.0578634810355605</v>
      </c>
      <c r="V37" s="85">
        <f t="shared" ref="V37:V68" si="323">IFERROR((T$107-RANK(T37,(T$5:T$103),0))/(T$107-1),"")</f>
        <v>0</v>
      </c>
      <c r="W37" s="86"/>
      <c r="X37" s="91" t="str">
        <f t="shared" si="222"/>
        <v/>
      </c>
      <c r="Y37" s="85" t="str">
        <f t="shared" ref="Y37:Y68" si="324">IFERROR((W$107-RANK(W37,(W$5:W$103),0))/(W$107-1),"")</f>
        <v/>
      </c>
      <c r="Z37" s="86"/>
      <c r="AA37" s="91" t="str">
        <f t="shared" si="223"/>
        <v/>
      </c>
      <c r="AB37" s="85" t="str">
        <f t="shared" ref="AB37:AB68" si="325">IFERROR((Z$107-RANK(Z37,(Z$5:Z$103),0))/(Z$107-1),"")</f>
        <v/>
      </c>
      <c r="AC37" s="56"/>
      <c r="AD37" s="91" t="str">
        <f t="shared" si="224"/>
        <v/>
      </c>
      <c r="AE37" s="85" t="str">
        <f t="shared" ref="AE37:AE68" si="326">IFERROR((AC$107-RANK(AC37,(AC$5:AC$103),0))/(AC$107-1),"")</f>
        <v/>
      </c>
      <c r="AF37" s="86"/>
      <c r="AG37" s="91" t="str">
        <f t="shared" si="225"/>
        <v/>
      </c>
      <c r="AH37" s="85" t="str">
        <f t="shared" ref="AH37:AH68" si="327">IFERROR((AF$107-RANK(AF37,(AF$5:AF$103),0))/(AF$107-1),"")</f>
        <v/>
      </c>
      <c r="AI37" s="86"/>
      <c r="AJ37" s="91" t="str">
        <f t="shared" si="226"/>
        <v/>
      </c>
      <c r="AK37" s="85" t="str">
        <f t="shared" ref="AK37:AK68" si="328">IFERROR((AI$107-RANK(AI37,(AI$5:AI$103),0))/(AI$107-1),"")</f>
        <v/>
      </c>
      <c r="AL37" s="86"/>
      <c r="AM37" s="91" t="str">
        <f t="shared" si="227"/>
        <v/>
      </c>
      <c r="AN37" s="85" t="str">
        <f t="shared" ref="AN37:AN68" si="329">IFERROR((AL$107-RANK(AL37,(AL$5:AL$103),0))/(AL$107-1),"")</f>
        <v/>
      </c>
      <c r="AO37" s="86"/>
      <c r="AP37" s="91" t="str">
        <f t="shared" si="228"/>
        <v/>
      </c>
      <c r="AQ37" s="85" t="str">
        <f t="shared" ref="AQ37:AQ68" si="330">IFERROR((AO$107-RANK(AO37,(AO$5:AO$103),0))/(AO$107-1),"")</f>
        <v/>
      </c>
      <c r="AR37" s="86"/>
      <c r="AS37" s="91" t="str">
        <f t="shared" si="229"/>
        <v/>
      </c>
      <c r="AT37" s="85" t="str">
        <f t="shared" ref="AT37:AT68" si="331">IFERROR((AR$107-RANK(AR37,(AR$5:AR$103),0))/(AR$107-1),"")</f>
        <v/>
      </c>
      <c r="AU37" s="86"/>
      <c r="AV37" s="91" t="str">
        <f t="shared" si="230"/>
        <v/>
      </c>
      <c r="AW37" s="85" t="str">
        <f t="shared" ref="AW37:AW68" si="332">IFERROR((AU$107-RANK(AU37,(AU$5:AU$103),0))/(AU$107-1),"")</f>
        <v/>
      </c>
      <c r="AX37" s="86"/>
      <c r="AY37" s="91" t="str">
        <f t="shared" si="231"/>
        <v/>
      </c>
      <c r="AZ37" s="85" t="str">
        <f t="shared" ref="AZ37:AZ68" si="333">IFERROR((AX$107-RANK(AX37,(AX$5:AX$103),0))/(AX$107-1),"")</f>
        <v/>
      </c>
      <c r="BA37" s="86"/>
      <c r="BB37" s="91" t="str">
        <f t="shared" si="232"/>
        <v/>
      </c>
      <c r="BC37" s="85" t="str">
        <f t="shared" ref="BC37:BC68" si="334">IFERROR((BA$107-RANK(BA37,(BA$5:BA$103),0))/(BA$107-1),"")</f>
        <v/>
      </c>
      <c r="BD37" s="86"/>
      <c r="BE37" s="91" t="str">
        <f t="shared" si="233"/>
        <v/>
      </c>
      <c r="BF37" s="85" t="str">
        <f t="shared" ref="BF37:BF68" si="335">IFERROR((BD$107-RANK(BD37,(BD$5:BD$103),0))/(BD$107-1),"")</f>
        <v/>
      </c>
      <c r="BG37" s="86"/>
      <c r="BH37" s="91" t="str">
        <f t="shared" si="234"/>
        <v/>
      </c>
      <c r="BI37" s="85" t="str">
        <f t="shared" ref="BI37:BI68" si="336">IFERROR((BG$107-RANK(BG37,(BG$5:BG$103),0))/(BG$107-1),"")</f>
        <v/>
      </c>
      <c r="BJ37" s="56"/>
      <c r="BK37" s="91" t="str">
        <f t="shared" si="235"/>
        <v/>
      </c>
      <c r="BL37" s="85" t="str">
        <f t="shared" ref="BL37:BL68" si="337">IFERROR((BJ$107-RANK(BJ37,(BJ$5:BJ$103),0))/(BJ$107-1),"")</f>
        <v/>
      </c>
      <c r="BM37" s="86"/>
      <c r="BN37" s="91" t="str">
        <f t="shared" si="236"/>
        <v/>
      </c>
      <c r="BO37" s="85" t="str">
        <f t="shared" ref="BO37:BO68" si="338">IFERROR((BM$107-RANK(BM37,(BM$5:BM$103),0))/(BM$107-1),"")</f>
        <v/>
      </c>
      <c r="BP37" s="51"/>
      <c r="BQ37" s="91" t="str">
        <f t="shared" si="237"/>
        <v/>
      </c>
      <c r="BR37" s="85" t="str">
        <f t="shared" ref="BR37:BR68" si="339">IFERROR((BP$107-RANK(BP37,(BP$5:BP$103),0))/(BP$107-1),"")</f>
        <v/>
      </c>
      <c r="BS37" s="86">
        <v>69</v>
      </c>
      <c r="BT37" s="91">
        <f t="shared" si="238"/>
        <v>-0.10540925533894598</v>
      </c>
      <c r="BU37" s="85">
        <f t="shared" ref="BU37:BU68" si="340">IFERROR((BS$107-RANK(BS37,(BS$5:BS$103),0))/(BS$107-1),"")</f>
        <v>0.4</v>
      </c>
      <c r="BV37" s="86"/>
      <c r="BW37" s="91" t="str">
        <f t="shared" si="239"/>
        <v/>
      </c>
      <c r="BX37" s="85" t="str">
        <f t="shared" ref="BX37:BX68" si="341">IFERROR((BV$107-RANK(BV37,(BV$5:BV$103),0))/(BV$107-1),"")</f>
        <v/>
      </c>
      <c r="BY37" s="86"/>
      <c r="BZ37" s="91" t="str">
        <f t="shared" si="240"/>
        <v/>
      </c>
      <c r="CA37" s="85" t="str">
        <f t="shared" ref="CA37:CA68" si="342">IFERROR((BY$107-RANK(BY37,(BY$5:BY$103),0))/(BY$107-1),"")</f>
        <v/>
      </c>
      <c r="CB37" s="86"/>
      <c r="CC37" s="91" t="str">
        <f t="shared" si="241"/>
        <v/>
      </c>
      <c r="CD37" s="85" t="str">
        <f t="shared" ref="CD37:CD68" si="343">IFERROR((CB$107-RANK(CB37,(CB$5:CB$103),0))/(CB$107-1),"")</f>
        <v/>
      </c>
      <c r="CE37" s="86"/>
      <c r="CF37" s="91" t="str">
        <f t="shared" si="242"/>
        <v/>
      </c>
      <c r="CG37" s="85" t="str">
        <f t="shared" ref="CG37:CG68" si="344">IFERROR((CE$107-RANK(CE37,(CE$5:CE$103),0))/(CE$107-1),"")</f>
        <v/>
      </c>
      <c r="CH37" s="271" t="s">
        <v>64</v>
      </c>
      <c r="CI37" s="91" t="str">
        <f t="shared" si="243"/>
        <v/>
      </c>
      <c r="CJ37" s="85" t="str">
        <f t="shared" ref="CJ37:CJ68" si="345">IFERROR((CH$107-RANK(CH37,(CH$5:CH$103),0))/(CH$107-1),"")</f>
        <v/>
      </c>
      <c r="CK37" s="86"/>
      <c r="CL37" s="91" t="str">
        <f t="shared" si="244"/>
        <v/>
      </c>
      <c r="CM37" s="85" t="str">
        <f t="shared" ref="CM37:CM68" si="346">IFERROR((CK$107-RANK(CK37,(CK$5:CK$103),0))/(CK$107-1),"")</f>
        <v/>
      </c>
      <c r="CN37" s="86"/>
      <c r="CO37" s="91" t="str">
        <f t="shared" si="245"/>
        <v/>
      </c>
      <c r="CP37" s="85" t="str">
        <f t="shared" ref="CP37:CP68" si="347">IFERROR((CN$107-RANK(CN37,(CN$5:CN$103),0))/(CN$107-1),"")</f>
        <v/>
      </c>
      <c r="CQ37" s="86"/>
      <c r="CR37" s="91" t="str">
        <f t="shared" si="246"/>
        <v/>
      </c>
      <c r="CS37" s="85" t="str">
        <f t="shared" ref="CS37:CS68" si="348">IFERROR((CQ$107-RANK(CQ37,(CQ$5:CQ$103),0))/(CQ$107-1),"")</f>
        <v/>
      </c>
      <c r="CT37" s="86"/>
      <c r="CU37" s="91" t="str">
        <f t="shared" si="247"/>
        <v/>
      </c>
      <c r="CV37" s="85" t="str">
        <f t="shared" ref="CV37:CV68" si="349">IFERROR((CT$107-RANK(CT37,(CT$5:CT$103),0))/(CT$107-1),"")</f>
        <v/>
      </c>
      <c r="CW37" s="56"/>
      <c r="CX37" s="91" t="str">
        <f t="shared" si="248"/>
        <v/>
      </c>
      <c r="CY37" s="85" t="str">
        <f t="shared" ref="CY37:CY68" si="350">IFERROR((CW$107-RANK(CW37,(CW$5:CW$103),0))/(CW$107-1),"")</f>
        <v/>
      </c>
      <c r="CZ37" s="86"/>
      <c r="DA37" s="91" t="str">
        <f t="shared" si="249"/>
        <v/>
      </c>
      <c r="DB37" s="85" t="str">
        <f t="shared" ref="DB37:DB68" si="351">IFERROR((CZ$107-RANK(CZ37,(CZ$5:CZ$103),0))/(CZ$107-1),"")</f>
        <v/>
      </c>
      <c r="DC37" s="86"/>
      <c r="DD37" s="91" t="str">
        <f t="shared" si="250"/>
        <v/>
      </c>
      <c r="DE37" s="85" t="str">
        <f t="shared" ref="DE37:DE68" si="352">IFERROR((DC$107-RANK(DC37,(DC$5:DC$103),0))/(DC$107-1),"")</f>
        <v/>
      </c>
      <c r="DF37" s="86"/>
      <c r="DG37" s="91"/>
      <c r="DH37" s="85" t="str">
        <f t="shared" ref="DH37:DH68" si="353">IFERROR((DF$107-RANK(DF37,(DF$5:DF$103),0))/(DF$107-1),"")</f>
        <v/>
      </c>
      <c r="DI37" s="271">
        <v>74</v>
      </c>
      <c r="DJ37" s="91">
        <f t="shared" si="251"/>
        <v>-0.38642957701733349</v>
      </c>
      <c r="DK37" s="85">
        <f t="shared" ref="DK37:DK68" si="354">IFERROR((DI$107-RANK(DI37,(DI$5:DI$103),0))/(DI$107-1),"")</f>
        <v>0.5</v>
      </c>
      <c r="DL37" s="86"/>
      <c r="DM37" s="91" t="str">
        <f t="shared" si="252"/>
        <v/>
      </c>
      <c r="DN37" s="85" t="str">
        <f t="shared" ref="DN37:DN68" si="355">IFERROR((DL$107-RANK(DL37,(DL$5:DL$103),0))/(DL$107-1),"")</f>
        <v/>
      </c>
      <c r="DO37" s="86"/>
      <c r="DP37" s="91" t="str">
        <f t="shared" si="253"/>
        <v/>
      </c>
      <c r="DQ37" s="85" t="str">
        <f t="shared" ref="DQ37:DQ68" si="356">IFERROR((DO$107-RANK(DO37,(DO$5:DO$103),0))/(DO$107-1),"")</f>
        <v/>
      </c>
      <c r="DR37" s="86"/>
      <c r="DS37" s="91" t="str">
        <f t="shared" si="254"/>
        <v/>
      </c>
      <c r="DT37" s="85" t="str">
        <f t="shared" ref="DT37:DT68" si="357">IFERROR((DR$107-RANK(DR37,(DR$5:DR$103),0))/(DR$107-1),"")</f>
        <v/>
      </c>
      <c r="DU37" s="86"/>
      <c r="DV37" s="91" t="str">
        <f t="shared" si="255"/>
        <v/>
      </c>
      <c r="DW37" s="85" t="str">
        <f t="shared" ref="DW37:DW68" si="358">IFERROR((DU$107-RANK(DU37,(DU$5:DU$103),0))/(DU$107-1),"")</f>
        <v/>
      </c>
      <c r="DX37" s="86"/>
      <c r="DY37" s="91" t="str">
        <f t="shared" si="256"/>
        <v/>
      </c>
      <c r="DZ37" s="85" t="str">
        <f t="shared" ref="DZ37:DZ68" si="359">IFERROR((DX$107-RANK(DX37,(DX$5:DX$103),0))/(DX$107-1),"")</f>
        <v/>
      </c>
      <c r="EA37" s="56"/>
      <c r="EB37" s="91" t="str">
        <f t="shared" si="257"/>
        <v/>
      </c>
      <c r="EC37" s="85" t="str">
        <f t="shared" ref="EC37:EC68" si="360">IFERROR((EA$107-RANK(EA37,(EA$5:EA$103),0))/(EA$107-1),"")</f>
        <v/>
      </c>
      <c r="ED37" s="271" t="s">
        <v>80</v>
      </c>
      <c r="EE37" s="91" t="str">
        <f t="shared" si="258"/>
        <v/>
      </c>
      <c r="EF37" s="85" t="str">
        <f t="shared" ref="EF37:EF68" si="361">IFERROR((ED$107-RANK(ED37,(ED$5:ED$103),0))/(ED$107-1),"")</f>
        <v/>
      </c>
      <c r="EG37" s="86"/>
      <c r="EH37" s="91" t="str">
        <f t="shared" si="259"/>
        <v/>
      </c>
      <c r="EI37" s="85" t="str">
        <f t="shared" ref="EI37:EI68" si="362">IFERROR((EG$107-RANK(EG37,(EG$5:EG$103),0))/(EG$107-1),"")</f>
        <v/>
      </c>
      <c r="EJ37" s="86"/>
      <c r="EK37" s="91" t="str">
        <f t="shared" si="260"/>
        <v/>
      </c>
      <c r="EL37" s="85" t="str">
        <f t="shared" ref="EL37:EL68" si="363">IFERROR((EJ$107-RANK(EJ37,(EJ$5:EJ$103),0))/(EJ$107-1),"")</f>
        <v/>
      </c>
      <c r="EM37" s="89"/>
      <c r="EN37" s="91" t="str">
        <f t="shared" si="261"/>
        <v/>
      </c>
      <c r="EO37" s="85" t="str">
        <f t="shared" ref="EO37:EO68" si="364">IFERROR((EM$107-RANK(EM37,(EM$5:EM$103),0))/(EM$107-1),"")</f>
        <v/>
      </c>
      <c r="EP37" s="271">
        <v>86</v>
      </c>
      <c r="EQ37" s="91">
        <f t="shared" si="262"/>
        <v>0.23696521474314902</v>
      </c>
      <c r="ER37" s="85">
        <f t="shared" ref="ER37:ER68" si="365">IFERROR((EP$107-RANK(EP37,(EP$5:EP$103),0))/(EP$107-1),"")</f>
        <v>0.5</v>
      </c>
      <c r="ES37" s="51"/>
      <c r="ET37" s="91" t="str">
        <f t="shared" si="263"/>
        <v/>
      </c>
      <c r="EU37" s="85" t="str">
        <f t="shared" ref="EU37:EU68" si="366">IFERROR((ES$107-RANK(ES37,(ES$5:ES$103),0))/(ES$107-1),"")</f>
        <v/>
      </c>
      <c r="EV37" s="86"/>
      <c r="EW37" s="91" t="str">
        <f t="shared" si="264"/>
        <v/>
      </c>
      <c r="EX37" s="85" t="str">
        <f t="shared" ref="EX37:EX68" si="367">IFERROR((EV$107-RANK(EV37,(EV$5:EV$103),0))/(EV$107-1),"")</f>
        <v/>
      </c>
      <c r="EY37" s="86"/>
      <c r="EZ37" s="91" t="str">
        <f t="shared" si="265"/>
        <v/>
      </c>
      <c r="FA37" s="85" t="str">
        <f t="shared" ref="FA37:FA68" si="368">IFERROR((EY$107-RANK(EY37,(EY$5:EY$103),0))/(EY$107-1),"")</f>
        <v/>
      </c>
      <c r="FB37" s="86"/>
      <c r="FC37" s="91" t="str">
        <f t="shared" si="266"/>
        <v/>
      </c>
      <c r="FD37" s="85" t="str">
        <f t="shared" ref="FD37:FD68" si="369">IFERROR((FB$107-RANK(FB37,(FB$5:FB$103),0))/(FB$107-1),"")</f>
        <v/>
      </c>
      <c r="FE37" s="89"/>
      <c r="FF37" s="91" t="str">
        <f t="shared" si="267"/>
        <v/>
      </c>
      <c r="FG37" s="85" t="str">
        <f t="shared" ref="FG37:FG68" si="370">IFERROR((FE$107-RANK(FE37,(FE$5:FE$103),0))/(FE$107-1),"")</f>
        <v/>
      </c>
      <c r="FH37" s="92"/>
      <c r="FI37" s="91" t="str">
        <f t="shared" si="268"/>
        <v/>
      </c>
      <c r="FJ37" s="85" t="str">
        <f t="shared" ref="FJ37:FJ68" si="371">IFERROR((FH$107-RANK(FH37,(FH$5:FH$103),0))/(FH$107-1),"")</f>
        <v/>
      </c>
      <c r="FK37" s="86"/>
      <c r="FL37" s="91" t="str">
        <f t="shared" si="269"/>
        <v/>
      </c>
      <c r="FM37" s="85" t="str">
        <f t="shared" ref="FM37:FM68" si="372">IFERROR((FK$107-RANK(FK37,(FK$5:FK$103),0))/(FK$107-1),"")</f>
        <v/>
      </c>
      <c r="FN37" s="86"/>
      <c r="FO37" s="91" t="str">
        <f t="shared" si="270"/>
        <v/>
      </c>
      <c r="FP37" s="85" t="str">
        <f t="shared" ref="FP37:FP68" si="373">IFERROR((FN$107-RANK(FN37,(FN$5:FN$103),0))/(FN$107-1),"")</f>
        <v/>
      </c>
      <c r="FQ37" s="86"/>
      <c r="FR37" s="91" t="str">
        <f t="shared" si="271"/>
        <v/>
      </c>
      <c r="FS37" s="85" t="str">
        <f t="shared" ref="FS37:FS68" si="374">IFERROR((FQ$107-RANK(FQ37,(FQ$5:FQ$103),0))/(FQ$107-1),"")</f>
        <v/>
      </c>
      <c r="FT37" s="86"/>
      <c r="FU37" s="91" t="str">
        <f t="shared" si="272"/>
        <v/>
      </c>
      <c r="FV37" s="85" t="str">
        <f t="shared" ref="FV37:FV68" si="375">IFERROR((FT$107-RANK(FT37,(FT$5:FT$103),0))/(FT$107-1),"")</f>
        <v/>
      </c>
      <c r="FW37" s="56"/>
      <c r="FX37" s="91" t="str">
        <f t="shared" si="273"/>
        <v/>
      </c>
      <c r="FY37" s="85" t="str">
        <f t="shared" ref="FY37:FY68" si="376">IFERROR((FW$107-RANK(FW37,(FW$5:FW$103),0))/(FW$107-1),"")</f>
        <v/>
      </c>
      <c r="FZ37" s="86"/>
      <c r="GA37" s="91" t="str">
        <f t="shared" si="274"/>
        <v/>
      </c>
      <c r="GB37" s="85" t="str">
        <f t="shared" ref="GB37:GB68" si="377">IFERROR((FZ$107-RANK(FZ37,(FZ$5:FZ$103),0))/(FZ$107-1),"")</f>
        <v/>
      </c>
      <c r="GC37" s="86"/>
      <c r="GD37" s="91" t="str">
        <f t="shared" si="275"/>
        <v/>
      </c>
      <c r="GE37" s="85" t="str">
        <f t="shared" ref="GE37:GE68" si="378">IFERROR((GC$107-RANK(GC37,(GC$5:GC$103),0))/(GC$107-1),"")</f>
        <v/>
      </c>
      <c r="GF37" s="89"/>
      <c r="GG37" s="91" t="str">
        <f t="shared" si="276"/>
        <v/>
      </c>
      <c r="GH37" s="85" t="str">
        <f t="shared" ref="GH37:GH68" si="379">IFERROR((GF$107-RANK(GF37,(GF$5:GF$103),0))/(GF$107-1),"")</f>
        <v/>
      </c>
      <c r="GI37" s="86"/>
      <c r="GJ37" s="91" t="str">
        <f t="shared" si="277"/>
        <v/>
      </c>
      <c r="GK37" s="85" t="str">
        <f t="shared" ref="GK37:GK68" si="380">IFERROR((GI$107-RANK(GI37,(GI$5:GI$103),0))/(GI$107-1),"")</f>
        <v/>
      </c>
      <c r="GL37" s="86"/>
      <c r="GM37" s="91" t="str">
        <f t="shared" si="278"/>
        <v/>
      </c>
      <c r="GN37" s="85" t="str">
        <f t="shared" ref="GN37:GN68" si="381">IFERROR((GL$107-RANK(GL37,(GL$5:GL$103),0))/(GL$107-1),"")</f>
        <v/>
      </c>
      <c r="GO37" s="86"/>
      <c r="GP37" s="91" t="str">
        <f t="shared" si="279"/>
        <v/>
      </c>
      <c r="GQ37" s="85" t="str">
        <f t="shared" ref="GQ37:GQ68" si="382">IFERROR((GO$107-RANK(GO37,(GO$5:GO$103),0))/(GO$107-1),"")</f>
        <v/>
      </c>
      <c r="GR37" s="86"/>
      <c r="GS37" s="91" t="str">
        <f t="shared" si="280"/>
        <v/>
      </c>
      <c r="GT37" s="85" t="str">
        <f t="shared" ref="GT37:GT68" si="383">IFERROR((GR$107-RANK(GR37,(GR$5:GR$103),0))/(GR$107-1),"")</f>
        <v/>
      </c>
      <c r="GU37" s="86"/>
      <c r="GV37" s="91" t="str">
        <f t="shared" si="281"/>
        <v/>
      </c>
      <c r="GW37" s="85" t="str">
        <f t="shared" ref="GW37:GW68" si="384">IFERROR((GU$107-RANK(GU37,(GU$5:GU$103),0))/(GU$107-1),"")</f>
        <v/>
      </c>
      <c r="GX37" s="86"/>
      <c r="GY37" s="91" t="str">
        <f t="shared" si="282"/>
        <v/>
      </c>
      <c r="GZ37" s="85" t="str">
        <f t="shared" ref="GZ37:GZ68" si="385">IFERROR((GX$107-RANK(GX37,(GX$5:GX$103),0))/(GX$107-1),"")</f>
        <v/>
      </c>
      <c r="HA37" s="86"/>
      <c r="HB37" s="91" t="str">
        <f t="shared" si="283"/>
        <v/>
      </c>
      <c r="HC37" s="85" t="str">
        <f t="shared" ref="HC37:HC68" si="386">IFERROR((HA$107-RANK(HA37,(HA$5:HA$103),0))/(HA$107-1),"")</f>
        <v/>
      </c>
      <c r="HD37" s="86"/>
      <c r="HE37" s="91" t="str">
        <f t="shared" si="284"/>
        <v/>
      </c>
      <c r="HF37" s="85" t="str">
        <f t="shared" ref="HF37:HF68" si="387">IFERROR((HD$107-RANK(HD37,(HD$5:HD$103),0))/(HD$107-1),"")</f>
        <v/>
      </c>
      <c r="HG37" s="86"/>
      <c r="HH37" s="91" t="str">
        <f t="shared" si="285"/>
        <v/>
      </c>
      <c r="HI37" s="85" t="str">
        <f t="shared" ref="HI37:HI68" si="388">IFERROR((HG$107-RANK(HG37,(HG$5:HG$103),0))/(HG$107-1),"")</f>
        <v/>
      </c>
      <c r="HJ37" s="92"/>
      <c r="HK37" s="91" t="str">
        <f t="shared" si="286"/>
        <v/>
      </c>
      <c r="HL37" s="85" t="str">
        <f t="shared" ref="HL37:HL68" si="389">IFERROR((HJ$107-RANK(HJ37,(HJ$5:HJ$103),0))/(HJ$107-1),"")</f>
        <v/>
      </c>
      <c r="HM37" s="86"/>
      <c r="HN37" s="91" t="str">
        <f t="shared" si="287"/>
        <v/>
      </c>
      <c r="HO37" s="85" t="str">
        <f t="shared" ref="HO37:HO68" si="390">IFERROR((HM$107-RANK(HM37,(HM$5:HM$103),0))/(HM$107-1),"")</f>
        <v/>
      </c>
      <c r="HP37" s="86"/>
      <c r="HQ37" s="91" t="str">
        <f t="shared" si="288"/>
        <v/>
      </c>
      <c r="HR37" s="85" t="str">
        <f t="shared" ref="HR37:HR68" si="391">IFERROR((HP$107-RANK(HP37,(HP$5:HP$103),0))/(HP$107-1),"")</f>
        <v/>
      </c>
      <c r="HS37" s="86"/>
      <c r="HT37" s="91" t="str">
        <f t="shared" si="289"/>
        <v/>
      </c>
      <c r="HU37" s="85" t="str">
        <f t="shared" ref="HU37:HU68" si="392">IFERROR((HS$107-RANK(HS37,(HS$5:HS$103),0))/(HS$107-1),"")</f>
        <v/>
      </c>
      <c r="HV37" s="86"/>
      <c r="HW37" s="91" t="str">
        <f t="shared" si="290"/>
        <v/>
      </c>
      <c r="HX37" s="85" t="str">
        <f t="shared" ref="HX37:HX68" si="393">IFERROR((HV$107-RANK(HV37,(HV$5:HV$103),0))/(HV$107-1),"")</f>
        <v/>
      </c>
      <c r="HY37" s="86"/>
      <c r="HZ37" s="91" t="str">
        <f t="shared" si="291"/>
        <v/>
      </c>
      <c r="IA37" s="85" t="str">
        <f t="shared" ref="IA37:IA68" si="394">IFERROR((HY$107-RANK(HY37,(HY$5:HY$103),0))/(HY$107-1),"")</f>
        <v/>
      </c>
      <c r="IB37" s="86"/>
      <c r="IC37" s="91" t="str">
        <f t="shared" si="292"/>
        <v/>
      </c>
      <c r="ID37" s="85" t="str">
        <f t="shared" ref="ID37:ID68" si="395">IFERROR((IB$107-RANK(IB37,(IB$5:IB$103),0))/(IB$107-1),"")</f>
        <v/>
      </c>
      <c r="IE37" s="86"/>
      <c r="IF37" s="91" t="str">
        <f t="shared" si="293"/>
        <v/>
      </c>
      <c r="IG37" s="85" t="str">
        <f t="shared" ref="IG37:IG68" si="396">IFERROR((IE$107-RANK(IE37,(IE$5:IE$103),0))/(IE$107-1),"")</f>
        <v/>
      </c>
      <c r="IH37" s="86"/>
      <c r="II37" s="91" t="str">
        <f t="shared" si="294"/>
        <v/>
      </c>
      <c r="IJ37" s="85" t="str">
        <f t="shared" ref="IJ37:IJ68" si="397">IFERROR((IH$107-RANK(IH37,(IH$5:IH$103),0))/(IH$107-1),"")</f>
        <v/>
      </c>
      <c r="IK37" s="86"/>
      <c r="IL37" s="91" t="str">
        <f t="shared" si="295"/>
        <v/>
      </c>
      <c r="IM37" s="85" t="str">
        <f t="shared" ref="IM37:IM68" si="398">IFERROR((IK$107-RANK(IK37,(IK$5:IK$103),0))/(IK$107-1),"")</f>
        <v/>
      </c>
      <c r="IN37" s="86"/>
      <c r="IO37" s="91" t="str">
        <f t="shared" si="296"/>
        <v/>
      </c>
      <c r="IP37" s="85" t="str">
        <f t="shared" ref="IP37:IP68" si="399">IFERROR((IN$107-RANK(IN37,(IN$5:IN$103),0))/(IN$107-1),"")</f>
        <v/>
      </c>
      <c r="IQ37" s="86"/>
      <c r="IR37" s="91" t="str">
        <f t="shared" si="297"/>
        <v/>
      </c>
      <c r="IS37" s="85" t="str">
        <f t="shared" ref="IS37:IS68" si="400">IFERROR((IQ$107-RANK(IQ37,(IQ$5:IQ$103),0))/(IQ$107-1),"")</f>
        <v/>
      </c>
      <c r="IT37" s="86"/>
      <c r="IU37" s="91" t="str">
        <f t="shared" si="298"/>
        <v/>
      </c>
      <c r="IV37" s="85" t="str">
        <f t="shared" ref="IV37:IV68" si="401">IFERROR((IT$107-RANK(IT37,(IT$5:IT$103),0))/(IT$107-1),"")</f>
        <v/>
      </c>
      <c r="IW37" s="86"/>
      <c r="IX37" s="91" t="str">
        <f t="shared" si="299"/>
        <v/>
      </c>
      <c r="IY37" s="85" t="str">
        <f t="shared" ref="IY37:IY68" si="402">IFERROR((IW$107-RANK(IW37,(IW$5:IW$103),0))/(IW$107-1),"")</f>
        <v/>
      </c>
      <c r="IZ37" s="86"/>
      <c r="JA37" s="91" t="str">
        <f t="shared" si="300"/>
        <v/>
      </c>
      <c r="JB37" s="85" t="str">
        <f t="shared" ref="JB37:JB68" si="403">IFERROR((IZ$107-RANK(IZ37,(IZ$5:IZ$103),0))/(IZ$107-1),"")</f>
        <v/>
      </c>
      <c r="JC37" s="86"/>
      <c r="JD37" s="91" t="str">
        <f t="shared" si="301"/>
        <v/>
      </c>
      <c r="JE37" s="85" t="str">
        <f t="shared" ref="JE37:JE68" si="404">IFERROR((JC$107-RANK(JC37,(JC$5:JC$103),0))/(JC$107-1),"")</f>
        <v/>
      </c>
      <c r="JF37" s="86"/>
      <c r="JG37" s="91" t="str">
        <f t="shared" si="302"/>
        <v/>
      </c>
      <c r="JH37" s="85" t="str">
        <f t="shared" ref="JH37:JH68" si="405">IFERROR((JF$107-RANK(JF37,(JF$5:JF$103),0))/(JF$107-1),"")</f>
        <v/>
      </c>
      <c r="JI37" s="86"/>
      <c r="JJ37" s="91" t="str">
        <f t="shared" si="303"/>
        <v/>
      </c>
      <c r="JK37" s="85" t="str">
        <f t="shared" ref="JK37:JK68" si="406">IFERROR((JI$107-RANK(JI37,(JI$5:JI$103),0))/(JI$107-1),"")</f>
        <v/>
      </c>
      <c r="JL37" s="86"/>
      <c r="JM37" s="91" t="str">
        <f t="shared" si="304"/>
        <v/>
      </c>
      <c r="JN37" s="85" t="str">
        <f t="shared" ref="JN37:JN68" si="407">IFERROR((JL$107-RANK(JL37,(JL$5:JL$103),0))/(JL$107-1),"")</f>
        <v/>
      </c>
      <c r="JO37" s="86"/>
      <c r="JP37" s="91" t="str">
        <f t="shared" si="305"/>
        <v/>
      </c>
      <c r="JQ37" s="85" t="str">
        <f t="shared" ref="JQ37:JQ68" si="408">IFERROR((JO$107-RANK(JO37,(JO$5:JO$103),0))/(JO$107-1),"")</f>
        <v/>
      </c>
      <c r="JR37" s="86"/>
      <c r="JS37" s="91" t="str">
        <f t="shared" si="306"/>
        <v/>
      </c>
      <c r="JT37" s="85" t="str">
        <f t="shared" ref="JT37:JT68" si="409">IFERROR((JR$107-RANK(JR37,(JR$5:JR$103),0))/(JR$107-1),"")</f>
        <v/>
      </c>
      <c r="JU37" s="86"/>
      <c r="JV37" s="91" t="str">
        <f t="shared" si="307"/>
        <v/>
      </c>
      <c r="JW37" s="85" t="str">
        <f t="shared" ref="JW37:JW68" si="410">IFERROR((JU$107-RANK(JU37,(JU$5:JU$103),0))/(JU$107-1),"")</f>
        <v/>
      </c>
      <c r="JX37" s="86"/>
      <c r="JY37" s="91" t="str">
        <f t="shared" si="308"/>
        <v/>
      </c>
      <c r="JZ37" s="85" t="str">
        <f t="shared" ref="JZ37:JZ68" si="411">IFERROR((JX$107-RANK(JX37,(JX$5:JX$103),0))/(JX$107-1),"")</f>
        <v/>
      </c>
      <c r="KA37" s="86"/>
      <c r="KB37" s="91" t="str">
        <f t="shared" si="309"/>
        <v/>
      </c>
      <c r="KC37" s="85" t="str">
        <f t="shared" ref="KC37:KC68" si="412">IFERROR((KA$107-RANK(KA37,(KA$5:KA$103),0))/(KA$107-1),"")</f>
        <v/>
      </c>
      <c r="KD37" s="86"/>
      <c r="KE37" s="91" t="str">
        <f t="shared" si="310"/>
        <v/>
      </c>
      <c r="KF37" s="85" t="str">
        <f t="shared" ref="KF37:KF68" si="413">IFERROR((KD$107-RANK(KD37,(KD$5:KD$103),0))/(KD$107-1),"")</f>
        <v/>
      </c>
      <c r="KG37" s="86"/>
      <c r="KH37" s="91" t="str">
        <f t="shared" si="311"/>
        <v/>
      </c>
      <c r="KI37" s="85" t="str">
        <f t="shared" ref="KI37:KI68" si="414">IFERROR((KG$107-RANK(KG37,(KG$5:KG$103),0))/(KG$107-1),"")</f>
        <v/>
      </c>
      <c r="KJ37" s="86"/>
      <c r="KK37" s="91" t="str">
        <f t="shared" si="312"/>
        <v/>
      </c>
      <c r="KL37" s="85" t="str">
        <f t="shared" ref="KL37:KL68" si="415">IFERROR((KJ$107-RANK(KJ37,(KJ$5:KJ$103),0))/(KJ$107-1),"")</f>
        <v/>
      </c>
      <c r="KM37" s="86"/>
      <c r="KN37" s="91" t="str">
        <f t="shared" si="313"/>
        <v/>
      </c>
      <c r="KO37" s="85" t="str">
        <f t="shared" ref="KO37:KO68" si="416">IFERROR((KM$107-RANK(KM37,(KM$5:KM$103),0))/(KM$107-1),"")</f>
        <v/>
      </c>
      <c r="KP37" s="86"/>
      <c r="KQ37" s="91" t="str">
        <f t="shared" si="314"/>
        <v/>
      </c>
      <c r="KR37" s="85" t="str">
        <f t="shared" ref="KR37:KR68" si="417">IFERROR((KP$107-RANK(KP37,(KP$5:KP$103),0))/(KP$107-1),"")</f>
        <v/>
      </c>
      <c r="KS37" s="86"/>
      <c r="KT37" s="91" t="str">
        <f t="shared" si="315"/>
        <v/>
      </c>
      <c r="KU37" s="85" t="str">
        <f t="shared" ref="KU37:KU68" si="418">IFERROR((KS$107-RANK(KS37,(KS$5:KS$103),0))/(KS$107-1),"")</f>
        <v/>
      </c>
      <c r="KV37" s="86"/>
      <c r="KW37" s="91" t="str">
        <f t="shared" si="316"/>
        <v/>
      </c>
      <c r="KX37" s="85" t="str">
        <f t="shared" ref="KX37:KX68" si="419">IFERROR((KV$107-RANK(KV37,(KV$5:KV$103),0))/(KV$107-1),"")</f>
        <v/>
      </c>
      <c r="KY37" s="92"/>
      <c r="KZ37" s="91" t="str">
        <f t="shared" si="317"/>
        <v/>
      </c>
      <c r="LA37" s="85" t="str">
        <f t="shared" ref="LA37:LA68" si="420">IFERROR((KY$107-RANK(KY37,(KY$5:KY$103),0))/(KY$107-1),"")</f>
        <v/>
      </c>
      <c r="LB37" s="50">
        <f t="shared" si="218"/>
        <v>79.25</v>
      </c>
      <c r="LC37" s="57">
        <f t="shared" ref="LC37:LC68" si="421">IFERROR(RANK(LB37,(LB$5:LB$103),0),"")</f>
        <v>43</v>
      </c>
      <c r="LD37" s="50">
        <f t="shared" si="207"/>
        <v>-0.3281842746621727</v>
      </c>
      <c r="LE37" s="57">
        <f t="shared" ref="LE37:LE68" si="422">IFERROR(RANK(LD37,(LD$5:LD$103),0),"")</f>
        <v>44</v>
      </c>
      <c r="LF37" s="50">
        <f t="shared" si="208"/>
        <v>0.35</v>
      </c>
      <c r="LG37" s="57">
        <f t="shared" ref="LG37:LG68" si="423">IFERROR(RANK(LF37,(LF$5:LF$103),0),"")</f>
        <v>44</v>
      </c>
      <c r="LH37" s="58">
        <f t="shared" si="318"/>
        <v>39.720394736842103</v>
      </c>
      <c r="LI37" s="58">
        <f t="shared" si="319"/>
        <v>36.784955137274338</v>
      </c>
      <c r="LJ37" s="58">
        <f t="shared" si="320"/>
        <v>33.75</v>
      </c>
      <c r="LK37" s="58">
        <f t="shared" ref="LK37:LK68" si="424">IFERROR(LH37+LI37+LJ37-50,"")</f>
        <v>60.255349874116433</v>
      </c>
      <c r="LL37" s="60">
        <f t="shared" ref="LL37:LL68" si="425">IFERROR(RANK(LK37,(LK$5:LK$103),0),"")</f>
        <v>43</v>
      </c>
      <c r="LM37" s="55"/>
      <c r="LN37" s="112">
        <f t="shared" si="217"/>
        <v>17</v>
      </c>
      <c r="LO37" s="61">
        <f t="shared" si="214"/>
        <v>43</v>
      </c>
      <c r="LP37" s="64"/>
      <c r="LQ37" s="64"/>
      <c r="LR37" s="64"/>
    </row>
    <row r="38" spans="1:334" s="62" customFormat="1" ht="15" customHeight="1">
      <c r="A38" s="50">
        <f t="shared" si="211"/>
        <v>5</v>
      </c>
      <c r="B38" s="50">
        <f t="shared" si="212"/>
        <v>5</v>
      </c>
      <c r="C38" s="117">
        <v>21</v>
      </c>
      <c r="D38" s="118" t="s">
        <v>213</v>
      </c>
      <c r="E38" s="286" t="s">
        <v>639</v>
      </c>
      <c r="F38" s="286" t="s">
        <v>640</v>
      </c>
      <c r="G38" s="76"/>
      <c r="H38" s="119" t="s">
        <v>129</v>
      </c>
      <c r="I38" s="286" t="s">
        <v>559</v>
      </c>
      <c r="J38" s="119" t="s">
        <v>214</v>
      </c>
      <c r="K38" s="119" t="s">
        <v>2</v>
      </c>
      <c r="L38" s="53" t="s">
        <v>215</v>
      </c>
      <c r="M38" s="292" t="s">
        <v>35</v>
      </c>
      <c r="N38" s="97"/>
      <c r="O38" s="91" t="str">
        <f t="shared" si="219"/>
        <v/>
      </c>
      <c r="P38" s="85" t="str">
        <f t="shared" si="321"/>
        <v/>
      </c>
      <c r="Q38" s="86"/>
      <c r="R38" s="91" t="str">
        <f t="shared" si="220"/>
        <v/>
      </c>
      <c r="S38" s="85" t="str">
        <f t="shared" si="322"/>
        <v/>
      </c>
      <c r="T38" s="86"/>
      <c r="U38" s="91" t="str">
        <f t="shared" si="221"/>
        <v/>
      </c>
      <c r="V38" s="85" t="str">
        <f t="shared" si="323"/>
        <v/>
      </c>
      <c r="W38" s="86">
        <v>71</v>
      </c>
      <c r="X38" s="91">
        <f t="shared" si="222"/>
        <v>-0.80225745323842013</v>
      </c>
      <c r="Y38" s="85">
        <f t="shared" si="324"/>
        <v>0.25</v>
      </c>
      <c r="Z38" s="86"/>
      <c r="AA38" s="91" t="str">
        <f t="shared" si="223"/>
        <v/>
      </c>
      <c r="AB38" s="85" t="str">
        <f t="shared" si="325"/>
        <v/>
      </c>
      <c r="AC38" s="86"/>
      <c r="AD38" s="91" t="str">
        <f t="shared" si="224"/>
        <v/>
      </c>
      <c r="AE38" s="85" t="str">
        <f t="shared" si="326"/>
        <v/>
      </c>
      <c r="AF38" s="86"/>
      <c r="AG38" s="91" t="str">
        <f t="shared" si="225"/>
        <v/>
      </c>
      <c r="AH38" s="85" t="str">
        <f t="shared" si="327"/>
        <v/>
      </c>
      <c r="AI38" s="86"/>
      <c r="AJ38" s="91" t="str">
        <f t="shared" si="226"/>
        <v/>
      </c>
      <c r="AK38" s="85" t="str">
        <f t="shared" si="328"/>
        <v/>
      </c>
      <c r="AL38" s="86"/>
      <c r="AM38" s="91" t="str">
        <f t="shared" si="227"/>
        <v/>
      </c>
      <c r="AN38" s="85" t="str">
        <f t="shared" si="329"/>
        <v/>
      </c>
      <c r="AO38" s="86"/>
      <c r="AP38" s="91" t="str">
        <f t="shared" si="228"/>
        <v/>
      </c>
      <c r="AQ38" s="85" t="str">
        <f t="shared" si="330"/>
        <v/>
      </c>
      <c r="AR38" s="86"/>
      <c r="AS38" s="91" t="str">
        <f t="shared" si="229"/>
        <v/>
      </c>
      <c r="AT38" s="85" t="str">
        <f t="shared" si="331"/>
        <v/>
      </c>
      <c r="AU38" s="86"/>
      <c r="AV38" s="91" t="str">
        <f t="shared" si="230"/>
        <v/>
      </c>
      <c r="AW38" s="85" t="str">
        <f t="shared" si="332"/>
        <v/>
      </c>
      <c r="AX38" s="86"/>
      <c r="AY38" s="91" t="str">
        <f t="shared" si="231"/>
        <v/>
      </c>
      <c r="AZ38" s="85" t="str">
        <f t="shared" si="333"/>
        <v/>
      </c>
      <c r="BA38" s="86"/>
      <c r="BB38" s="91" t="str">
        <f t="shared" si="232"/>
        <v/>
      </c>
      <c r="BC38" s="85" t="str">
        <f t="shared" si="334"/>
        <v/>
      </c>
      <c r="BD38" s="92"/>
      <c r="BE38" s="91" t="str">
        <f t="shared" si="233"/>
        <v/>
      </c>
      <c r="BF38" s="85" t="str">
        <f t="shared" si="335"/>
        <v/>
      </c>
      <c r="BG38" s="86"/>
      <c r="BH38" s="91" t="str">
        <f t="shared" si="234"/>
        <v/>
      </c>
      <c r="BI38" s="85" t="str">
        <f t="shared" si="336"/>
        <v/>
      </c>
      <c r="BJ38" s="86"/>
      <c r="BK38" s="91" t="str">
        <f t="shared" si="235"/>
        <v/>
      </c>
      <c r="BL38" s="85" t="str">
        <f t="shared" si="337"/>
        <v/>
      </c>
      <c r="BM38" s="86"/>
      <c r="BN38" s="91" t="str">
        <f t="shared" si="236"/>
        <v/>
      </c>
      <c r="BO38" s="85" t="str">
        <f t="shared" si="338"/>
        <v/>
      </c>
      <c r="BP38" s="51"/>
      <c r="BQ38" s="91" t="str">
        <f t="shared" si="237"/>
        <v/>
      </c>
      <c r="BR38" s="85" t="str">
        <f t="shared" si="339"/>
        <v/>
      </c>
      <c r="BS38" s="86"/>
      <c r="BT38" s="91" t="str">
        <f t="shared" si="238"/>
        <v/>
      </c>
      <c r="BU38" s="85" t="str">
        <f t="shared" si="340"/>
        <v/>
      </c>
      <c r="BV38" s="86"/>
      <c r="BW38" s="91" t="str">
        <f t="shared" si="239"/>
        <v/>
      </c>
      <c r="BX38" s="85" t="str">
        <f t="shared" si="341"/>
        <v/>
      </c>
      <c r="BY38" s="86"/>
      <c r="BZ38" s="91" t="str">
        <f t="shared" si="240"/>
        <v/>
      </c>
      <c r="CA38" s="85" t="str">
        <f t="shared" si="342"/>
        <v/>
      </c>
      <c r="CB38" s="86"/>
      <c r="CC38" s="91" t="str">
        <f t="shared" si="241"/>
        <v/>
      </c>
      <c r="CD38" s="85" t="str">
        <f t="shared" si="343"/>
        <v/>
      </c>
      <c r="CE38" s="86"/>
      <c r="CF38" s="91" t="str">
        <f t="shared" si="242"/>
        <v/>
      </c>
      <c r="CG38" s="85" t="str">
        <f t="shared" si="344"/>
        <v/>
      </c>
      <c r="CH38" s="86"/>
      <c r="CI38" s="91" t="str">
        <f t="shared" si="243"/>
        <v/>
      </c>
      <c r="CJ38" s="85" t="str">
        <f t="shared" si="345"/>
        <v/>
      </c>
      <c r="CK38" s="86"/>
      <c r="CL38" s="91" t="str">
        <f t="shared" si="244"/>
        <v/>
      </c>
      <c r="CM38" s="85" t="str">
        <f t="shared" si="346"/>
        <v/>
      </c>
      <c r="CN38" s="86"/>
      <c r="CO38" s="91" t="str">
        <f t="shared" si="245"/>
        <v/>
      </c>
      <c r="CP38" s="85" t="str">
        <f t="shared" si="347"/>
        <v/>
      </c>
      <c r="CQ38" s="56"/>
      <c r="CR38" s="91" t="str">
        <f t="shared" si="246"/>
        <v/>
      </c>
      <c r="CS38" s="85" t="str">
        <f t="shared" si="348"/>
        <v/>
      </c>
      <c r="CT38" s="86"/>
      <c r="CU38" s="91" t="str">
        <f t="shared" si="247"/>
        <v/>
      </c>
      <c r="CV38" s="85" t="str">
        <f t="shared" si="349"/>
        <v/>
      </c>
      <c r="CW38" s="86"/>
      <c r="CX38" s="91" t="str">
        <f t="shared" si="248"/>
        <v/>
      </c>
      <c r="CY38" s="85" t="str">
        <f t="shared" si="350"/>
        <v/>
      </c>
      <c r="CZ38" s="86"/>
      <c r="DA38" s="91" t="str">
        <f t="shared" si="249"/>
        <v/>
      </c>
      <c r="DB38" s="85" t="str">
        <f t="shared" si="351"/>
        <v/>
      </c>
      <c r="DC38" s="86"/>
      <c r="DD38" s="91" t="str">
        <f t="shared" si="250"/>
        <v/>
      </c>
      <c r="DE38" s="85" t="str">
        <f t="shared" si="352"/>
        <v/>
      </c>
      <c r="DF38" s="86">
        <v>82</v>
      </c>
      <c r="DG38" s="91"/>
      <c r="DH38" s="85">
        <f t="shared" si="353"/>
        <v>0.75</v>
      </c>
      <c r="DI38" s="86"/>
      <c r="DJ38" s="91" t="str">
        <f t="shared" si="251"/>
        <v/>
      </c>
      <c r="DK38" s="85" t="str">
        <f t="shared" si="354"/>
        <v/>
      </c>
      <c r="DL38" s="86"/>
      <c r="DM38" s="91" t="str">
        <f t="shared" si="252"/>
        <v/>
      </c>
      <c r="DN38" s="85" t="str">
        <f t="shared" si="355"/>
        <v/>
      </c>
      <c r="DO38" s="86">
        <v>82</v>
      </c>
      <c r="DP38" s="91">
        <f t="shared" si="253"/>
        <v>-0.5815266993936975</v>
      </c>
      <c r="DQ38" s="85">
        <f t="shared" si="356"/>
        <v>0.25</v>
      </c>
      <c r="DR38" s="86"/>
      <c r="DS38" s="91" t="str">
        <f t="shared" si="254"/>
        <v/>
      </c>
      <c r="DT38" s="85" t="str">
        <f t="shared" si="357"/>
        <v/>
      </c>
      <c r="DU38" s="86"/>
      <c r="DV38" s="91" t="str">
        <f t="shared" si="255"/>
        <v/>
      </c>
      <c r="DW38" s="85" t="str">
        <f t="shared" si="358"/>
        <v/>
      </c>
      <c r="DX38" s="56"/>
      <c r="DY38" s="91" t="str">
        <f t="shared" si="256"/>
        <v/>
      </c>
      <c r="DZ38" s="85" t="str">
        <f t="shared" si="359"/>
        <v/>
      </c>
      <c r="EA38" s="86"/>
      <c r="EB38" s="91" t="str">
        <f t="shared" si="257"/>
        <v/>
      </c>
      <c r="EC38" s="85" t="str">
        <f t="shared" si="360"/>
        <v/>
      </c>
      <c r="ED38" s="86"/>
      <c r="EE38" s="91" t="str">
        <f t="shared" si="258"/>
        <v/>
      </c>
      <c r="EF38" s="85" t="str">
        <f t="shared" si="361"/>
        <v/>
      </c>
      <c r="EG38" s="86"/>
      <c r="EH38" s="91" t="str">
        <f t="shared" si="259"/>
        <v/>
      </c>
      <c r="EI38" s="85" t="str">
        <f t="shared" si="362"/>
        <v/>
      </c>
      <c r="EJ38" s="86">
        <v>65</v>
      </c>
      <c r="EK38" s="91">
        <f t="shared" si="260"/>
        <v>-1.7566383451000798</v>
      </c>
      <c r="EL38" s="85">
        <f t="shared" si="363"/>
        <v>0</v>
      </c>
      <c r="EM38" s="89"/>
      <c r="EN38" s="91" t="str">
        <f t="shared" si="261"/>
        <v/>
      </c>
      <c r="EO38" s="85" t="str">
        <f t="shared" si="364"/>
        <v/>
      </c>
      <c r="EP38" s="86"/>
      <c r="EQ38" s="91" t="str">
        <f t="shared" si="262"/>
        <v/>
      </c>
      <c r="ER38" s="85" t="str">
        <f t="shared" si="365"/>
        <v/>
      </c>
      <c r="ES38" s="51"/>
      <c r="ET38" s="91" t="str">
        <f t="shared" si="263"/>
        <v/>
      </c>
      <c r="EU38" s="85" t="str">
        <f t="shared" si="366"/>
        <v/>
      </c>
      <c r="EV38" s="86">
        <v>73</v>
      </c>
      <c r="EW38" s="91">
        <f t="shared" si="264"/>
        <v>-1.6636187948135119</v>
      </c>
      <c r="EX38" s="85">
        <f t="shared" si="367"/>
        <v>0</v>
      </c>
      <c r="EY38" s="86"/>
      <c r="EZ38" s="91" t="str">
        <f t="shared" si="265"/>
        <v/>
      </c>
      <c r="FA38" s="85" t="str">
        <f t="shared" si="368"/>
        <v/>
      </c>
      <c r="FB38" s="86"/>
      <c r="FC38" s="91" t="str">
        <f t="shared" si="266"/>
        <v/>
      </c>
      <c r="FD38" s="85" t="str">
        <f t="shared" si="369"/>
        <v/>
      </c>
      <c r="FE38" s="86"/>
      <c r="FF38" s="91" t="str">
        <f t="shared" si="267"/>
        <v/>
      </c>
      <c r="FG38" s="85" t="str">
        <f t="shared" si="370"/>
        <v/>
      </c>
      <c r="FH38" s="92"/>
      <c r="FI38" s="91" t="str">
        <f t="shared" si="268"/>
        <v/>
      </c>
      <c r="FJ38" s="85" t="str">
        <f t="shared" si="371"/>
        <v/>
      </c>
      <c r="FK38" s="86"/>
      <c r="FL38" s="91" t="str">
        <f t="shared" si="269"/>
        <v/>
      </c>
      <c r="FM38" s="85" t="str">
        <f t="shared" si="372"/>
        <v/>
      </c>
      <c r="FN38" s="86"/>
      <c r="FO38" s="91" t="str">
        <f t="shared" si="270"/>
        <v/>
      </c>
      <c r="FP38" s="85" t="str">
        <f t="shared" si="373"/>
        <v/>
      </c>
      <c r="FQ38" s="86"/>
      <c r="FR38" s="91" t="str">
        <f t="shared" si="271"/>
        <v/>
      </c>
      <c r="FS38" s="85" t="str">
        <f t="shared" si="374"/>
        <v/>
      </c>
      <c r="FT38" s="86"/>
      <c r="FU38" s="91" t="str">
        <f t="shared" si="272"/>
        <v/>
      </c>
      <c r="FV38" s="85" t="str">
        <f t="shared" si="375"/>
        <v/>
      </c>
      <c r="FW38" s="92"/>
      <c r="FX38" s="91" t="str">
        <f t="shared" si="273"/>
        <v/>
      </c>
      <c r="FY38" s="85" t="str">
        <f t="shared" si="376"/>
        <v/>
      </c>
      <c r="FZ38" s="56"/>
      <c r="GA38" s="91" t="str">
        <f t="shared" si="274"/>
        <v/>
      </c>
      <c r="GB38" s="85" t="str">
        <f t="shared" si="377"/>
        <v/>
      </c>
      <c r="GC38" s="86"/>
      <c r="GD38" s="91" t="str">
        <f t="shared" si="275"/>
        <v/>
      </c>
      <c r="GE38" s="85" t="str">
        <f t="shared" si="378"/>
        <v/>
      </c>
      <c r="GF38" s="86"/>
      <c r="GG38" s="91" t="str">
        <f t="shared" si="276"/>
        <v/>
      </c>
      <c r="GH38" s="85" t="str">
        <f t="shared" si="379"/>
        <v/>
      </c>
      <c r="GI38" s="86"/>
      <c r="GJ38" s="91" t="str">
        <f t="shared" si="277"/>
        <v/>
      </c>
      <c r="GK38" s="85" t="str">
        <f t="shared" si="380"/>
        <v/>
      </c>
      <c r="GL38" s="86"/>
      <c r="GM38" s="91" t="str">
        <f t="shared" si="278"/>
        <v/>
      </c>
      <c r="GN38" s="85" t="str">
        <f t="shared" si="381"/>
        <v/>
      </c>
      <c r="GO38" s="86"/>
      <c r="GP38" s="91" t="str">
        <f t="shared" si="279"/>
        <v/>
      </c>
      <c r="GQ38" s="85" t="str">
        <f t="shared" si="382"/>
        <v/>
      </c>
      <c r="GR38" s="86"/>
      <c r="GS38" s="91" t="str">
        <f t="shared" si="280"/>
        <v/>
      </c>
      <c r="GT38" s="85" t="str">
        <f t="shared" si="383"/>
        <v/>
      </c>
      <c r="GU38" s="86"/>
      <c r="GV38" s="91" t="str">
        <f t="shared" si="281"/>
        <v/>
      </c>
      <c r="GW38" s="85" t="str">
        <f t="shared" si="384"/>
        <v/>
      </c>
      <c r="GX38" s="86"/>
      <c r="GY38" s="91" t="str">
        <f t="shared" si="282"/>
        <v/>
      </c>
      <c r="GZ38" s="85" t="str">
        <f t="shared" si="385"/>
        <v/>
      </c>
      <c r="HA38" s="86"/>
      <c r="HB38" s="91" t="str">
        <f t="shared" si="283"/>
        <v/>
      </c>
      <c r="HC38" s="85" t="str">
        <f t="shared" si="386"/>
        <v/>
      </c>
      <c r="HD38" s="86"/>
      <c r="HE38" s="91" t="str">
        <f t="shared" si="284"/>
        <v/>
      </c>
      <c r="HF38" s="85" t="str">
        <f t="shared" si="387"/>
        <v/>
      </c>
      <c r="HG38" s="56"/>
      <c r="HH38" s="91" t="str">
        <f t="shared" si="285"/>
        <v/>
      </c>
      <c r="HI38" s="85" t="str">
        <f t="shared" si="388"/>
        <v/>
      </c>
      <c r="HJ38" s="86"/>
      <c r="HK38" s="91" t="str">
        <f t="shared" si="286"/>
        <v/>
      </c>
      <c r="HL38" s="85" t="str">
        <f t="shared" si="389"/>
        <v/>
      </c>
      <c r="HM38" s="86"/>
      <c r="HN38" s="91" t="str">
        <f t="shared" si="287"/>
        <v/>
      </c>
      <c r="HO38" s="85" t="str">
        <f t="shared" si="390"/>
        <v/>
      </c>
      <c r="HP38" s="86"/>
      <c r="HQ38" s="91" t="str">
        <f t="shared" si="288"/>
        <v/>
      </c>
      <c r="HR38" s="85" t="str">
        <f t="shared" si="391"/>
        <v/>
      </c>
      <c r="HS38" s="86"/>
      <c r="HT38" s="91" t="str">
        <f t="shared" si="289"/>
        <v/>
      </c>
      <c r="HU38" s="85" t="str">
        <f t="shared" si="392"/>
        <v/>
      </c>
      <c r="HV38" s="86"/>
      <c r="HW38" s="91" t="str">
        <f t="shared" si="290"/>
        <v/>
      </c>
      <c r="HX38" s="85" t="str">
        <f t="shared" si="393"/>
        <v/>
      </c>
      <c r="HY38" s="86"/>
      <c r="HZ38" s="91" t="str">
        <f t="shared" si="291"/>
        <v/>
      </c>
      <c r="IA38" s="85" t="str">
        <f t="shared" si="394"/>
        <v/>
      </c>
      <c r="IB38" s="86"/>
      <c r="IC38" s="91" t="str">
        <f t="shared" si="292"/>
        <v/>
      </c>
      <c r="ID38" s="85" t="str">
        <f t="shared" si="395"/>
        <v/>
      </c>
      <c r="IE38" s="86"/>
      <c r="IF38" s="91" t="str">
        <f t="shared" si="293"/>
        <v/>
      </c>
      <c r="IG38" s="85" t="str">
        <f t="shared" si="396"/>
        <v/>
      </c>
      <c r="IH38" s="86"/>
      <c r="II38" s="91" t="str">
        <f t="shared" si="294"/>
        <v/>
      </c>
      <c r="IJ38" s="85" t="str">
        <f t="shared" si="397"/>
        <v/>
      </c>
      <c r="IK38" s="86"/>
      <c r="IL38" s="91" t="str">
        <f t="shared" si="295"/>
        <v/>
      </c>
      <c r="IM38" s="85" t="str">
        <f t="shared" si="398"/>
        <v/>
      </c>
      <c r="IN38" s="86"/>
      <c r="IO38" s="91" t="str">
        <f t="shared" si="296"/>
        <v/>
      </c>
      <c r="IP38" s="85" t="str">
        <f t="shared" si="399"/>
        <v/>
      </c>
      <c r="IQ38" s="86"/>
      <c r="IR38" s="91" t="str">
        <f t="shared" si="297"/>
        <v/>
      </c>
      <c r="IS38" s="85" t="str">
        <f t="shared" si="400"/>
        <v/>
      </c>
      <c r="IT38" s="86"/>
      <c r="IU38" s="91" t="str">
        <f t="shared" si="298"/>
        <v/>
      </c>
      <c r="IV38" s="85" t="str">
        <f t="shared" si="401"/>
        <v/>
      </c>
      <c r="IW38" s="86"/>
      <c r="IX38" s="91" t="str">
        <f t="shared" si="299"/>
        <v/>
      </c>
      <c r="IY38" s="85" t="str">
        <f t="shared" si="402"/>
        <v/>
      </c>
      <c r="IZ38" s="86"/>
      <c r="JA38" s="91" t="str">
        <f t="shared" si="300"/>
        <v/>
      </c>
      <c r="JB38" s="85" t="str">
        <f t="shared" si="403"/>
        <v/>
      </c>
      <c r="JC38" s="86"/>
      <c r="JD38" s="91" t="str">
        <f t="shared" si="301"/>
        <v/>
      </c>
      <c r="JE38" s="85" t="str">
        <f t="shared" si="404"/>
        <v/>
      </c>
      <c r="JF38" s="86"/>
      <c r="JG38" s="91" t="str">
        <f t="shared" si="302"/>
        <v/>
      </c>
      <c r="JH38" s="85" t="str">
        <f t="shared" si="405"/>
        <v/>
      </c>
      <c r="JI38" s="86"/>
      <c r="JJ38" s="91" t="str">
        <f t="shared" si="303"/>
        <v/>
      </c>
      <c r="JK38" s="85" t="str">
        <f t="shared" si="406"/>
        <v/>
      </c>
      <c r="JL38" s="86"/>
      <c r="JM38" s="91" t="str">
        <f t="shared" si="304"/>
        <v/>
      </c>
      <c r="JN38" s="85" t="str">
        <f t="shared" si="407"/>
        <v/>
      </c>
      <c r="JO38" s="86"/>
      <c r="JP38" s="91" t="str">
        <f t="shared" si="305"/>
        <v/>
      </c>
      <c r="JQ38" s="85" t="str">
        <f t="shared" si="408"/>
        <v/>
      </c>
      <c r="JR38" s="86"/>
      <c r="JS38" s="91" t="str">
        <f t="shared" si="306"/>
        <v/>
      </c>
      <c r="JT38" s="85" t="str">
        <f t="shared" si="409"/>
        <v/>
      </c>
      <c r="JU38" s="86"/>
      <c r="JV38" s="91" t="str">
        <f t="shared" si="307"/>
        <v/>
      </c>
      <c r="JW38" s="85" t="str">
        <f t="shared" si="410"/>
        <v/>
      </c>
      <c r="JX38" s="86"/>
      <c r="JY38" s="91" t="str">
        <f t="shared" si="308"/>
        <v/>
      </c>
      <c r="JZ38" s="85" t="str">
        <f t="shared" si="411"/>
        <v/>
      </c>
      <c r="KA38" s="86"/>
      <c r="KB38" s="91" t="str">
        <f t="shared" si="309"/>
        <v/>
      </c>
      <c r="KC38" s="85" t="str">
        <f t="shared" si="412"/>
        <v/>
      </c>
      <c r="KD38" s="86"/>
      <c r="KE38" s="91" t="str">
        <f t="shared" si="310"/>
        <v/>
      </c>
      <c r="KF38" s="85" t="str">
        <f t="shared" si="413"/>
        <v/>
      </c>
      <c r="KG38" s="86"/>
      <c r="KH38" s="91" t="str">
        <f t="shared" si="311"/>
        <v/>
      </c>
      <c r="KI38" s="85" t="str">
        <f t="shared" si="414"/>
        <v/>
      </c>
      <c r="KJ38" s="86"/>
      <c r="KK38" s="91" t="str">
        <f t="shared" si="312"/>
        <v/>
      </c>
      <c r="KL38" s="85" t="str">
        <f t="shared" si="415"/>
        <v/>
      </c>
      <c r="KM38" s="86"/>
      <c r="KN38" s="91" t="str">
        <f t="shared" si="313"/>
        <v/>
      </c>
      <c r="KO38" s="85" t="str">
        <f t="shared" si="416"/>
        <v/>
      </c>
      <c r="KP38" s="86"/>
      <c r="KQ38" s="91" t="str">
        <f t="shared" si="314"/>
        <v/>
      </c>
      <c r="KR38" s="85" t="str">
        <f t="shared" si="417"/>
        <v/>
      </c>
      <c r="KS38" s="86"/>
      <c r="KT38" s="91" t="str">
        <f t="shared" si="315"/>
        <v/>
      </c>
      <c r="KU38" s="85" t="str">
        <f t="shared" si="418"/>
        <v/>
      </c>
      <c r="KV38" s="86"/>
      <c r="KW38" s="91" t="str">
        <f t="shared" si="316"/>
        <v/>
      </c>
      <c r="KX38" s="85" t="str">
        <f t="shared" si="419"/>
        <v/>
      </c>
      <c r="KY38" s="92"/>
      <c r="KZ38" s="91" t="str">
        <f t="shared" si="317"/>
        <v/>
      </c>
      <c r="LA38" s="85" t="str">
        <f t="shared" si="420"/>
        <v/>
      </c>
      <c r="LB38" s="50">
        <f t="shared" si="218"/>
        <v>74.599999999999994</v>
      </c>
      <c r="LC38" s="57">
        <f t="shared" si="421"/>
        <v>54</v>
      </c>
      <c r="LD38" s="50">
        <f t="shared" si="207"/>
        <v>-1.2010103231364273</v>
      </c>
      <c r="LE38" s="57">
        <f t="shared" si="422"/>
        <v>58</v>
      </c>
      <c r="LF38" s="50">
        <f t="shared" si="208"/>
        <v>0.25</v>
      </c>
      <c r="LG38" s="57">
        <f t="shared" si="423"/>
        <v>47</v>
      </c>
      <c r="LH38" s="58">
        <f t="shared" si="318"/>
        <v>37.171052631578945</v>
      </c>
      <c r="LI38" s="58">
        <f t="shared" si="319"/>
        <v>28.636642747578129</v>
      </c>
      <c r="LJ38" s="58">
        <f t="shared" si="320"/>
        <v>31.25</v>
      </c>
      <c r="LK38" s="58">
        <f t="shared" si="424"/>
        <v>47.057695379157082</v>
      </c>
      <c r="LL38" s="60">
        <f t="shared" si="425"/>
        <v>52</v>
      </c>
      <c r="LM38" s="55"/>
      <c r="LN38" s="112">
        <f t="shared" si="217"/>
        <v>20</v>
      </c>
      <c r="LO38" s="61">
        <f t="shared" si="214"/>
        <v>52</v>
      </c>
      <c r="LP38" s="64"/>
      <c r="LQ38" s="64"/>
      <c r="LR38" s="64"/>
    </row>
    <row r="39" spans="1:334" s="62" customFormat="1" ht="15" customHeight="1">
      <c r="A39" s="50">
        <f t="shared" si="211"/>
        <v>5</v>
      </c>
      <c r="B39" s="50">
        <f t="shared" si="212"/>
        <v>5</v>
      </c>
      <c r="C39" s="117">
        <v>44</v>
      </c>
      <c r="D39" s="118" t="s">
        <v>216</v>
      </c>
      <c r="E39" s="286" t="s">
        <v>641</v>
      </c>
      <c r="F39" s="286" t="s">
        <v>642</v>
      </c>
      <c r="G39" s="76"/>
      <c r="H39" s="119" t="s">
        <v>129</v>
      </c>
      <c r="I39" s="286" t="s">
        <v>560</v>
      </c>
      <c r="J39" s="119" t="s">
        <v>217</v>
      </c>
      <c r="K39" s="119" t="s">
        <v>2</v>
      </c>
      <c r="L39" s="53" t="s">
        <v>218</v>
      </c>
      <c r="M39" s="292" t="s">
        <v>35</v>
      </c>
      <c r="N39" s="86"/>
      <c r="O39" s="91" t="str">
        <f t="shared" si="219"/>
        <v/>
      </c>
      <c r="P39" s="85" t="str">
        <f t="shared" si="321"/>
        <v/>
      </c>
      <c r="Q39" s="86"/>
      <c r="R39" s="91" t="str">
        <f t="shared" si="220"/>
        <v/>
      </c>
      <c r="S39" s="85" t="str">
        <f t="shared" si="322"/>
        <v/>
      </c>
      <c r="T39" s="86"/>
      <c r="U39" s="91" t="str">
        <f t="shared" si="221"/>
        <v/>
      </c>
      <c r="V39" s="85" t="str">
        <f t="shared" si="323"/>
        <v/>
      </c>
      <c r="W39" s="86"/>
      <c r="X39" s="91" t="str">
        <f t="shared" si="222"/>
        <v/>
      </c>
      <c r="Y39" s="85" t="str">
        <f t="shared" si="324"/>
        <v/>
      </c>
      <c r="Z39" s="86"/>
      <c r="AA39" s="91" t="str">
        <f t="shared" si="223"/>
        <v/>
      </c>
      <c r="AB39" s="85" t="str">
        <f t="shared" si="325"/>
        <v/>
      </c>
      <c r="AC39" s="86"/>
      <c r="AD39" s="91" t="str">
        <f t="shared" si="224"/>
        <v/>
      </c>
      <c r="AE39" s="85" t="str">
        <f t="shared" si="326"/>
        <v/>
      </c>
      <c r="AF39" s="86"/>
      <c r="AG39" s="91" t="str">
        <f t="shared" si="225"/>
        <v/>
      </c>
      <c r="AH39" s="85" t="str">
        <f t="shared" si="327"/>
        <v/>
      </c>
      <c r="AI39" s="86"/>
      <c r="AJ39" s="91" t="str">
        <f t="shared" si="226"/>
        <v/>
      </c>
      <c r="AK39" s="85" t="str">
        <f t="shared" si="328"/>
        <v/>
      </c>
      <c r="AL39" s="86"/>
      <c r="AM39" s="91" t="str">
        <f t="shared" si="227"/>
        <v/>
      </c>
      <c r="AN39" s="85" t="str">
        <f t="shared" si="329"/>
        <v/>
      </c>
      <c r="AO39" s="86"/>
      <c r="AP39" s="91" t="str">
        <f t="shared" si="228"/>
        <v/>
      </c>
      <c r="AQ39" s="85" t="str">
        <f t="shared" si="330"/>
        <v/>
      </c>
      <c r="AR39" s="86"/>
      <c r="AS39" s="91" t="str">
        <f t="shared" si="229"/>
        <v/>
      </c>
      <c r="AT39" s="85" t="str">
        <f t="shared" si="331"/>
        <v/>
      </c>
      <c r="AU39" s="56"/>
      <c r="AV39" s="91" t="str">
        <f t="shared" si="230"/>
        <v/>
      </c>
      <c r="AW39" s="85" t="str">
        <f t="shared" si="332"/>
        <v/>
      </c>
      <c r="AX39" s="86"/>
      <c r="AY39" s="91" t="str">
        <f t="shared" si="231"/>
        <v/>
      </c>
      <c r="AZ39" s="85" t="str">
        <f t="shared" si="333"/>
        <v/>
      </c>
      <c r="BA39" s="56"/>
      <c r="BB39" s="91" t="str">
        <f t="shared" si="232"/>
        <v/>
      </c>
      <c r="BC39" s="85" t="str">
        <f t="shared" si="334"/>
        <v/>
      </c>
      <c r="BD39" s="86"/>
      <c r="BE39" s="91" t="str">
        <f t="shared" si="233"/>
        <v/>
      </c>
      <c r="BF39" s="85" t="str">
        <f t="shared" si="335"/>
        <v/>
      </c>
      <c r="BG39" s="86"/>
      <c r="BH39" s="91" t="str">
        <f t="shared" si="234"/>
        <v/>
      </c>
      <c r="BI39" s="85" t="str">
        <f t="shared" si="336"/>
        <v/>
      </c>
      <c r="BJ39" s="86">
        <v>92</v>
      </c>
      <c r="BK39" s="91">
        <f t="shared" si="235"/>
        <v>0.42008402520840293</v>
      </c>
      <c r="BL39" s="85">
        <f t="shared" si="337"/>
        <v>0.75</v>
      </c>
      <c r="BM39" s="86"/>
      <c r="BN39" s="91" t="str">
        <f t="shared" si="236"/>
        <v/>
      </c>
      <c r="BO39" s="85" t="str">
        <f t="shared" si="338"/>
        <v/>
      </c>
      <c r="BP39" s="51"/>
      <c r="BQ39" s="91" t="str">
        <f t="shared" si="237"/>
        <v/>
      </c>
      <c r="BR39" s="85" t="str">
        <f t="shared" si="339"/>
        <v/>
      </c>
      <c r="BS39" s="86"/>
      <c r="BT39" s="91" t="str">
        <f t="shared" si="238"/>
        <v/>
      </c>
      <c r="BU39" s="85" t="str">
        <f t="shared" si="340"/>
        <v/>
      </c>
      <c r="BV39" s="86"/>
      <c r="BW39" s="91" t="str">
        <f t="shared" si="239"/>
        <v/>
      </c>
      <c r="BX39" s="85" t="str">
        <f t="shared" si="341"/>
        <v/>
      </c>
      <c r="BY39" s="86"/>
      <c r="BZ39" s="91" t="str">
        <f t="shared" si="240"/>
        <v/>
      </c>
      <c r="CA39" s="85" t="str">
        <f t="shared" si="342"/>
        <v/>
      </c>
      <c r="CB39" s="86"/>
      <c r="CC39" s="91" t="str">
        <f t="shared" si="241"/>
        <v/>
      </c>
      <c r="CD39" s="85" t="str">
        <f t="shared" si="343"/>
        <v/>
      </c>
      <c r="CE39" s="86"/>
      <c r="CF39" s="91" t="str">
        <f t="shared" si="242"/>
        <v/>
      </c>
      <c r="CG39" s="85" t="str">
        <f t="shared" si="344"/>
        <v/>
      </c>
      <c r="CH39" s="271"/>
      <c r="CI39" s="91" t="str">
        <f t="shared" si="243"/>
        <v/>
      </c>
      <c r="CJ39" s="85" t="str">
        <f t="shared" si="345"/>
        <v/>
      </c>
      <c r="CK39" s="86"/>
      <c r="CL39" s="91" t="str">
        <f t="shared" si="244"/>
        <v/>
      </c>
      <c r="CM39" s="85" t="str">
        <f t="shared" si="346"/>
        <v/>
      </c>
      <c r="CN39" s="86"/>
      <c r="CO39" s="91" t="str">
        <f t="shared" si="245"/>
        <v/>
      </c>
      <c r="CP39" s="85" t="str">
        <f t="shared" si="347"/>
        <v/>
      </c>
      <c r="CQ39" s="86"/>
      <c r="CR39" s="91" t="str">
        <f t="shared" si="246"/>
        <v/>
      </c>
      <c r="CS39" s="85" t="str">
        <f t="shared" si="348"/>
        <v/>
      </c>
      <c r="CT39" s="86"/>
      <c r="CU39" s="91" t="str">
        <f t="shared" si="247"/>
        <v/>
      </c>
      <c r="CV39" s="85" t="str">
        <f t="shared" si="349"/>
        <v/>
      </c>
      <c r="CW39" s="86"/>
      <c r="CX39" s="91" t="str">
        <f t="shared" si="248"/>
        <v/>
      </c>
      <c r="CY39" s="85" t="str">
        <f t="shared" si="350"/>
        <v/>
      </c>
      <c r="CZ39" s="56"/>
      <c r="DA39" s="91" t="str">
        <f t="shared" si="249"/>
        <v/>
      </c>
      <c r="DB39" s="85" t="str">
        <f t="shared" si="351"/>
        <v/>
      </c>
      <c r="DC39" s="86"/>
      <c r="DD39" s="91" t="str">
        <f t="shared" si="250"/>
        <v/>
      </c>
      <c r="DE39" s="85" t="str">
        <f t="shared" si="352"/>
        <v/>
      </c>
      <c r="DF39" s="86">
        <v>82</v>
      </c>
      <c r="DG39" s="91"/>
      <c r="DH39" s="85">
        <f t="shared" si="353"/>
        <v>0.75</v>
      </c>
      <c r="DI39" s="86"/>
      <c r="DJ39" s="91" t="str">
        <f t="shared" si="251"/>
        <v/>
      </c>
      <c r="DK39" s="85" t="str">
        <f t="shared" si="354"/>
        <v/>
      </c>
      <c r="DL39" s="86">
        <v>95</v>
      </c>
      <c r="DM39" s="91">
        <f t="shared" si="252"/>
        <v>0.86811341099024242</v>
      </c>
      <c r="DN39" s="85">
        <f t="shared" si="355"/>
        <v>0.75</v>
      </c>
      <c r="DO39" s="86"/>
      <c r="DP39" s="91" t="str">
        <f t="shared" si="253"/>
        <v/>
      </c>
      <c r="DQ39" s="85" t="str">
        <f t="shared" si="356"/>
        <v/>
      </c>
      <c r="DR39" s="86"/>
      <c r="DS39" s="91" t="str">
        <f t="shared" si="254"/>
        <v/>
      </c>
      <c r="DT39" s="85" t="str">
        <f t="shared" si="357"/>
        <v/>
      </c>
      <c r="DU39" s="86"/>
      <c r="DV39" s="91" t="str">
        <f t="shared" si="255"/>
        <v/>
      </c>
      <c r="DW39" s="85" t="str">
        <f t="shared" si="358"/>
        <v/>
      </c>
      <c r="DX39" s="86">
        <v>69</v>
      </c>
      <c r="DY39" s="91">
        <f t="shared" si="256"/>
        <v>-0.64539556325626135</v>
      </c>
      <c r="DZ39" s="85">
        <f t="shared" si="359"/>
        <v>0.25</v>
      </c>
      <c r="EA39" s="86"/>
      <c r="EB39" s="91" t="str">
        <f t="shared" si="257"/>
        <v/>
      </c>
      <c r="EC39" s="85" t="str">
        <f t="shared" si="360"/>
        <v/>
      </c>
      <c r="ED39" s="56"/>
      <c r="EE39" s="91" t="str">
        <f t="shared" si="258"/>
        <v/>
      </c>
      <c r="EF39" s="85" t="str">
        <f t="shared" si="361"/>
        <v/>
      </c>
      <c r="EG39" s="86"/>
      <c r="EH39" s="91" t="str">
        <f t="shared" si="259"/>
        <v/>
      </c>
      <c r="EI39" s="85" t="str">
        <f t="shared" si="362"/>
        <v/>
      </c>
      <c r="EJ39" s="86"/>
      <c r="EK39" s="91" t="str">
        <f t="shared" si="260"/>
        <v/>
      </c>
      <c r="EL39" s="85" t="str">
        <f t="shared" si="363"/>
        <v/>
      </c>
      <c r="EM39" s="86"/>
      <c r="EN39" s="91" t="str">
        <f t="shared" si="261"/>
        <v/>
      </c>
      <c r="EO39" s="85" t="str">
        <f t="shared" si="364"/>
        <v/>
      </c>
      <c r="EP39" s="86"/>
      <c r="EQ39" s="91" t="str">
        <f t="shared" si="262"/>
        <v/>
      </c>
      <c r="ER39" s="85" t="str">
        <f t="shared" si="365"/>
        <v/>
      </c>
      <c r="ES39" s="51"/>
      <c r="ET39" s="91" t="str">
        <f t="shared" si="263"/>
        <v/>
      </c>
      <c r="EU39" s="85" t="str">
        <f t="shared" si="366"/>
        <v/>
      </c>
      <c r="EV39" s="56"/>
      <c r="EW39" s="91" t="str">
        <f t="shared" si="264"/>
        <v/>
      </c>
      <c r="EX39" s="85" t="str">
        <f t="shared" si="367"/>
        <v/>
      </c>
      <c r="EY39" s="86"/>
      <c r="EZ39" s="91" t="str">
        <f t="shared" si="265"/>
        <v/>
      </c>
      <c r="FA39" s="85" t="str">
        <f t="shared" si="368"/>
        <v/>
      </c>
      <c r="FB39" s="86"/>
      <c r="FC39" s="91" t="str">
        <f t="shared" si="266"/>
        <v/>
      </c>
      <c r="FD39" s="85" t="str">
        <f t="shared" si="369"/>
        <v/>
      </c>
      <c r="FE39" s="86"/>
      <c r="FF39" s="91" t="str">
        <f t="shared" si="267"/>
        <v/>
      </c>
      <c r="FG39" s="85" t="str">
        <f t="shared" si="370"/>
        <v/>
      </c>
      <c r="FH39" s="86"/>
      <c r="FI39" s="91" t="str">
        <f t="shared" si="268"/>
        <v/>
      </c>
      <c r="FJ39" s="85" t="str">
        <f t="shared" si="371"/>
        <v/>
      </c>
      <c r="FK39" s="86"/>
      <c r="FL39" s="91" t="str">
        <f t="shared" si="269"/>
        <v/>
      </c>
      <c r="FM39" s="85" t="str">
        <f t="shared" si="372"/>
        <v/>
      </c>
      <c r="FN39" s="86"/>
      <c r="FO39" s="91" t="str">
        <f t="shared" si="270"/>
        <v/>
      </c>
      <c r="FP39" s="85" t="str">
        <f t="shared" si="373"/>
        <v/>
      </c>
      <c r="FQ39" s="86"/>
      <c r="FR39" s="91" t="str">
        <f t="shared" si="271"/>
        <v/>
      </c>
      <c r="FS39" s="85" t="str">
        <f t="shared" si="374"/>
        <v/>
      </c>
      <c r="FT39" s="86"/>
      <c r="FU39" s="91" t="str">
        <f t="shared" si="272"/>
        <v/>
      </c>
      <c r="FV39" s="85" t="str">
        <f t="shared" si="375"/>
        <v/>
      </c>
      <c r="FW39" s="92"/>
      <c r="FX39" s="91" t="str">
        <f t="shared" si="273"/>
        <v/>
      </c>
      <c r="FY39" s="85" t="str">
        <f t="shared" si="376"/>
        <v/>
      </c>
      <c r="FZ39" s="86">
        <v>94</v>
      </c>
      <c r="GA39" s="91">
        <f t="shared" si="274"/>
        <v>0.50372140670227483</v>
      </c>
      <c r="GB39" s="85">
        <f t="shared" si="377"/>
        <v>0.75</v>
      </c>
      <c r="GC39" s="92"/>
      <c r="GD39" s="91" t="str">
        <f t="shared" si="275"/>
        <v/>
      </c>
      <c r="GE39" s="85" t="str">
        <f t="shared" si="378"/>
        <v/>
      </c>
      <c r="GF39" s="86"/>
      <c r="GG39" s="91" t="str">
        <f t="shared" si="276"/>
        <v/>
      </c>
      <c r="GH39" s="85" t="str">
        <f t="shared" si="379"/>
        <v/>
      </c>
      <c r="GI39" s="86"/>
      <c r="GJ39" s="91" t="str">
        <f t="shared" si="277"/>
        <v/>
      </c>
      <c r="GK39" s="85" t="str">
        <f t="shared" si="380"/>
        <v/>
      </c>
      <c r="GL39" s="86"/>
      <c r="GM39" s="91" t="str">
        <f t="shared" si="278"/>
        <v/>
      </c>
      <c r="GN39" s="85" t="str">
        <f t="shared" si="381"/>
        <v/>
      </c>
      <c r="GO39" s="86"/>
      <c r="GP39" s="91" t="str">
        <f t="shared" si="279"/>
        <v/>
      </c>
      <c r="GQ39" s="85" t="str">
        <f t="shared" si="382"/>
        <v/>
      </c>
      <c r="GR39" s="86"/>
      <c r="GS39" s="91" t="str">
        <f t="shared" si="280"/>
        <v/>
      </c>
      <c r="GT39" s="85" t="str">
        <f t="shared" si="383"/>
        <v/>
      </c>
      <c r="GU39" s="86"/>
      <c r="GV39" s="91" t="str">
        <f t="shared" si="281"/>
        <v/>
      </c>
      <c r="GW39" s="85" t="str">
        <f t="shared" si="384"/>
        <v/>
      </c>
      <c r="GX39" s="86"/>
      <c r="GY39" s="91" t="str">
        <f t="shared" si="282"/>
        <v/>
      </c>
      <c r="GZ39" s="85" t="str">
        <f t="shared" si="385"/>
        <v/>
      </c>
      <c r="HA39" s="86"/>
      <c r="HB39" s="91" t="str">
        <f t="shared" si="283"/>
        <v/>
      </c>
      <c r="HC39" s="85" t="str">
        <f t="shared" si="386"/>
        <v/>
      </c>
      <c r="HD39" s="86"/>
      <c r="HE39" s="91" t="str">
        <f t="shared" si="284"/>
        <v/>
      </c>
      <c r="HF39" s="85" t="str">
        <f t="shared" si="387"/>
        <v/>
      </c>
      <c r="HG39" s="86"/>
      <c r="HH39" s="91" t="str">
        <f t="shared" si="285"/>
        <v/>
      </c>
      <c r="HI39" s="85" t="str">
        <f t="shared" si="388"/>
        <v/>
      </c>
      <c r="HJ39" s="86"/>
      <c r="HK39" s="91" t="str">
        <f t="shared" si="286"/>
        <v/>
      </c>
      <c r="HL39" s="85" t="str">
        <f t="shared" si="389"/>
        <v/>
      </c>
      <c r="HM39" s="86"/>
      <c r="HN39" s="91" t="str">
        <f t="shared" si="287"/>
        <v/>
      </c>
      <c r="HO39" s="85" t="str">
        <f t="shared" si="390"/>
        <v/>
      </c>
      <c r="HP39" s="86"/>
      <c r="HQ39" s="91" t="str">
        <f t="shared" si="288"/>
        <v/>
      </c>
      <c r="HR39" s="85" t="str">
        <f t="shared" si="391"/>
        <v/>
      </c>
      <c r="HS39" s="86"/>
      <c r="HT39" s="91" t="str">
        <f t="shared" si="289"/>
        <v/>
      </c>
      <c r="HU39" s="85" t="str">
        <f t="shared" si="392"/>
        <v/>
      </c>
      <c r="HV39" s="86"/>
      <c r="HW39" s="91" t="str">
        <f t="shared" si="290"/>
        <v/>
      </c>
      <c r="HX39" s="85" t="str">
        <f t="shared" si="393"/>
        <v/>
      </c>
      <c r="HY39" s="86"/>
      <c r="HZ39" s="91" t="str">
        <f t="shared" si="291"/>
        <v/>
      </c>
      <c r="IA39" s="85" t="str">
        <f t="shared" si="394"/>
        <v/>
      </c>
      <c r="IB39" s="86"/>
      <c r="IC39" s="91" t="str">
        <f t="shared" si="292"/>
        <v/>
      </c>
      <c r="ID39" s="85" t="str">
        <f t="shared" si="395"/>
        <v/>
      </c>
      <c r="IE39" s="86"/>
      <c r="IF39" s="91" t="str">
        <f t="shared" si="293"/>
        <v/>
      </c>
      <c r="IG39" s="85" t="str">
        <f t="shared" si="396"/>
        <v/>
      </c>
      <c r="IH39" s="86"/>
      <c r="II39" s="91" t="str">
        <f t="shared" si="294"/>
        <v/>
      </c>
      <c r="IJ39" s="85" t="str">
        <f t="shared" si="397"/>
        <v/>
      </c>
      <c r="IK39" s="86"/>
      <c r="IL39" s="91" t="str">
        <f t="shared" si="295"/>
        <v/>
      </c>
      <c r="IM39" s="85" t="str">
        <f t="shared" si="398"/>
        <v/>
      </c>
      <c r="IN39" s="86"/>
      <c r="IO39" s="91" t="str">
        <f t="shared" si="296"/>
        <v/>
      </c>
      <c r="IP39" s="85" t="str">
        <f t="shared" si="399"/>
        <v/>
      </c>
      <c r="IQ39" s="86"/>
      <c r="IR39" s="91" t="str">
        <f t="shared" si="297"/>
        <v/>
      </c>
      <c r="IS39" s="85" t="str">
        <f t="shared" si="400"/>
        <v/>
      </c>
      <c r="IT39" s="86"/>
      <c r="IU39" s="91" t="str">
        <f t="shared" si="298"/>
        <v/>
      </c>
      <c r="IV39" s="85" t="str">
        <f t="shared" si="401"/>
        <v/>
      </c>
      <c r="IW39" s="86"/>
      <c r="IX39" s="91" t="str">
        <f t="shared" si="299"/>
        <v/>
      </c>
      <c r="IY39" s="85" t="str">
        <f t="shared" si="402"/>
        <v/>
      </c>
      <c r="IZ39" s="86"/>
      <c r="JA39" s="91" t="str">
        <f t="shared" si="300"/>
        <v/>
      </c>
      <c r="JB39" s="85" t="str">
        <f t="shared" si="403"/>
        <v/>
      </c>
      <c r="JC39" s="86"/>
      <c r="JD39" s="91" t="str">
        <f t="shared" si="301"/>
        <v/>
      </c>
      <c r="JE39" s="85" t="str">
        <f t="shared" si="404"/>
        <v/>
      </c>
      <c r="JF39" s="86"/>
      <c r="JG39" s="91" t="str">
        <f t="shared" si="302"/>
        <v/>
      </c>
      <c r="JH39" s="85" t="str">
        <f t="shared" si="405"/>
        <v/>
      </c>
      <c r="JI39" s="86"/>
      <c r="JJ39" s="91" t="str">
        <f t="shared" si="303"/>
        <v/>
      </c>
      <c r="JK39" s="85" t="str">
        <f t="shared" si="406"/>
        <v/>
      </c>
      <c r="JL39" s="86"/>
      <c r="JM39" s="91" t="str">
        <f t="shared" si="304"/>
        <v/>
      </c>
      <c r="JN39" s="85" t="str">
        <f t="shared" si="407"/>
        <v/>
      </c>
      <c r="JO39" s="86"/>
      <c r="JP39" s="91" t="str">
        <f t="shared" si="305"/>
        <v/>
      </c>
      <c r="JQ39" s="85" t="str">
        <f t="shared" si="408"/>
        <v/>
      </c>
      <c r="JR39" s="86"/>
      <c r="JS39" s="91" t="str">
        <f t="shared" si="306"/>
        <v/>
      </c>
      <c r="JT39" s="85" t="str">
        <f t="shared" si="409"/>
        <v/>
      </c>
      <c r="JU39" s="86"/>
      <c r="JV39" s="91" t="str">
        <f t="shared" si="307"/>
        <v/>
      </c>
      <c r="JW39" s="85" t="str">
        <f t="shared" si="410"/>
        <v/>
      </c>
      <c r="JX39" s="86"/>
      <c r="JY39" s="91" t="str">
        <f t="shared" si="308"/>
        <v/>
      </c>
      <c r="JZ39" s="85" t="str">
        <f t="shared" si="411"/>
        <v/>
      </c>
      <c r="KA39" s="86"/>
      <c r="KB39" s="91" t="str">
        <f t="shared" si="309"/>
        <v/>
      </c>
      <c r="KC39" s="85" t="str">
        <f t="shared" si="412"/>
        <v/>
      </c>
      <c r="KD39" s="86"/>
      <c r="KE39" s="91" t="str">
        <f t="shared" si="310"/>
        <v/>
      </c>
      <c r="KF39" s="85" t="str">
        <f t="shared" si="413"/>
        <v/>
      </c>
      <c r="KG39" s="86"/>
      <c r="KH39" s="91" t="str">
        <f t="shared" si="311"/>
        <v/>
      </c>
      <c r="KI39" s="85" t="str">
        <f t="shared" si="414"/>
        <v/>
      </c>
      <c r="KJ39" s="86"/>
      <c r="KK39" s="91" t="str">
        <f t="shared" si="312"/>
        <v/>
      </c>
      <c r="KL39" s="85" t="str">
        <f t="shared" si="415"/>
        <v/>
      </c>
      <c r="KM39" s="86"/>
      <c r="KN39" s="91" t="str">
        <f t="shared" si="313"/>
        <v/>
      </c>
      <c r="KO39" s="85" t="str">
        <f t="shared" si="416"/>
        <v/>
      </c>
      <c r="KP39" s="86"/>
      <c r="KQ39" s="91" t="str">
        <f t="shared" si="314"/>
        <v/>
      </c>
      <c r="KR39" s="85" t="str">
        <f t="shared" si="417"/>
        <v/>
      </c>
      <c r="KS39" s="86"/>
      <c r="KT39" s="91" t="str">
        <f t="shared" si="315"/>
        <v/>
      </c>
      <c r="KU39" s="85" t="str">
        <f t="shared" si="418"/>
        <v/>
      </c>
      <c r="KV39" s="86"/>
      <c r="KW39" s="91" t="str">
        <f t="shared" si="316"/>
        <v/>
      </c>
      <c r="KX39" s="85" t="str">
        <f t="shared" si="419"/>
        <v/>
      </c>
      <c r="KY39" s="92"/>
      <c r="KZ39" s="91" t="str">
        <f t="shared" si="317"/>
        <v/>
      </c>
      <c r="LA39" s="85" t="str">
        <f t="shared" si="420"/>
        <v/>
      </c>
      <c r="LB39" s="50">
        <f t="shared" si="218"/>
        <v>86.4</v>
      </c>
      <c r="LC39" s="57">
        <f t="shared" si="421"/>
        <v>31</v>
      </c>
      <c r="LD39" s="50">
        <f t="shared" si="207"/>
        <v>0.28663081991116474</v>
      </c>
      <c r="LE39" s="57">
        <f t="shared" si="422"/>
        <v>26</v>
      </c>
      <c r="LF39" s="50">
        <f t="shared" si="208"/>
        <v>0.65</v>
      </c>
      <c r="LG39" s="57">
        <f t="shared" si="423"/>
        <v>25</v>
      </c>
      <c r="LH39" s="58">
        <f t="shared" si="318"/>
        <v>43.640350877192986</v>
      </c>
      <c r="LI39" s="58">
        <f t="shared" si="319"/>
        <v>42.524593019577914</v>
      </c>
      <c r="LJ39" s="58">
        <f t="shared" si="320"/>
        <v>41.25</v>
      </c>
      <c r="LK39" s="58">
        <f t="shared" si="424"/>
        <v>77.414943896770893</v>
      </c>
      <c r="LL39" s="60">
        <f t="shared" si="425"/>
        <v>27</v>
      </c>
      <c r="LM39" s="55"/>
      <c r="LN39" s="112">
        <f t="shared" si="217"/>
        <v>10</v>
      </c>
      <c r="LO39" s="61">
        <f t="shared" si="214"/>
        <v>27</v>
      </c>
      <c r="LP39" s="64"/>
      <c r="LQ39" s="64"/>
      <c r="LR39" s="64"/>
    </row>
    <row r="40" spans="1:334" s="62" customFormat="1" ht="15" customHeight="1">
      <c r="A40" s="50">
        <f t="shared" si="211"/>
        <v>5</v>
      </c>
      <c r="B40" s="50">
        <f t="shared" si="212"/>
        <v>4</v>
      </c>
      <c r="C40" s="117">
        <v>9</v>
      </c>
      <c r="D40" s="118" t="s">
        <v>219</v>
      </c>
      <c r="E40" s="286" t="s">
        <v>643</v>
      </c>
      <c r="F40" s="286" t="s">
        <v>644</v>
      </c>
      <c r="G40" s="76"/>
      <c r="H40" s="119" t="s">
        <v>129</v>
      </c>
      <c r="I40" s="286" t="s">
        <v>561</v>
      </c>
      <c r="J40" s="119" t="s">
        <v>220</v>
      </c>
      <c r="K40" s="119" t="s">
        <v>2</v>
      </c>
      <c r="L40" s="53" t="s">
        <v>221</v>
      </c>
      <c r="M40" s="292" t="s">
        <v>35</v>
      </c>
      <c r="N40" s="86"/>
      <c r="O40" s="91" t="str">
        <f t="shared" si="219"/>
        <v/>
      </c>
      <c r="P40" s="85" t="str">
        <f t="shared" si="321"/>
        <v/>
      </c>
      <c r="Q40" s="86"/>
      <c r="R40" s="91" t="str">
        <f t="shared" si="220"/>
        <v/>
      </c>
      <c r="S40" s="85" t="str">
        <f t="shared" si="322"/>
        <v/>
      </c>
      <c r="T40" s="56"/>
      <c r="U40" s="91" t="str">
        <f t="shared" si="221"/>
        <v/>
      </c>
      <c r="V40" s="85" t="str">
        <f t="shared" si="323"/>
        <v/>
      </c>
      <c r="W40" s="86"/>
      <c r="X40" s="91" t="str">
        <f t="shared" si="222"/>
        <v/>
      </c>
      <c r="Y40" s="85" t="str">
        <f t="shared" si="324"/>
        <v/>
      </c>
      <c r="Z40" s="84">
        <v>70</v>
      </c>
      <c r="AA40" s="91">
        <f t="shared" si="223"/>
        <v>-1.6956455039935889</v>
      </c>
      <c r="AB40" s="85">
        <f t="shared" si="325"/>
        <v>0</v>
      </c>
      <c r="AC40" s="86"/>
      <c r="AD40" s="91" t="str">
        <f t="shared" si="224"/>
        <v/>
      </c>
      <c r="AE40" s="85" t="str">
        <f t="shared" si="326"/>
        <v/>
      </c>
      <c r="AF40" s="86"/>
      <c r="AG40" s="91" t="str">
        <f t="shared" si="225"/>
        <v/>
      </c>
      <c r="AH40" s="85" t="str">
        <f t="shared" si="327"/>
        <v/>
      </c>
      <c r="AI40" s="86"/>
      <c r="AJ40" s="91" t="str">
        <f t="shared" si="226"/>
        <v/>
      </c>
      <c r="AK40" s="85" t="str">
        <f t="shared" si="328"/>
        <v/>
      </c>
      <c r="AL40" s="86"/>
      <c r="AM40" s="91" t="str">
        <f t="shared" si="227"/>
        <v/>
      </c>
      <c r="AN40" s="85" t="str">
        <f t="shared" si="329"/>
        <v/>
      </c>
      <c r="AO40" s="86"/>
      <c r="AP40" s="91" t="str">
        <f t="shared" si="228"/>
        <v/>
      </c>
      <c r="AQ40" s="85" t="str">
        <f t="shared" si="330"/>
        <v/>
      </c>
      <c r="AR40" s="86"/>
      <c r="AS40" s="91" t="str">
        <f t="shared" si="229"/>
        <v/>
      </c>
      <c r="AT40" s="85" t="str">
        <f t="shared" si="331"/>
        <v/>
      </c>
      <c r="AU40" s="56"/>
      <c r="AV40" s="91" t="str">
        <f t="shared" si="230"/>
        <v/>
      </c>
      <c r="AW40" s="85" t="str">
        <f t="shared" si="332"/>
        <v/>
      </c>
      <c r="AX40" s="86"/>
      <c r="AY40" s="91" t="str">
        <f t="shared" si="231"/>
        <v/>
      </c>
      <c r="AZ40" s="85" t="str">
        <f t="shared" si="333"/>
        <v/>
      </c>
      <c r="BA40" s="86"/>
      <c r="BB40" s="91" t="str">
        <f t="shared" si="232"/>
        <v/>
      </c>
      <c r="BC40" s="85" t="str">
        <f t="shared" si="334"/>
        <v/>
      </c>
      <c r="BD40" s="97"/>
      <c r="BE40" s="91" t="str">
        <f t="shared" si="233"/>
        <v/>
      </c>
      <c r="BF40" s="85" t="str">
        <f t="shared" si="335"/>
        <v/>
      </c>
      <c r="BG40" s="86"/>
      <c r="BH40" s="91" t="str">
        <f t="shared" si="234"/>
        <v/>
      </c>
      <c r="BI40" s="85" t="str">
        <f t="shared" si="336"/>
        <v/>
      </c>
      <c r="BJ40" s="86"/>
      <c r="BK40" s="91" t="str">
        <f t="shared" si="235"/>
        <v/>
      </c>
      <c r="BL40" s="85" t="str">
        <f t="shared" si="337"/>
        <v/>
      </c>
      <c r="BM40" s="86"/>
      <c r="BN40" s="91" t="str">
        <f t="shared" si="236"/>
        <v/>
      </c>
      <c r="BO40" s="85" t="str">
        <f t="shared" si="338"/>
        <v/>
      </c>
      <c r="BP40" s="51"/>
      <c r="BQ40" s="91" t="str">
        <f t="shared" si="237"/>
        <v/>
      </c>
      <c r="BR40" s="85" t="str">
        <f t="shared" si="339"/>
        <v/>
      </c>
      <c r="BS40" s="86"/>
      <c r="BT40" s="91" t="str">
        <f t="shared" si="238"/>
        <v/>
      </c>
      <c r="BU40" s="85" t="str">
        <f t="shared" si="340"/>
        <v/>
      </c>
      <c r="BV40" s="86"/>
      <c r="BW40" s="91" t="str">
        <f t="shared" si="239"/>
        <v/>
      </c>
      <c r="BX40" s="85" t="str">
        <f t="shared" si="341"/>
        <v/>
      </c>
      <c r="BY40" s="86"/>
      <c r="BZ40" s="91" t="str">
        <f t="shared" si="240"/>
        <v/>
      </c>
      <c r="CA40" s="85" t="str">
        <f t="shared" si="342"/>
        <v/>
      </c>
      <c r="CB40" s="86"/>
      <c r="CC40" s="91" t="str">
        <f t="shared" si="241"/>
        <v/>
      </c>
      <c r="CD40" s="85" t="str">
        <f t="shared" si="343"/>
        <v/>
      </c>
      <c r="CE40" s="86"/>
      <c r="CF40" s="91" t="str">
        <f t="shared" si="242"/>
        <v/>
      </c>
      <c r="CG40" s="85" t="str">
        <f t="shared" si="344"/>
        <v/>
      </c>
      <c r="CH40" s="86"/>
      <c r="CI40" s="91" t="str">
        <f t="shared" si="243"/>
        <v/>
      </c>
      <c r="CJ40" s="85" t="str">
        <f t="shared" si="345"/>
        <v/>
      </c>
      <c r="CK40" s="86"/>
      <c r="CL40" s="91" t="str">
        <f t="shared" si="244"/>
        <v/>
      </c>
      <c r="CM40" s="85" t="str">
        <f t="shared" si="346"/>
        <v/>
      </c>
      <c r="CN40" s="86"/>
      <c r="CO40" s="91" t="str">
        <f t="shared" si="245"/>
        <v/>
      </c>
      <c r="CP40" s="85" t="str">
        <f t="shared" si="347"/>
        <v/>
      </c>
      <c r="CQ40" s="86"/>
      <c r="CR40" s="91" t="str">
        <f t="shared" si="246"/>
        <v/>
      </c>
      <c r="CS40" s="85" t="str">
        <f t="shared" si="348"/>
        <v/>
      </c>
      <c r="CT40" s="86"/>
      <c r="CU40" s="91" t="str">
        <f t="shared" si="247"/>
        <v/>
      </c>
      <c r="CV40" s="85" t="str">
        <f t="shared" si="349"/>
        <v/>
      </c>
      <c r="CW40" s="86">
        <v>78</v>
      </c>
      <c r="CX40" s="91">
        <f t="shared" si="248"/>
        <v>-1.152704825374953</v>
      </c>
      <c r="CY40" s="85">
        <f t="shared" si="350"/>
        <v>0</v>
      </c>
      <c r="CZ40" s="86"/>
      <c r="DA40" s="91" t="str">
        <f t="shared" si="249"/>
        <v/>
      </c>
      <c r="DB40" s="85" t="str">
        <f t="shared" si="351"/>
        <v/>
      </c>
      <c r="DC40" s="86"/>
      <c r="DD40" s="91" t="str">
        <f t="shared" si="250"/>
        <v/>
      </c>
      <c r="DE40" s="85" t="str">
        <f t="shared" si="352"/>
        <v/>
      </c>
      <c r="DF40" s="86"/>
      <c r="DG40" s="91"/>
      <c r="DH40" s="85" t="str">
        <f t="shared" si="353"/>
        <v/>
      </c>
      <c r="DI40" s="86"/>
      <c r="DJ40" s="91" t="str">
        <f t="shared" si="251"/>
        <v/>
      </c>
      <c r="DK40" s="85" t="str">
        <f t="shared" si="354"/>
        <v/>
      </c>
      <c r="DL40" s="56"/>
      <c r="DM40" s="91" t="str">
        <f t="shared" si="252"/>
        <v/>
      </c>
      <c r="DN40" s="85" t="str">
        <f t="shared" si="355"/>
        <v/>
      </c>
      <c r="DO40" s="86">
        <v>86</v>
      </c>
      <c r="DP40" s="91">
        <f t="shared" si="253"/>
        <v>3.060666838914243E-2</v>
      </c>
      <c r="DQ40" s="85">
        <f t="shared" si="356"/>
        <v>0.5</v>
      </c>
      <c r="DR40" s="86"/>
      <c r="DS40" s="91" t="str">
        <f t="shared" si="254"/>
        <v/>
      </c>
      <c r="DT40" s="85" t="str">
        <f t="shared" si="357"/>
        <v/>
      </c>
      <c r="DU40" s="86"/>
      <c r="DV40" s="91" t="str">
        <f t="shared" si="255"/>
        <v/>
      </c>
      <c r="DW40" s="85" t="str">
        <f t="shared" si="358"/>
        <v/>
      </c>
      <c r="DX40" s="86"/>
      <c r="DY40" s="91" t="str">
        <f t="shared" si="256"/>
        <v/>
      </c>
      <c r="DZ40" s="85" t="str">
        <f t="shared" si="359"/>
        <v/>
      </c>
      <c r="EA40" s="86"/>
      <c r="EB40" s="91" t="str">
        <f t="shared" si="257"/>
        <v/>
      </c>
      <c r="EC40" s="85" t="str">
        <f t="shared" si="360"/>
        <v/>
      </c>
      <c r="ED40" s="271" t="s">
        <v>80</v>
      </c>
      <c r="EE40" s="91" t="str">
        <f t="shared" si="258"/>
        <v/>
      </c>
      <c r="EF40" s="85" t="str">
        <f t="shared" si="361"/>
        <v/>
      </c>
      <c r="EG40" s="86"/>
      <c r="EH40" s="91" t="str">
        <f t="shared" si="259"/>
        <v/>
      </c>
      <c r="EI40" s="85" t="str">
        <f t="shared" si="362"/>
        <v/>
      </c>
      <c r="EJ40" s="86"/>
      <c r="EK40" s="91" t="str">
        <f t="shared" si="260"/>
        <v/>
      </c>
      <c r="EL40" s="85" t="str">
        <f t="shared" si="363"/>
        <v/>
      </c>
      <c r="EM40" s="56"/>
      <c r="EN40" s="91" t="str">
        <f t="shared" si="261"/>
        <v/>
      </c>
      <c r="EO40" s="85" t="str">
        <f t="shared" si="364"/>
        <v/>
      </c>
      <c r="EP40" s="271">
        <v>73</v>
      </c>
      <c r="EQ40" s="91">
        <f t="shared" si="262"/>
        <v>-1.4744502250684854</v>
      </c>
      <c r="ER40" s="85">
        <f t="shared" si="365"/>
        <v>0</v>
      </c>
      <c r="ES40" s="51"/>
      <c r="ET40" s="91" t="str">
        <f t="shared" si="263"/>
        <v/>
      </c>
      <c r="EU40" s="85" t="str">
        <f t="shared" si="366"/>
        <v/>
      </c>
      <c r="EV40" s="56"/>
      <c r="EW40" s="91" t="str">
        <f t="shared" si="264"/>
        <v/>
      </c>
      <c r="EX40" s="85" t="str">
        <f t="shared" si="367"/>
        <v/>
      </c>
      <c r="EY40" s="86"/>
      <c r="EZ40" s="91" t="str">
        <f t="shared" si="265"/>
        <v/>
      </c>
      <c r="FA40" s="85" t="str">
        <f t="shared" si="368"/>
        <v/>
      </c>
      <c r="FB40" s="86"/>
      <c r="FC40" s="91" t="str">
        <f t="shared" si="266"/>
        <v/>
      </c>
      <c r="FD40" s="85" t="str">
        <f t="shared" si="369"/>
        <v/>
      </c>
      <c r="FE40" s="86"/>
      <c r="FF40" s="91" t="str">
        <f t="shared" si="267"/>
        <v/>
      </c>
      <c r="FG40" s="85" t="str">
        <f t="shared" si="370"/>
        <v/>
      </c>
      <c r="FH40" s="86"/>
      <c r="FI40" s="91" t="str">
        <f t="shared" si="268"/>
        <v/>
      </c>
      <c r="FJ40" s="85" t="str">
        <f t="shared" si="371"/>
        <v/>
      </c>
      <c r="FK40" s="86"/>
      <c r="FL40" s="91" t="str">
        <f t="shared" si="269"/>
        <v/>
      </c>
      <c r="FM40" s="85" t="str">
        <f t="shared" si="372"/>
        <v/>
      </c>
      <c r="FN40" s="86"/>
      <c r="FO40" s="91" t="str">
        <f t="shared" si="270"/>
        <v/>
      </c>
      <c r="FP40" s="85" t="str">
        <f t="shared" si="373"/>
        <v/>
      </c>
      <c r="FQ40" s="86"/>
      <c r="FR40" s="91" t="str">
        <f t="shared" si="271"/>
        <v/>
      </c>
      <c r="FS40" s="85" t="str">
        <f t="shared" si="374"/>
        <v/>
      </c>
      <c r="FT40" s="86"/>
      <c r="FU40" s="91" t="str">
        <f t="shared" si="272"/>
        <v/>
      </c>
      <c r="FV40" s="85" t="str">
        <f t="shared" si="375"/>
        <v/>
      </c>
      <c r="FW40" s="92"/>
      <c r="FX40" s="91" t="str">
        <f t="shared" si="273"/>
        <v/>
      </c>
      <c r="FY40" s="85" t="str">
        <f t="shared" si="376"/>
        <v/>
      </c>
      <c r="FZ40" s="86"/>
      <c r="GA40" s="91" t="str">
        <f t="shared" si="274"/>
        <v/>
      </c>
      <c r="GB40" s="85" t="str">
        <f t="shared" si="377"/>
        <v/>
      </c>
      <c r="GC40" s="86"/>
      <c r="GD40" s="91" t="str">
        <f t="shared" si="275"/>
        <v/>
      </c>
      <c r="GE40" s="85" t="str">
        <f t="shared" si="378"/>
        <v/>
      </c>
      <c r="GF40" s="86"/>
      <c r="GG40" s="91" t="str">
        <f t="shared" si="276"/>
        <v/>
      </c>
      <c r="GH40" s="85" t="str">
        <f t="shared" si="379"/>
        <v/>
      </c>
      <c r="GI40" s="86"/>
      <c r="GJ40" s="91" t="str">
        <f t="shared" si="277"/>
        <v/>
      </c>
      <c r="GK40" s="85" t="str">
        <f t="shared" si="380"/>
        <v/>
      </c>
      <c r="GL40" s="86"/>
      <c r="GM40" s="91" t="str">
        <f t="shared" si="278"/>
        <v/>
      </c>
      <c r="GN40" s="85" t="str">
        <f t="shared" si="381"/>
        <v/>
      </c>
      <c r="GO40" s="86"/>
      <c r="GP40" s="91" t="str">
        <f t="shared" si="279"/>
        <v/>
      </c>
      <c r="GQ40" s="85" t="str">
        <f t="shared" si="382"/>
        <v/>
      </c>
      <c r="GR40" s="86"/>
      <c r="GS40" s="91" t="str">
        <f t="shared" si="280"/>
        <v/>
      </c>
      <c r="GT40" s="85" t="str">
        <f t="shared" si="383"/>
        <v/>
      </c>
      <c r="GU40" s="92"/>
      <c r="GV40" s="91" t="str">
        <f t="shared" si="281"/>
        <v/>
      </c>
      <c r="GW40" s="85" t="str">
        <f t="shared" si="384"/>
        <v/>
      </c>
      <c r="GX40" s="86"/>
      <c r="GY40" s="91" t="str">
        <f t="shared" si="282"/>
        <v/>
      </c>
      <c r="GZ40" s="85" t="str">
        <f t="shared" si="385"/>
        <v/>
      </c>
      <c r="HA40" s="86"/>
      <c r="HB40" s="91" t="str">
        <f t="shared" si="283"/>
        <v/>
      </c>
      <c r="HC40" s="85" t="str">
        <f t="shared" si="386"/>
        <v/>
      </c>
      <c r="HD40" s="86"/>
      <c r="HE40" s="91" t="str">
        <f t="shared" si="284"/>
        <v/>
      </c>
      <c r="HF40" s="85" t="str">
        <f t="shared" si="387"/>
        <v/>
      </c>
      <c r="HG40" s="86"/>
      <c r="HH40" s="91" t="str">
        <f t="shared" si="285"/>
        <v/>
      </c>
      <c r="HI40" s="85" t="str">
        <f t="shared" si="388"/>
        <v/>
      </c>
      <c r="HJ40" s="86"/>
      <c r="HK40" s="91" t="str">
        <f t="shared" si="286"/>
        <v/>
      </c>
      <c r="HL40" s="85" t="str">
        <f t="shared" si="389"/>
        <v/>
      </c>
      <c r="HM40" s="86"/>
      <c r="HN40" s="91" t="str">
        <f t="shared" si="287"/>
        <v/>
      </c>
      <c r="HO40" s="85" t="str">
        <f t="shared" si="390"/>
        <v/>
      </c>
      <c r="HP40" s="56"/>
      <c r="HQ40" s="91" t="str">
        <f t="shared" si="288"/>
        <v/>
      </c>
      <c r="HR40" s="85" t="str">
        <f t="shared" si="391"/>
        <v/>
      </c>
      <c r="HS40" s="86"/>
      <c r="HT40" s="91" t="str">
        <f t="shared" si="289"/>
        <v/>
      </c>
      <c r="HU40" s="85" t="str">
        <f t="shared" si="392"/>
        <v/>
      </c>
      <c r="HV40" s="86"/>
      <c r="HW40" s="91" t="str">
        <f t="shared" si="290"/>
        <v/>
      </c>
      <c r="HX40" s="85" t="str">
        <f t="shared" si="393"/>
        <v/>
      </c>
      <c r="HY40" s="86"/>
      <c r="HZ40" s="91" t="str">
        <f t="shared" si="291"/>
        <v/>
      </c>
      <c r="IA40" s="85" t="str">
        <f t="shared" si="394"/>
        <v/>
      </c>
      <c r="IB40" s="86"/>
      <c r="IC40" s="91" t="str">
        <f t="shared" si="292"/>
        <v/>
      </c>
      <c r="ID40" s="85" t="str">
        <f t="shared" si="395"/>
        <v/>
      </c>
      <c r="IE40" s="86"/>
      <c r="IF40" s="91" t="str">
        <f t="shared" si="293"/>
        <v/>
      </c>
      <c r="IG40" s="85" t="str">
        <f t="shared" si="396"/>
        <v/>
      </c>
      <c r="IH40" s="86"/>
      <c r="II40" s="91" t="str">
        <f t="shared" si="294"/>
        <v/>
      </c>
      <c r="IJ40" s="85" t="str">
        <f t="shared" si="397"/>
        <v/>
      </c>
      <c r="IK40" s="86"/>
      <c r="IL40" s="91" t="str">
        <f t="shared" si="295"/>
        <v/>
      </c>
      <c r="IM40" s="85" t="str">
        <f t="shared" si="398"/>
        <v/>
      </c>
      <c r="IN40" s="86"/>
      <c r="IO40" s="91" t="str">
        <f t="shared" si="296"/>
        <v/>
      </c>
      <c r="IP40" s="85" t="str">
        <f t="shared" si="399"/>
        <v/>
      </c>
      <c r="IQ40" s="86"/>
      <c r="IR40" s="91" t="str">
        <f t="shared" si="297"/>
        <v/>
      </c>
      <c r="IS40" s="85" t="str">
        <f t="shared" si="400"/>
        <v/>
      </c>
      <c r="IT40" s="86"/>
      <c r="IU40" s="91" t="str">
        <f t="shared" si="298"/>
        <v/>
      </c>
      <c r="IV40" s="85" t="str">
        <f t="shared" si="401"/>
        <v/>
      </c>
      <c r="IW40" s="86"/>
      <c r="IX40" s="91" t="str">
        <f t="shared" si="299"/>
        <v/>
      </c>
      <c r="IY40" s="85" t="str">
        <f t="shared" si="402"/>
        <v/>
      </c>
      <c r="IZ40" s="86"/>
      <c r="JA40" s="91" t="str">
        <f t="shared" si="300"/>
        <v/>
      </c>
      <c r="JB40" s="85" t="str">
        <f t="shared" si="403"/>
        <v/>
      </c>
      <c r="JC40" s="86"/>
      <c r="JD40" s="91" t="str">
        <f t="shared" si="301"/>
        <v/>
      </c>
      <c r="JE40" s="85" t="str">
        <f t="shared" si="404"/>
        <v/>
      </c>
      <c r="JF40" s="86"/>
      <c r="JG40" s="91" t="str">
        <f t="shared" si="302"/>
        <v/>
      </c>
      <c r="JH40" s="85" t="str">
        <f t="shared" si="405"/>
        <v/>
      </c>
      <c r="JI40" s="86"/>
      <c r="JJ40" s="91" t="str">
        <f t="shared" si="303"/>
        <v/>
      </c>
      <c r="JK40" s="85" t="str">
        <f t="shared" si="406"/>
        <v/>
      </c>
      <c r="JL40" s="86"/>
      <c r="JM40" s="91" t="str">
        <f t="shared" si="304"/>
        <v/>
      </c>
      <c r="JN40" s="85" t="str">
        <f t="shared" si="407"/>
        <v/>
      </c>
      <c r="JO40" s="86"/>
      <c r="JP40" s="91" t="str">
        <f t="shared" si="305"/>
        <v/>
      </c>
      <c r="JQ40" s="85" t="str">
        <f t="shared" si="408"/>
        <v/>
      </c>
      <c r="JR40" s="86"/>
      <c r="JS40" s="91" t="str">
        <f t="shared" si="306"/>
        <v/>
      </c>
      <c r="JT40" s="85" t="str">
        <f t="shared" si="409"/>
        <v/>
      </c>
      <c r="JU40" s="86"/>
      <c r="JV40" s="91" t="str">
        <f t="shared" si="307"/>
        <v/>
      </c>
      <c r="JW40" s="85" t="str">
        <f t="shared" si="410"/>
        <v/>
      </c>
      <c r="JX40" s="86"/>
      <c r="JY40" s="91" t="str">
        <f t="shared" si="308"/>
        <v/>
      </c>
      <c r="JZ40" s="85" t="str">
        <f t="shared" si="411"/>
        <v/>
      </c>
      <c r="KA40" s="86"/>
      <c r="KB40" s="91" t="str">
        <f t="shared" si="309"/>
        <v/>
      </c>
      <c r="KC40" s="85" t="str">
        <f t="shared" si="412"/>
        <v/>
      </c>
      <c r="KD40" s="86"/>
      <c r="KE40" s="91" t="str">
        <f t="shared" si="310"/>
        <v/>
      </c>
      <c r="KF40" s="85" t="str">
        <f t="shared" si="413"/>
        <v/>
      </c>
      <c r="KG40" s="86"/>
      <c r="KH40" s="91" t="str">
        <f t="shared" si="311"/>
        <v/>
      </c>
      <c r="KI40" s="85" t="str">
        <f t="shared" si="414"/>
        <v/>
      </c>
      <c r="KJ40" s="86"/>
      <c r="KK40" s="91" t="str">
        <f t="shared" si="312"/>
        <v/>
      </c>
      <c r="KL40" s="85" t="str">
        <f t="shared" si="415"/>
        <v/>
      </c>
      <c r="KM40" s="86"/>
      <c r="KN40" s="91" t="str">
        <f t="shared" si="313"/>
        <v/>
      </c>
      <c r="KO40" s="85" t="str">
        <f t="shared" si="416"/>
        <v/>
      </c>
      <c r="KP40" s="86"/>
      <c r="KQ40" s="91" t="str">
        <f t="shared" si="314"/>
        <v/>
      </c>
      <c r="KR40" s="85" t="str">
        <f t="shared" si="417"/>
        <v/>
      </c>
      <c r="KS40" s="86"/>
      <c r="KT40" s="91" t="str">
        <f t="shared" si="315"/>
        <v/>
      </c>
      <c r="KU40" s="85" t="str">
        <f t="shared" si="418"/>
        <v/>
      </c>
      <c r="KV40" s="86"/>
      <c r="KW40" s="91" t="str">
        <f t="shared" si="316"/>
        <v/>
      </c>
      <c r="KX40" s="85" t="str">
        <f t="shared" si="419"/>
        <v/>
      </c>
      <c r="KY40" s="92"/>
      <c r="KZ40" s="91" t="str">
        <f t="shared" si="317"/>
        <v/>
      </c>
      <c r="LA40" s="85" t="str">
        <f t="shared" si="420"/>
        <v/>
      </c>
      <c r="LB40" s="50">
        <f t="shared" si="218"/>
        <v>76.75</v>
      </c>
      <c r="LC40" s="57">
        <f t="shared" si="421"/>
        <v>50</v>
      </c>
      <c r="LD40" s="50">
        <f t="shared" si="207"/>
        <v>-1.0730484715119712</v>
      </c>
      <c r="LE40" s="57">
        <f t="shared" si="422"/>
        <v>57</v>
      </c>
      <c r="LF40" s="50">
        <f t="shared" si="208"/>
        <v>0.125</v>
      </c>
      <c r="LG40" s="57">
        <f t="shared" si="423"/>
        <v>56</v>
      </c>
      <c r="LH40" s="58">
        <f t="shared" si="318"/>
        <v>38.349780701754383</v>
      </c>
      <c r="LI40" s="58">
        <f t="shared" si="319"/>
        <v>29.831237183459905</v>
      </c>
      <c r="LJ40" s="58">
        <f t="shared" si="320"/>
        <v>28.125</v>
      </c>
      <c r="LK40" s="58">
        <f t="shared" si="424"/>
        <v>46.306017885214288</v>
      </c>
      <c r="LL40" s="60">
        <f t="shared" si="425"/>
        <v>54</v>
      </c>
      <c r="LM40" s="55"/>
      <c r="LN40" s="112">
        <f t="shared" si="217"/>
        <v>22</v>
      </c>
      <c r="LO40" s="61">
        <f t="shared" si="214"/>
        <v>54</v>
      </c>
      <c r="LP40" s="64"/>
      <c r="LQ40" s="64"/>
      <c r="LR40" s="64"/>
    </row>
    <row r="41" spans="1:334" s="62" customFormat="1" ht="15" customHeight="1">
      <c r="A41" s="50">
        <f t="shared" si="211"/>
        <v>5</v>
      </c>
      <c r="B41" s="50">
        <f t="shared" si="212"/>
        <v>4</v>
      </c>
      <c r="C41" s="117">
        <v>1</v>
      </c>
      <c r="D41" s="118" t="s">
        <v>222</v>
      </c>
      <c r="E41" s="286" t="s">
        <v>645</v>
      </c>
      <c r="F41" s="286" t="s">
        <v>646</v>
      </c>
      <c r="G41" s="76"/>
      <c r="H41" s="119" t="s">
        <v>129</v>
      </c>
      <c r="I41" s="286" t="s">
        <v>562</v>
      </c>
      <c r="J41" s="119" t="s">
        <v>223</v>
      </c>
      <c r="K41" s="119" t="s">
        <v>2</v>
      </c>
      <c r="L41" s="53" t="s">
        <v>224</v>
      </c>
      <c r="M41" s="292" t="s">
        <v>35</v>
      </c>
      <c r="N41" s="86"/>
      <c r="O41" s="91" t="str">
        <f t="shared" si="219"/>
        <v/>
      </c>
      <c r="P41" s="85" t="str">
        <f t="shared" si="321"/>
        <v/>
      </c>
      <c r="Q41" s="86"/>
      <c r="R41" s="91" t="str">
        <f t="shared" si="220"/>
        <v/>
      </c>
      <c r="S41" s="85" t="str">
        <f t="shared" si="322"/>
        <v/>
      </c>
      <c r="T41" s="86">
        <v>90</v>
      </c>
      <c r="U41" s="91">
        <f t="shared" si="221"/>
        <v>-0.57701644420121545</v>
      </c>
      <c r="V41" s="85">
        <f t="shared" si="323"/>
        <v>0.25</v>
      </c>
      <c r="W41" s="56"/>
      <c r="X41" s="91" t="str">
        <f t="shared" si="222"/>
        <v/>
      </c>
      <c r="Y41" s="85" t="str">
        <f t="shared" si="324"/>
        <v/>
      </c>
      <c r="Z41" s="86"/>
      <c r="AA41" s="91" t="str">
        <f t="shared" si="223"/>
        <v/>
      </c>
      <c r="AB41" s="85" t="str">
        <f t="shared" si="325"/>
        <v/>
      </c>
      <c r="AC41" s="86"/>
      <c r="AD41" s="91" t="str">
        <f t="shared" si="224"/>
        <v/>
      </c>
      <c r="AE41" s="85" t="str">
        <f t="shared" si="326"/>
        <v/>
      </c>
      <c r="AF41" s="86"/>
      <c r="AG41" s="91" t="str">
        <f t="shared" si="225"/>
        <v/>
      </c>
      <c r="AH41" s="85" t="str">
        <f t="shared" si="327"/>
        <v/>
      </c>
      <c r="AI41" s="86"/>
      <c r="AJ41" s="91" t="str">
        <f t="shared" si="226"/>
        <v/>
      </c>
      <c r="AK41" s="85" t="str">
        <f t="shared" si="328"/>
        <v/>
      </c>
      <c r="AL41" s="86"/>
      <c r="AM41" s="91" t="str">
        <f t="shared" si="227"/>
        <v/>
      </c>
      <c r="AN41" s="85" t="str">
        <f t="shared" si="329"/>
        <v/>
      </c>
      <c r="AO41" s="56"/>
      <c r="AP41" s="91" t="str">
        <f t="shared" si="228"/>
        <v/>
      </c>
      <c r="AQ41" s="85" t="str">
        <f t="shared" si="330"/>
        <v/>
      </c>
      <c r="AR41" s="86"/>
      <c r="AS41" s="91" t="str">
        <f t="shared" si="229"/>
        <v/>
      </c>
      <c r="AT41" s="85" t="str">
        <f t="shared" si="331"/>
        <v/>
      </c>
      <c r="AU41" s="86"/>
      <c r="AV41" s="91" t="str">
        <f t="shared" si="230"/>
        <v/>
      </c>
      <c r="AW41" s="85" t="str">
        <f t="shared" si="332"/>
        <v/>
      </c>
      <c r="AX41" s="86"/>
      <c r="AY41" s="91" t="str">
        <f t="shared" si="231"/>
        <v/>
      </c>
      <c r="AZ41" s="85" t="str">
        <f t="shared" si="333"/>
        <v/>
      </c>
      <c r="BA41" s="86"/>
      <c r="BB41" s="91" t="str">
        <f t="shared" si="232"/>
        <v/>
      </c>
      <c r="BC41" s="85" t="str">
        <f t="shared" si="334"/>
        <v/>
      </c>
      <c r="BD41" s="92"/>
      <c r="BE41" s="91" t="str">
        <f t="shared" si="233"/>
        <v/>
      </c>
      <c r="BF41" s="85" t="str">
        <f t="shared" si="335"/>
        <v/>
      </c>
      <c r="BG41" s="86"/>
      <c r="BH41" s="91" t="str">
        <f t="shared" si="234"/>
        <v/>
      </c>
      <c r="BI41" s="85" t="str">
        <f t="shared" si="336"/>
        <v/>
      </c>
      <c r="BJ41" s="86"/>
      <c r="BK41" s="91" t="str">
        <f t="shared" si="235"/>
        <v/>
      </c>
      <c r="BL41" s="85" t="str">
        <f t="shared" si="337"/>
        <v/>
      </c>
      <c r="BM41" s="86"/>
      <c r="BN41" s="91" t="str">
        <f t="shared" si="236"/>
        <v/>
      </c>
      <c r="BO41" s="85" t="str">
        <f t="shared" si="338"/>
        <v/>
      </c>
      <c r="BP41" s="51"/>
      <c r="BQ41" s="91" t="str">
        <f t="shared" si="237"/>
        <v/>
      </c>
      <c r="BR41" s="85" t="str">
        <f t="shared" si="339"/>
        <v/>
      </c>
      <c r="BS41" s="86"/>
      <c r="BT41" s="91" t="str">
        <f t="shared" si="238"/>
        <v/>
      </c>
      <c r="BU41" s="85" t="str">
        <f t="shared" si="340"/>
        <v/>
      </c>
      <c r="BV41" s="86"/>
      <c r="BW41" s="91" t="str">
        <f t="shared" si="239"/>
        <v/>
      </c>
      <c r="BX41" s="85" t="str">
        <f t="shared" si="341"/>
        <v/>
      </c>
      <c r="BY41" s="86"/>
      <c r="BZ41" s="91" t="str">
        <f t="shared" si="240"/>
        <v/>
      </c>
      <c r="CA41" s="85" t="str">
        <f t="shared" si="342"/>
        <v/>
      </c>
      <c r="CB41" s="86"/>
      <c r="CC41" s="91" t="str">
        <f t="shared" si="241"/>
        <v/>
      </c>
      <c r="CD41" s="85" t="str">
        <f t="shared" si="343"/>
        <v/>
      </c>
      <c r="CE41" s="86"/>
      <c r="CF41" s="91" t="str">
        <f t="shared" si="242"/>
        <v/>
      </c>
      <c r="CG41" s="85" t="str">
        <f t="shared" si="344"/>
        <v/>
      </c>
      <c r="CH41" s="271" t="s">
        <v>64</v>
      </c>
      <c r="CI41" s="91" t="str">
        <f t="shared" si="243"/>
        <v/>
      </c>
      <c r="CJ41" s="85" t="str">
        <f t="shared" si="345"/>
        <v/>
      </c>
      <c r="CK41" s="86"/>
      <c r="CL41" s="91" t="str">
        <f t="shared" si="244"/>
        <v/>
      </c>
      <c r="CM41" s="85" t="str">
        <f t="shared" si="346"/>
        <v/>
      </c>
      <c r="CN41" s="86"/>
      <c r="CO41" s="91" t="str">
        <f t="shared" si="245"/>
        <v/>
      </c>
      <c r="CP41" s="85" t="str">
        <f t="shared" si="347"/>
        <v/>
      </c>
      <c r="CQ41" s="86"/>
      <c r="CR41" s="91" t="str">
        <f t="shared" si="246"/>
        <v/>
      </c>
      <c r="CS41" s="85" t="str">
        <f t="shared" si="348"/>
        <v/>
      </c>
      <c r="CT41" s="86"/>
      <c r="CU41" s="91" t="str">
        <f t="shared" si="247"/>
        <v/>
      </c>
      <c r="CV41" s="85" t="str">
        <f t="shared" si="349"/>
        <v/>
      </c>
      <c r="CW41" s="86"/>
      <c r="CX41" s="91" t="str">
        <f t="shared" si="248"/>
        <v/>
      </c>
      <c r="CY41" s="85" t="str">
        <f t="shared" si="350"/>
        <v/>
      </c>
      <c r="CZ41" s="86"/>
      <c r="DA41" s="91" t="str">
        <f t="shared" si="249"/>
        <v/>
      </c>
      <c r="DB41" s="85" t="str">
        <f t="shared" si="351"/>
        <v/>
      </c>
      <c r="DC41" s="86"/>
      <c r="DD41" s="91" t="str">
        <f t="shared" si="250"/>
        <v/>
      </c>
      <c r="DE41" s="85" t="str">
        <f t="shared" si="352"/>
        <v/>
      </c>
      <c r="DF41" s="86"/>
      <c r="DG41" s="91"/>
      <c r="DH41" s="85" t="str">
        <f t="shared" si="353"/>
        <v/>
      </c>
      <c r="DI41" s="271">
        <v>82</v>
      </c>
      <c r="DJ41" s="91">
        <f t="shared" si="251"/>
        <v>0.42710637459810608</v>
      </c>
      <c r="DK41" s="85">
        <f t="shared" si="354"/>
        <v>0.75</v>
      </c>
      <c r="DL41" s="86"/>
      <c r="DM41" s="91" t="str">
        <f t="shared" si="252"/>
        <v/>
      </c>
      <c r="DN41" s="85" t="str">
        <f t="shared" si="355"/>
        <v/>
      </c>
      <c r="DO41" s="86"/>
      <c r="DP41" s="91" t="str">
        <f t="shared" si="253"/>
        <v/>
      </c>
      <c r="DQ41" s="85" t="str">
        <f t="shared" si="356"/>
        <v/>
      </c>
      <c r="DR41" s="86"/>
      <c r="DS41" s="91" t="str">
        <f t="shared" si="254"/>
        <v/>
      </c>
      <c r="DT41" s="85" t="str">
        <f t="shared" si="357"/>
        <v/>
      </c>
      <c r="DU41" s="86"/>
      <c r="DV41" s="91" t="str">
        <f t="shared" si="255"/>
        <v/>
      </c>
      <c r="DW41" s="85" t="str">
        <f t="shared" si="358"/>
        <v/>
      </c>
      <c r="DX41" s="86"/>
      <c r="DY41" s="91" t="str">
        <f t="shared" si="256"/>
        <v/>
      </c>
      <c r="DZ41" s="85" t="str">
        <f t="shared" si="359"/>
        <v/>
      </c>
      <c r="EA41" s="56">
        <v>81</v>
      </c>
      <c r="EB41" s="91">
        <f t="shared" si="257"/>
        <v>-0.52610577869809094</v>
      </c>
      <c r="EC41" s="85">
        <f t="shared" si="360"/>
        <v>0.25</v>
      </c>
      <c r="ED41" s="86"/>
      <c r="EE41" s="91" t="str">
        <f t="shared" si="258"/>
        <v/>
      </c>
      <c r="EF41" s="85" t="str">
        <f t="shared" si="361"/>
        <v/>
      </c>
      <c r="EG41" s="86"/>
      <c r="EH41" s="91" t="str">
        <f t="shared" si="259"/>
        <v/>
      </c>
      <c r="EI41" s="85" t="str">
        <f t="shared" si="362"/>
        <v/>
      </c>
      <c r="EJ41" s="86"/>
      <c r="EK41" s="91" t="str">
        <f t="shared" si="260"/>
        <v/>
      </c>
      <c r="EL41" s="85" t="str">
        <f t="shared" si="363"/>
        <v/>
      </c>
      <c r="EM41" s="86"/>
      <c r="EN41" s="91" t="str">
        <f t="shared" si="261"/>
        <v/>
      </c>
      <c r="EO41" s="85" t="str">
        <f t="shared" si="364"/>
        <v/>
      </c>
      <c r="EP41" s="86"/>
      <c r="EQ41" s="91" t="str">
        <f t="shared" si="262"/>
        <v/>
      </c>
      <c r="ER41" s="85" t="str">
        <f t="shared" si="365"/>
        <v/>
      </c>
      <c r="ES41" s="51"/>
      <c r="ET41" s="91" t="str">
        <f t="shared" si="263"/>
        <v/>
      </c>
      <c r="EU41" s="85" t="str">
        <f t="shared" si="366"/>
        <v/>
      </c>
      <c r="EV41" s="86"/>
      <c r="EW41" s="91" t="str">
        <f t="shared" si="264"/>
        <v/>
      </c>
      <c r="EX41" s="85" t="str">
        <f t="shared" si="367"/>
        <v/>
      </c>
      <c r="EY41" s="86"/>
      <c r="EZ41" s="91" t="str">
        <f t="shared" si="265"/>
        <v/>
      </c>
      <c r="FA41" s="85" t="str">
        <f t="shared" si="368"/>
        <v/>
      </c>
      <c r="FB41" s="86"/>
      <c r="FC41" s="91" t="str">
        <f t="shared" si="266"/>
        <v/>
      </c>
      <c r="FD41" s="85" t="str">
        <f t="shared" si="369"/>
        <v/>
      </c>
      <c r="FE41" s="86"/>
      <c r="FF41" s="91" t="str">
        <f t="shared" si="267"/>
        <v/>
      </c>
      <c r="FG41" s="85" t="str">
        <f t="shared" si="370"/>
        <v/>
      </c>
      <c r="FH41" s="92"/>
      <c r="FI41" s="91" t="str">
        <f t="shared" si="268"/>
        <v/>
      </c>
      <c r="FJ41" s="85" t="str">
        <f t="shared" si="371"/>
        <v/>
      </c>
      <c r="FK41" s="86"/>
      <c r="FL41" s="91" t="str">
        <f t="shared" si="269"/>
        <v/>
      </c>
      <c r="FM41" s="85" t="str">
        <f t="shared" si="372"/>
        <v/>
      </c>
      <c r="FN41" s="86"/>
      <c r="FO41" s="91" t="str">
        <f t="shared" si="270"/>
        <v/>
      </c>
      <c r="FP41" s="85" t="str">
        <f t="shared" si="373"/>
        <v/>
      </c>
      <c r="FQ41" s="86"/>
      <c r="FR41" s="91" t="str">
        <f t="shared" si="271"/>
        <v/>
      </c>
      <c r="FS41" s="85" t="str">
        <f t="shared" si="374"/>
        <v/>
      </c>
      <c r="FT41" s="86"/>
      <c r="FU41" s="91" t="str">
        <f t="shared" si="272"/>
        <v/>
      </c>
      <c r="FV41" s="85" t="str">
        <f t="shared" si="375"/>
        <v/>
      </c>
      <c r="FW41" s="56"/>
      <c r="FX41" s="91" t="str">
        <f t="shared" si="273"/>
        <v/>
      </c>
      <c r="FY41" s="85" t="str">
        <f t="shared" si="376"/>
        <v/>
      </c>
      <c r="FZ41" s="86"/>
      <c r="GA41" s="91" t="str">
        <f t="shared" si="274"/>
        <v/>
      </c>
      <c r="GB41" s="85" t="str">
        <f t="shared" si="377"/>
        <v/>
      </c>
      <c r="GC41" s="86"/>
      <c r="GD41" s="91" t="str">
        <f t="shared" si="275"/>
        <v/>
      </c>
      <c r="GE41" s="85" t="str">
        <f t="shared" si="378"/>
        <v/>
      </c>
      <c r="GF41" s="86"/>
      <c r="GG41" s="91" t="str">
        <f t="shared" si="276"/>
        <v/>
      </c>
      <c r="GH41" s="85" t="str">
        <f t="shared" si="379"/>
        <v/>
      </c>
      <c r="GI41" s="86"/>
      <c r="GJ41" s="91" t="str">
        <f t="shared" si="277"/>
        <v/>
      </c>
      <c r="GK41" s="85" t="str">
        <f t="shared" si="380"/>
        <v/>
      </c>
      <c r="GL41" s="86"/>
      <c r="GM41" s="91" t="str">
        <f t="shared" si="278"/>
        <v/>
      </c>
      <c r="GN41" s="85" t="str">
        <f t="shared" si="381"/>
        <v/>
      </c>
      <c r="GO41" s="86"/>
      <c r="GP41" s="91" t="str">
        <f t="shared" si="279"/>
        <v/>
      </c>
      <c r="GQ41" s="85" t="str">
        <f t="shared" si="382"/>
        <v/>
      </c>
      <c r="GR41" s="86"/>
      <c r="GS41" s="91" t="str">
        <f t="shared" si="280"/>
        <v/>
      </c>
      <c r="GT41" s="85" t="str">
        <f t="shared" si="383"/>
        <v/>
      </c>
      <c r="GU41" s="86"/>
      <c r="GV41" s="91" t="str">
        <f t="shared" si="281"/>
        <v/>
      </c>
      <c r="GW41" s="85" t="str">
        <f t="shared" si="384"/>
        <v/>
      </c>
      <c r="GX41" s="86">
        <v>96</v>
      </c>
      <c r="GY41" s="91">
        <f t="shared" si="282"/>
        <v>1.0332700802904957</v>
      </c>
      <c r="GZ41" s="85">
        <f t="shared" si="385"/>
        <v>1</v>
      </c>
      <c r="HA41" s="86"/>
      <c r="HB41" s="91" t="str">
        <f t="shared" si="283"/>
        <v/>
      </c>
      <c r="HC41" s="85" t="str">
        <f t="shared" si="386"/>
        <v/>
      </c>
      <c r="HD41" s="86"/>
      <c r="HE41" s="91" t="str">
        <f t="shared" si="284"/>
        <v/>
      </c>
      <c r="HF41" s="85" t="str">
        <f t="shared" si="387"/>
        <v/>
      </c>
      <c r="HG41" s="86"/>
      <c r="HH41" s="91" t="str">
        <f t="shared" si="285"/>
        <v/>
      </c>
      <c r="HI41" s="85" t="str">
        <f t="shared" si="388"/>
        <v/>
      </c>
      <c r="HJ41" s="86"/>
      <c r="HK41" s="91" t="str">
        <f t="shared" si="286"/>
        <v/>
      </c>
      <c r="HL41" s="85" t="str">
        <f t="shared" si="389"/>
        <v/>
      </c>
      <c r="HM41" s="56"/>
      <c r="HN41" s="91" t="str">
        <f t="shared" si="287"/>
        <v/>
      </c>
      <c r="HO41" s="85" t="str">
        <f t="shared" si="390"/>
        <v/>
      </c>
      <c r="HP41" s="86"/>
      <c r="HQ41" s="91" t="str">
        <f t="shared" si="288"/>
        <v/>
      </c>
      <c r="HR41" s="85" t="str">
        <f t="shared" si="391"/>
        <v/>
      </c>
      <c r="HS41" s="86"/>
      <c r="HT41" s="91" t="str">
        <f t="shared" si="289"/>
        <v/>
      </c>
      <c r="HU41" s="85" t="str">
        <f t="shared" si="392"/>
        <v/>
      </c>
      <c r="HV41" s="86"/>
      <c r="HW41" s="91" t="str">
        <f t="shared" si="290"/>
        <v/>
      </c>
      <c r="HX41" s="85" t="str">
        <f t="shared" si="393"/>
        <v/>
      </c>
      <c r="HY41" s="86"/>
      <c r="HZ41" s="91" t="str">
        <f t="shared" si="291"/>
        <v/>
      </c>
      <c r="IA41" s="85" t="str">
        <f t="shared" si="394"/>
        <v/>
      </c>
      <c r="IB41" s="86"/>
      <c r="IC41" s="91" t="str">
        <f t="shared" si="292"/>
        <v/>
      </c>
      <c r="ID41" s="85" t="str">
        <f t="shared" si="395"/>
        <v/>
      </c>
      <c r="IE41" s="86"/>
      <c r="IF41" s="91" t="str">
        <f t="shared" si="293"/>
        <v/>
      </c>
      <c r="IG41" s="85" t="str">
        <f t="shared" si="396"/>
        <v/>
      </c>
      <c r="IH41" s="86"/>
      <c r="II41" s="91" t="str">
        <f t="shared" si="294"/>
        <v/>
      </c>
      <c r="IJ41" s="85" t="str">
        <f t="shared" si="397"/>
        <v/>
      </c>
      <c r="IK41" s="86"/>
      <c r="IL41" s="91" t="str">
        <f t="shared" si="295"/>
        <v/>
      </c>
      <c r="IM41" s="85" t="str">
        <f t="shared" si="398"/>
        <v/>
      </c>
      <c r="IN41" s="86"/>
      <c r="IO41" s="91" t="str">
        <f t="shared" si="296"/>
        <v/>
      </c>
      <c r="IP41" s="85" t="str">
        <f t="shared" si="399"/>
        <v/>
      </c>
      <c r="IQ41" s="86"/>
      <c r="IR41" s="91" t="str">
        <f t="shared" si="297"/>
        <v/>
      </c>
      <c r="IS41" s="85" t="str">
        <f t="shared" si="400"/>
        <v/>
      </c>
      <c r="IT41" s="86"/>
      <c r="IU41" s="91" t="str">
        <f t="shared" si="298"/>
        <v/>
      </c>
      <c r="IV41" s="85" t="str">
        <f t="shared" si="401"/>
        <v/>
      </c>
      <c r="IW41" s="86"/>
      <c r="IX41" s="91" t="str">
        <f t="shared" si="299"/>
        <v/>
      </c>
      <c r="IY41" s="85" t="str">
        <f t="shared" si="402"/>
        <v/>
      </c>
      <c r="IZ41" s="86"/>
      <c r="JA41" s="91" t="str">
        <f t="shared" si="300"/>
        <v/>
      </c>
      <c r="JB41" s="85" t="str">
        <f t="shared" si="403"/>
        <v/>
      </c>
      <c r="JC41" s="86"/>
      <c r="JD41" s="91" t="str">
        <f t="shared" si="301"/>
        <v/>
      </c>
      <c r="JE41" s="85" t="str">
        <f t="shared" si="404"/>
        <v/>
      </c>
      <c r="JF41" s="86"/>
      <c r="JG41" s="91" t="str">
        <f t="shared" si="302"/>
        <v/>
      </c>
      <c r="JH41" s="85" t="str">
        <f t="shared" si="405"/>
        <v/>
      </c>
      <c r="JI41" s="86"/>
      <c r="JJ41" s="91" t="str">
        <f t="shared" si="303"/>
        <v/>
      </c>
      <c r="JK41" s="85" t="str">
        <f t="shared" si="406"/>
        <v/>
      </c>
      <c r="JL41" s="86"/>
      <c r="JM41" s="91" t="str">
        <f t="shared" si="304"/>
        <v/>
      </c>
      <c r="JN41" s="85" t="str">
        <f t="shared" si="407"/>
        <v/>
      </c>
      <c r="JO41" s="86"/>
      <c r="JP41" s="91" t="str">
        <f t="shared" si="305"/>
        <v/>
      </c>
      <c r="JQ41" s="85" t="str">
        <f t="shared" si="408"/>
        <v/>
      </c>
      <c r="JR41" s="86"/>
      <c r="JS41" s="91" t="str">
        <f t="shared" si="306"/>
        <v/>
      </c>
      <c r="JT41" s="85" t="str">
        <f t="shared" si="409"/>
        <v/>
      </c>
      <c r="JU41" s="86"/>
      <c r="JV41" s="91" t="str">
        <f t="shared" si="307"/>
        <v/>
      </c>
      <c r="JW41" s="85" t="str">
        <f t="shared" si="410"/>
        <v/>
      </c>
      <c r="JX41" s="86"/>
      <c r="JY41" s="91" t="str">
        <f t="shared" si="308"/>
        <v/>
      </c>
      <c r="JZ41" s="85" t="str">
        <f t="shared" si="411"/>
        <v/>
      </c>
      <c r="KA41" s="86"/>
      <c r="KB41" s="91" t="str">
        <f t="shared" si="309"/>
        <v/>
      </c>
      <c r="KC41" s="85" t="str">
        <f t="shared" si="412"/>
        <v/>
      </c>
      <c r="KD41" s="86"/>
      <c r="KE41" s="91" t="str">
        <f t="shared" si="310"/>
        <v/>
      </c>
      <c r="KF41" s="85" t="str">
        <f t="shared" si="413"/>
        <v/>
      </c>
      <c r="KG41" s="86"/>
      <c r="KH41" s="91" t="str">
        <f t="shared" si="311"/>
        <v/>
      </c>
      <c r="KI41" s="85" t="str">
        <f t="shared" si="414"/>
        <v/>
      </c>
      <c r="KJ41" s="86"/>
      <c r="KK41" s="91" t="str">
        <f t="shared" si="312"/>
        <v/>
      </c>
      <c r="KL41" s="85" t="str">
        <f t="shared" si="415"/>
        <v/>
      </c>
      <c r="KM41" s="86"/>
      <c r="KN41" s="91" t="str">
        <f t="shared" si="313"/>
        <v/>
      </c>
      <c r="KO41" s="85" t="str">
        <f t="shared" si="416"/>
        <v/>
      </c>
      <c r="KP41" s="86"/>
      <c r="KQ41" s="91" t="str">
        <f t="shared" si="314"/>
        <v/>
      </c>
      <c r="KR41" s="85" t="str">
        <f t="shared" si="417"/>
        <v/>
      </c>
      <c r="KS41" s="86"/>
      <c r="KT41" s="91" t="str">
        <f t="shared" si="315"/>
        <v/>
      </c>
      <c r="KU41" s="85" t="str">
        <f t="shared" si="418"/>
        <v/>
      </c>
      <c r="KV41" s="86"/>
      <c r="KW41" s="91" t="str">
        <f t="shared" si="316"/>
        <v/>
      </c>
      <c r="KX41" s="85" t="str">
        <f t="shared" si="419"/>
        <v/>
      </c>
      <c r="KY41" s="92"/>
      <c r="KZ41" s="91" t="str">
        <f t="shared" si="317"/>
        <v/>
      </c>
      <c r="LA41" s="85" t="str">
        <f t="shared" si="420"/>
        <v/>
      </c>
      <c r="LB41" s="50">
        <f t="shared" si="218"/>
        <v>87.25</v>
      </c>
      <c r="LC41" s="57">
        <f t="shared" si="421"/>
        <v>26</v>
      </c>
      <c r="LD41" s="50">
        <f t="shared" si="207"/>
        <v>8.931355799732385E-2</v>
      </c>
      <c r="LE41" s="57">
        <f t="shared" si="422"/>
        <v>34</v>
      </c>
      <c r="LF41" s="50">
        <f t="shared" si="208"/>
        <v>0.5625</v>
      </c>
      <c r="LG41" s="57">
        <f t="shared" si="423"/>
        <v>32</v>
      </c>
      <c r="LH41" s="58">
        <f t="shared" si="318"/>
        <v>44.106359649122808</v>
      </c>
      <c r="LI41" s="58">
        <f t="shared" si="319"/>
        <v>40.682527589972551</v>
      </c>
      <c r="LJ41" s="58">
        <f t="shared" si="320"/>
        <v>39.0625</v>
      </c>
      <c r="LK41" s="58">
        <f t="shared" si="424"/>
        <v>73.851387239095359</v>
      </c>
      <c r="LL41" s="60">
        <f t="shared" si="425"/>
        <v>33</v>
      </c>
      <c r="LM41" s="55"/>
      <c r="LN41" s="112">
        <f t="shared" si="217"/>
        <v>14</v>
      </c>
      <c r="LO41" s="61">
        <f t="shared" si="214"/>
        <v>33</v>
      </c>
      <c r="LP41" s="64"/>
      <c r="LQ41" s="64"/>
      <c r="LR41" s="64"/>
    </row>
    <row r="42" spans="1:334" s="62" customFormat="1" ht="15" customHeight="1">
      <c r="A42" s="50">
        <f t="shared" si="211"/>
        <v>5</v>
      </c>
      <c r="B42" s="50">
        <f t="shared" si="212"/>
        <v>5</v>
      </c>
      <c r="C42" s="117">
        <v>77</v>
      </c>
      <c r="D42" s="118" t="s">
        <v>225</v>
      </c>
      <c r="E42" s="286" t="s">
        <v>647</v>
      </c>
      <c r="F42" s="76"/>
      <c r="G42" s="76"/>
      <c r="H42" s="119" t="s">
        <v>226</v>
      </c>
      <c r="I42" s="286" t="s">
        <v>563</v>
      </c>
      <c r="J42" s="119" t="s">
        <v>227</v>
      </c>
      <c r="K42" s="119" t="s">
        <v>2</v>
      </c>
      <c r="L42" s="53" t="s">
        <v>228</v>
      </c>
      <c r="M42" s="292" t="s">
        <v>35</v>
      </c>
      <c r="N42" s="86"/>
      <c r="O42" s="91" t="str">
        <f t="shared" si="219"/>
        <v/>
      </c>
      <c r="P42" s="85" t="str">
        <f t="shared" si="321"/>
        <v/>
      </c>
      <c r="Q42" s="86"/>
      <c r="R42" s="91" t="str">
        <f t="shared" si="220"/>
        <v/>
      </c>
      <c r="S42" s="85" t="str">
        <f t="shared" si="322"/>
        <v/>
      </c>
      <c r="T42" s="86"/>
      <c r="U42" s="91" t="str">
        <f t="shared" si="221"/>
        <v/>
      </c>
      <c r="V42" s="85" t="str">
        <f t="shared" si="323"/>
        <v/>
      </c>
      <c r="W42" s="86"/>
      <c r="X42" s="91" t="str">
        <f t="shared" si="222"/>
        <v/>
      </c>
      <c r="Y42" s="85" t="str">
        <f t="shared" si="324"/>
        <v/>
      </c>
      <c r="Z42" s="86"/>
      <c r="AA42" s="91" t="str">
        <f t="shared" si="223"/>
        <v/>
      </c>
      <c r="AB42" s="85" t="str">
        <f t="shared" si="325"/>
        <v/>
      </c>
      <c r="AC42" s="56"/>
      <c r="AD42" s="91" t="str">
        <f t="shared" si="224"/>
        <v/>
      </c>
      <c r="AE42" s="85" t="str">
        <f t="shared" si="326"/>
        <v/>
      </c>
      <c r="AF42" s="86"/>
      <c r="AG42" s="91" t="str">
        <f t="shared" si="225"/>
        <v/>
      </c>
      <c r="AH42" s="85" t="str">
        <f t="shared" si="327"/>
        <v/>
      </c>
      <c r="AI42" s="86"/>
      <c r="AJ42" s="91" t="str">
        <f t="shared" si="226"/>
        <v/>
      </c>
      <c r="AK42" s="85" t="str">
        <f t="shared" si="328"/>
        <v/>
      </c>
      <c r="AL42" s="86"/>
      <c r="AM42" s="91" t="str">
        <f t="shared" si="227"/>
        <v/>
      </c>
      <c r="AN42" s="85" t="str">
        <f t="shared" si="329"/>
        <v/>
      </c>
      <c r="AO42" s="86"/>
      <c r="AP42" s="91" t="str">
        <f t="shared" si="228"/>
        <v/>
      </c>
      <c r="AQ42" s="85" t="str">
        <f t="shared" si="330"/>
        <v/>
      </c>
      <c r="AR42" s="86"/>
      <c r="AS42" s="91" t="str">
        <f t="shared" si="229"/>
        <v/>
      </c>
      <c r="AT42" s="85" t="str">
        <f t="shared" si="331"/>
        <v/>
      </c>
      <c r="AU42" s="86"/>
      <c r="AV42" s="91" t="str">
        <f t="shared" si="230"/>
        <v/>
      </c>
      <c r="AW42" s="85" t="str">
        <f t="shared" si="332"/>
        <v/>
      </c>
      <c r="AX42" s="86"/>
      <c r="AY42" s="91" t="str">
        <f t="shared" si="231"/>
        <v/>
      </c>
      <c r="AZ42" s="85" t="str">
        <f t="shared" si="333"/>
        <v/>
      </c>
      <c r="BA42" s="86"/>
      <c r="BB42" s="91" t="str">
        <f t="shared" si="232"/>
        <v/>
      </c>
      <c r="BC42" s="85" t="str">
        <f t="shared" si="334"/>
        <v/>
      </c>
      <c r="BD42" s="86"/>
      <c r="BE42" s="91" t="str">
        <f t="shared" si="233"/>
        <v/>
      </c>
      <c r="BF42" s="85" t="str">
        <f t="shared" si="335"/>
        <v/>
      </c>
      <c r="BG42" s="86"/>
      <c r="BH42" s="91" t="str">
        <f t="shared" si="234"/>
        <v/>
      </c>
      <c r="BI42" s="85" t="str">
        <f t="shared" si="336"/>
        <v/>
      </c>
      <c r="BJ42" s="86"/>
      <c r="BK42" s="91" t="str">
        <f t="shared" si="235"/>
        <v/>
      </c>
      <c r="BL42" s="85" t="str">
        <f t="shared" si="337"/>
        <v/>
      </c>
      <c r="BM42" s="56"/>
      <c r="BN42" s="91" t="str">
        <f t="shared" si="236"/>
        <v/>
      </c>
      <c r="BO42" s="85" t="str">
        <f t="shared" si="338"/>
        <v/>
      </c>
      <c r="BP42" s="51"/>
      <c r="BQ42" s="91" t="str">
        <f t="shared" si="237"/>
        <v/>
      </c>
      <c r="BR42" s="85" t="str">
        <f t="shared" si="339"/>
        <v/>
      </c>
      <c r="BS42" s="86">
        <v>56</v>
      </c>
      <c r="BT42" s="91">
        <f t="shared" si="238"/>
        <v>-1.4757295747452437</v>
      </c>
      <c r="BU42" s="85">
        <f t="shared" si="340"/>
        <v>0</v>
      </c>
      <c r="BV42" s="252">
        <v>81</v>
      </c>
      <c r="BW42" s="91">
        <f t="shared" si="239"/>
        <v>-0.34525039734003526</v>
      </c>
      <c r="BX42" s="85">
        <f t="shared" si="341"/>
        <v>0.33333333333333331</v>
      </c>
      <c r="BY42" s="86"/>
      <c r="BZ42" s="91" t="str">
        <f t="shared" si="240"/>
        <v/>
      </c>
      <c r="CA42" s="85" t="str">
        <f t="shared" si="342"/>
        <v/>
      </c>
      <c r="CB42" s="86"/>
      <c r="CC42" s="91" t="str">
        <f t="shared" si="241"/>
        <v/>
      </c>
      <c r="CD42" s="85" t="str">
        <f t="shared" si="343"/>
        <v/>
      </c>
      <c r="CE42" s="92"/>
      <c r="CF42" s="91" t="str">
        <f t="shared" si="242"/>
        <v/>
      </c>
      <c r="CG42" s="85" t="str">
        <f t="shared" si="344"/>
        <v/>
      </c>
      <c r="CH42" s="86"/>
      <c r="CI42" s="91" t="str">
        <f t="shared" si="243"/>
        <v/>
      </c>
      <c r="CJ42" s="85" t="str">
        <f t="shared" si="345"/>
        <v/>
      </c>
      <c r="CK42" s="86"/>
      <c r="CL42" s="91" t="str">
        <f t="shared" si="244"/>
        <v/>
      </c>
      <c r="CM42" s="85" t="str">
        <f t="shared" si="346"/>
        <v/>
      </c>
      <c r="CN42" s="86"/>
      <c r="CO42" s="91" t="str">
        <f t="shared" si="245"/>
        <v/>
      </c>
      <c r="CP42" s="85" t="str">
        <f t="shared" si="347"/>
        <v/>
      </c>
      <c r="CQ42" s="86"/>
      <c r="CR42" s="91" t="str">
        <f t="shared" si="246"/>
        <v/>
      </c>
      <c r="CS42" s="85" t="str">
        <f t="shared" si="348"/>
        <v/>
      </c>
      <c r="CT42" s="86"/>
      <c r="CU42" s="91" t="str">
        <f t="shared" si="247"/>
        <v/>
      </c>
      <c r="CV42" s="85" t="str">
        <f t="shared" si="349"/>
        <v/>
      </c>
      <c r="CW42" s="86"/>
      <c r="CX42" s="91" t="str">
        <f t="shared" si="248"/>
        <v/>
      </c>
      <c r="CY42" s="85" t="str">
        <f t="shared" si="350"/>
        <v/>
      </c>
      <c r="CZ42" s="86"/>
      <c r="DA42" s="91" t="str">
        <f t="shared" si="249"/>
        <v/>
      </c>
      <c r="DB42" s="85" t="str">
        <f t="shared" si="351"/>
        <v/>
      </c>
      <c r="DC42" s="86"/>
      <c r="DD42" s="91" t="str">
        <f t="shared" si="250"/>
        <v/>
      </c>
      <c r="DE42" s="85" t="str">
        <f t="shared" si="352"/>
        <v/>
      </c>
      <c r="DF42" s="86">
        <v>76</v>
      </c>
      <c r="DG42" s="91"/>
      <c r="DH42" s="85">
        <f t="shared" si="353"/>
        <v>0</v>
      </c>
      <c r="DI42" s="86"/>
      <c r="DJ42" s="91" t="str">
        <f t="shared" si="251"/>
        <v/>
      </c>
      <c r="DK42" s="85" t="str">
        <f t="shared" si="354"/>
        <v/>
      </c>
      <c r="DL42" s="86"/>
      <c r="DM42" s="91" t="str">
        <f t="shared" si="252"/>
        <v/>
      </c>
      <c r="DN42" s="85" t="str">
        <f t="shared" si="355"/>
        <v/>
      </c>
      <c r="DO42" s="86">
        <v>77</v>
      </c>
      <c r="DP42" s="91">
        <f t="shared" si="253"/>
        <v>-1.3466934091222473</v>
      </c>
      <c r="DQ42" s="85">
        <f t="shared" si="356"/>
        <v>0</v>
      </c>
      <c r="DR42" s="86"/>
      <c r="DS42" s="91" t="str">
        <f t="shared" si="254"/>
        <v/>
      </c>
      <c r="DT42" s="85" t="str">
        <f t="shared" si="357"/>
        <v/>
      </c>
      <c r="DU42" s="86"/>
      <c r="DV42" s="91" t="str">
        <f t="shared" si="255"/>
        <v/>
      </c>
      <c r="DW42" s="85" t="str">
        <f t="shared" si="358"/>
        <v/>
      </c>
      <c r="DX42" s="86"/>
      <c r="DY42" s="91" t="str">
        <f t="shared" si="256"/>
        <v/>
      </c>
      <c r="DZ42" s="85" t="str">
        <f t="shared" si="359"/>
        <v/>
      </c>
      <c r="EA42" s="86"/>
      <c r="EB42" s="91" t="str">
        <f t="shared" si="257"/>
        <v/>
      </c>
      <c r="EC42" s="85" t="str">
        <f t="shared" si="360"/>
        <v/>
      </c>
      <c r="ED42" s="56"/>
      <c r="EE42" s="91" t="str">
        <f t="shared" si="258"/>
        <v/>
      </c>
      <c r="EF42" s="85" t="str">
        <f t="shared" si="361"/>
        <v/>
      </c>
      <c r="EG42" s="86"/>
      <c r="EH42" s="91" t="str">
        <f t="shared" si="259"/>
        <v/>
      </c>
      <c r="EI42" s="85" t="str">
        <f t="shared" si="362"/>
        <v/>
      </c>
      <c r="EJ42" s="56"/>
      <c r="EK42" s="91" t="str">
        <f t="shared" si="260"/>
        <v/>
      </c>
      <c r="EL42" s="85" t="str">
        <f t="shared" si="363"/>
        <v/>
      </c>
      <c r="EM42" s="56"/>
      <c r="EN42" s="91" t="str">
        <f t="shared" si="261"/>
        <v/>
      </c>
      <c r="EO42" s="85" t="str">
        <f t="shared" si="364"/>
        <v/>
      </c>
      <c r="EP42" s="271">
        <v>81</v>
      </c>
      <c r="EQ42" s="91">
        <f t="shared" si="262"/>
        <v>-0.4212714928767104</v>
      </c>
      <c r="ER42" s="85">
        <f t="shared" si="365"/>
        <v>0.25</v>
      </c>
      <c r="ES42" s="51"/>
      <c r="ET42" s="91" t="str">
        <f t="shared" si="263"/>
        <v/>
      </c>
      <c r="EU42" s="85" t="str">
        <f t="shared" si="366"/>
        <v/>
      </c>
      <c r="EV42" s="86"/>
      <c r="EW42" s="91" t="str">
        <f t="shared" si="264"/>
        <v/>
      </c>
      <c r="EX42" s="85" t="str">
        <f t="shared" si="367"/>
        <v/>
      </c>
      <c r="EY42" s="86"/>
      <c r="EZ42" s="91" t="str">
        <f t="shared" si="265"/>
        <v/>
      </c>
      <c r="FA42" s="85" t="str">
        <f t="shared" si="368"/>
        <v/>
      </c>
      <c r="FB42" s="86"/>
      <c r="FC42" s="91" t="str">
        <f t="shared" si="266"/>
        <v/>
      </c>
      <c r="FD42" s="85" t="str">
        <f t="shared" si="369"/>
        <v/>
      </c>
      <c r="FE42" s="86"/>
      <c r="FF42" s="91" t="str">
        <f t="shared" si="267"/>
        <v/>
      </c>
      <c r="FG42" s="85" t="str">
        <f t="shared" si="370"/>
        <v/>
      </c>
      <c r="FH42" s="86"/>
      <c r="FI42" s="91" t="str">
        <f t="shared" si="268"/>
        <v/>
      </c>
      <c r="FJ42" s="85" t="str">
        <f t="shared" si="371"/>
        <v/>
      </c>
      <c r="FK42" s="86"/>
      <c r="FL42" s="91" t="str">
        <f t="shared" si="269"/>
        <v/>
      </c>
      <c r="FM42" s="85" t="str">
        <f t="shared" si="372"/>
        <v/>
      </c>
      <c r="FN42" s="86"/>
      <c r="FO42" s="91" t="str">
        <f t="shared" si="270"/>
        <v/>
      </c>
      <c r="FP42" s="85" t="str">
        <f t="shared" si="373"/>
        <v/>
      </c>
      <c r="FQ42" s="86"/>
      <c r="FR42" s="91" t="str">
        <f t="shared" si="271"/>
        <v/>
      </c>
      <c r="FS42" s="85" t="str">
        <f t="shared" si="374"/>
        <v/>
      </c>
      <c r="FT42" s="86"/>
      <c r="FU42" s="91" t="str">
        <f t="shared" si="272"/>
        <v/>
      </c>
      <c r="FV42" s="85" t="str">
        <f t="shared" si="375"/>
        <v/>
      </c>
      <c r="FW42" s="92"/>
      <c r="FX42" s="91" t="str">
        <f t="shared" si="273"/>
        <v/>
      </c>
      <c r="FY42" s="85" t="str">
        <f t="shared" si="376"/>
        <v/>
      </c>
      <c r="FZ42" s="86"/>
      <c r="GA42" s="91" t="str">
        <f t="shared" si="274"/>
        <v/>
      </c>
      <c r="GB42" s="85" t="str">
        <f t="shared" si="377"/>
        <v/>
      </c>
      <c r="GC42" s="92"/>
      <c r="GD42" s="91" t="str">
        <f t="shared" si="275"/>
        <v/>
      </c>
      <c r="GE42" s="85" t="str">
        <f t="shared" si="378"/>
        <v/>
      </c>
      <c r="GF42" s="86"/>
      <c r="GG42" s="91" t="str">
        <f t="shared" si="276"/>
        <v/>
      </c>
      <c r="GH42" s="85" t="str">
        <f t="shared" si="379"/>
        <v/>
      </c>
      <c r="GI42" s="86"/>
      <c r="GJ42" s="91" t="str">
        <f t="shared" si="277"/>
        <v/>
      </c>
      <c r="GK42" s="85" t="str">
        <f t="shared" si="380"/>
        <v/>
      </c>
      <c r="GL42" s="86"/>
      <c r="GM42" s="91" t="str">
        <f t="shared" si="278"/>
        <v/>
      </c>
      <c r="GN42" s="85" t="str">
        <f t="shared" si="381"/>
        <v/>
      </c>
      <c r="GO42" s="86"/>
      <c r="GP42" s="91" t="str">
        <f t="shared" si="279"/>
        <v/>
      </c>
      <c r="GQ42" s="85" t="str">
        <f t="shared" si="382"/>
        <v/>
      </c>
      <c r="GR42" s="86"/>
      <c r="GS42" s="91" t="str">
        <f t="shared" si="280"/>
        <v/>
      </c>
      <c r="GT42" s="85" t="str">
        <f t="shared" si="383"/>
        <v/>
      </c>
      <c r="GU42" s="86"/>
      <c r="GV42" s="91" t="str">
        <f t="shared" si="281"/>
        <v/>
      </c>
      <c r="GW42" s="85" t="str">
        <f t="shared" si="384"/>
        <v/>
      </c>
      <c r="GX42" s="86"/>
      <c r="GY42" s="91" t="str">
        <f t="shared" si="282"/>
        <v/>
      </c>
      <c r="GZ42" s="85" t="str">
        <f t="shared" si="385"/>
        <v/>
      </c>
      <c r="HA42" s="86"/>
      <c r="HB42" s="91" t="str">
        <f t="shared" si="283"/>
        <v/>
      </c>
      <c r="HC42" s="85" t="str">
        <f t="shared" si="386"/>
        <v/>
      </c>
      <c r="HD42" s="86"/>
      <c r="HE42" s="91" t="str">
        <f t="shared" si="284"/>
        <v/>
      </c>
      <c r="HF42" s="85" t="str">
        <f t="shared" si="387"/>
        <v/>
      </c>
      <c r="HG42" s="56"/>
      <c r="HH42" s="91" t="str">
        <f t="shared" si="285"/>
        <v/>
      </c>
      <c r="HI42" s="85" t="str">
        <f t="shared" si="388"/>
        <v/>
      </c>
      <c r="HJ42" s="86"/>
      <c r="HK42" s="91" t="str">
        <f t="shared" si="286"/>
        <v/>
      </c>
      <c r="HL42" s="85" t="str">
        <f t="shared" si="389"/>
        <v/>
      </c>
      <c r="HM42" s="86"/>
      <c r="HN42" s="91" t="str">
        <f t="shared" si="287"/>
        <v/>
      </c>
      <c r="HO42" s="85" t="str">
        <f t="shared" si="390"/>
        <v/>
      </c>
      <c r="HP42" s="86"/>
      <c r="HQ42" s="91" t="str">
        <f t="shared" si="288"/>
        <v/>
      </c>
      <c r="HR42" s="85" t="str">
        <f t="shared" si="391"/>
        <v/>
      </c>
      <c r="HS42" s="86"/>
      <c r="HT42" s="91" t="str">
        <f t="shared" si="289"/>
        <v/>
      </c>
      <c r="HU42" s="85" t="str">
        <f t="shared" si="392"/>
        <v/>
      </c>
      <c r="HV42" s="86"/>
      <c r="HW42" s="91" t="str">
        <f t="shared" si="290"/>
        <v/>
      </c>
      <c r="HX42" s="85" t="str">
        <f t="shared" si="393"/>
        <v/>
      </c>
      <c r="HY42" s="86"/>
      <c r="HZ42" s="91" t="str">
        <f t="shared" si="291"/>
        <v/>
      </c>
      <c r="IA42" s="85" t="str">
        <f t="shared" si="394"/>
        <v/>
      </c>
      <c r="IB42" s="86"/>
      <c r="IC42" s="91" t="str">
        <f t="shared" si="292"/>
        <v/>
      </c>
      <c r="ID42" s="85" t="str">
        <f t="shared" si="395"/>
        <v/>
      </c>
      <c r="IE42" s="86"/>
      <c r="IF42" s="91" t="str">
        <f t="shared" si="293"/>
        <v/>
      </c>
      <c r="IG42" s="85" t="str">
        <f t="shared" si="396"/>
        <v/>
      </c>
      <c r="IH42" s="86"/>
      <c r="II42" s="91" t="str">
        <f t="shared" si="294"/>
        <v/>
      </c>
      <c r="IJ42" s="85" t="str">
        <f t="shared" si="397"/>
        <v/>
      </c>
      <c r="IK42" s="86"/>
      <c r="IL42" s="91" t="str">
        <f t="shared" si="295"/>
        <v/>
      </c>
      <c r="IM42" s="85" t="str">
        <f t="shared" si="398"/>
        <v/>
      </c>
      <c r="IN42" s="86"/>
      <c r="IO42" s="91" t="str">
        <f t="shared" si="296"/>
        <v/>
      </c>
      <c r="IP42" s="85" t="str">
        <f t="shared" si="399"/>
        <v/>
      </c>
      <c r="IQ42" s="86"/>
      <c r="IR42" s="91" t="str">
        <f t="shared" si="297"/>
        <v/>
      </c>
      <c r="IS42" s="85" t="str">
        <f t="shared" si="400"/>
        <v/>
      </c>
      <c r="IT42" s="86"/>
      <c r="IU42" s="91" t="str">
        <f t="shared" si="298"/>
        <v/>
      </c>
      <c r="IV42" s="85" t="str">
        <f t="shared" si="401"/>
        <v/>
      </c>
      <c r="IW42" s="86"/>
      <c r="IX42" s="91" t="str">
        <f t="shared" si="299"/>
        <v/>
      </c>
      <c r="IY42" s="85" t="str">
        <f t="shared" si="402"/>
        <v/>
      </c>
      <c r="IZ42" s="86"/>
      <c r="JA42" s="91" t="str">
        <f t="shared" si="300"/>
        <v/>
      </c>
      <c r="JB42" s="85" t="str">
        <f t="shared" si="403"/>
        <v/>
      </c>
      <c r="JC42" s="86"/>
      <c r="JD42" s="91" t="str">
        <f t="shared" si="301"/>
        <v/>
      </c>
      <c r="JE42" s="85" t="str">
        <f t="shared" si="404"/>
        <v/>
      </c>
      <c r="JF42" s="86"/>
      <c r="JG42" s="91" t="str">
        <f t="shared" si="302"/>
        <v/>
      </c>
      <c r="JH42" s="85" t="str">
        <f t="shared" si="405"/>
        <v/>
      </c>
      <c r="JI42" s="86"/>
      <c r="JJ42" s="91" t="str">
        <f t="shared" si="303"/>
        <v/>
      </c>
      <c r="JK42" s="85" t="str">
        <f t="shared" si="406"/>
        <v/>
      </c>
      <c r="JL42" s="86"/>
      <c r="JM42" s="91" t="str">
        <f t="shared" si="304"/>
        <v/>
      </c>
      <c r="JN42" s="85" t="str">
        <f t="shared" si="407"/>
        <v/>
      </c>
      <c r="JO42" s="86"/>
      <c r="JP42" s="91" t="str">
        <f t="shared" si="305"/>
        <v/>
      </c>
      <c r="JQ42" s="85" t="str">
        <f t="shared" si="408"/>
        <v/>
      </c>
      <c r="JR42" s="86"/>
      <c r="JS42" s="91" t="str">
        <f t="shared" si="306"/>
        <v/>
      </c>
      <c r="JT42" s="85" t="str">
        <f t="shared" si="409"/>
        <v/>
      </c>
      <c r="JU42" s="86"/>
      <c r="JV42" s="91" t="str">
        <f t="shared" si="307"/>
        <v/>
      </c>
      <c r="JW42" s="85" t="str">
        <f t="shared" si="410"/>
        <v/>
      </c>
      <c r="JX42" s="86"/>
      <c r="JY42" s="91" t="str">
        <f t="shared" si="308"/>
        <v/>
      </c>
      <c r="JZ42" s="85" t="str">
        <f t="shared" si="411"/>
        <v/>
      </c>
      <c r="KA42" s="86"/>
      <c r="KB42" s="91" t="str">
        <f t="shared" si="309"/>
        <v/>
      </c>
      <c r="KC42" s="85" t="str">
        <f t="shared" si="412"/>
        <v/>
      </c>
      <c r="KD42" s="86"/>
      <c r="KE42" s="91" t="str">
        <f t="shared" si="310"/>
        <v/>
      </c>
      <c r="KF42" s="85" t="str">
        <f t="shared" si="413"/>
        <v/>
      </c>
      <c r="KG42" s="86"/>
      <c r="KH42" s="91" t="str">
        <f t="shared" si="311"/>
        <v/>
      </c>
      <c r="KI42" s="85" t="str">
        <f t="shared" si="414"/>
        <v/>
      </c>
      <c r="KJ42" s="86"/>
      <c r="KK42" s="91" t="str">
        <f t="shared" si="312"/>
        <v/>
      </c>
      <c r="KL42" s="85" t="str">
        <f t="shared" si="415"/>
        <v/>
      </c>
      <c r="KM42" s="86"/>
      <c r="KN42" s="91" t="str">
        <f t="shared" si="313"/>
        <v/>
      </c>
      <c r="KO42" s="85" t="str">
        <f t="shared" si="416"/>
        <v/>
      </c>
      <c r="KP42" s="86"/>
      <c r="KQ42" s="91" t="str">
        <f t="shared" si="314"/>
        <v/>
      </c>
      <c r="KR42" s="85" t="str">
        <f t="shared" si="417"/>
        <v/>
      </c>
      <c r="KS42" s="86"/>
      <c r="KT42" s="91" t="str">
        <f t="shared" si="315"/>
        <v/>
      </c>
      <c r="KU42" s="85" t="str">
        <f t="shared" si="418"/>
        <v/>
      </c>
      <c r="KV42" s="86"/>
      <c r="KW42" s="91" t="str">
        <f t="shared" si="316"/>
        <v/>
      </c>
      <c r="KX42" s="85" t="str">
        <f t="shared" si="419"/>
        <v/>
      </c>
      <c r="KY42" s="92"/>
      <c r="KZ42" s="91" t="str">
        <f t="shared" si="317"/>
        <v/>
      </c>
      <c r="LA42" s="85" t="str">
        <f t="shared" si="420"/>
        <v/>
      </c>
      <c r="LB42" s="50">
        <f t="shared" si="218"/>
        <v>74.2</v>
      </c>
      <c r="LC42" s="57">
        <f t="shared" si="421"/>
        <v>55</v>
      </c>
      <c r="LD42" s="50">
        <f t="shared" si="207"/>
        <v>-0.89723621852105917</v>
      </c>
      <c r="LE42" s="57">
        <f t="shared" si="422"/>
        <v>53</v>
      </c>
      <c r="LF42" s="50">
        <f t="shared" si="208"/>
        <v>0.11666666666666665</v>
      </c>
      <c r="LG42" s="57">
        <f t="shared" si="423"/>
        <v>57</v>
      </c>
      <c r="LH42" s="58">
        <f t="shared" si="318"/>
        <v>36.951754385964918</v>
      </c>
      <c r="LI42" s="58">
        <f t="shared" si="319"/>
        <v>31.472541498117408</v>
      </c>
      <c r="LJ42" s="58">
        <f t="shared" si="320"/>
        <v>27.916666666666668</v>
      </c>
      <c r="LK42" s="58">
        <f t="shared" si="424"/>
        <v>46.340962550748998</v>
      </c>
      <c r="LL42" s="60">
        <f t="shared" si="425"/>
        <v>53</v>
      </c>
      <c r="LM42" s="55"/>
      <c r="LN42" s="112">
        <f t="shared" si="217"/>
        <v>21</v>
      </c>
      <c r="LO42" s="61">
        <f t="shared" si="214"/>
        <v>53</v>
      </c>
      <c r="LP42" s="64"/>
      <c r="LQ42" s="64"/>
      <c r="LR42" s="64"/>
    </row>
    <row r="43" spans="1:334" s="62" customFormat="1" ht="15" customHeight="1">
      <c r="A43" s="50">
        <f t="shared" si="211"/>
        <v>5</v>
      </c>
      <c r="B43" s="50">
        <f t="shared" si="212"/>
        <v>5</v>
      </c>
      <c r="C43" s="117">
        <v>67</v>
      </c>
      <c r="D43" s="118" t="s">
        <v>229</v>
      </c>
      <c r="E43" s="286" t="s">
        <v>648</v>
      </c>
      <c r="F43" s="76"/>
      <c r="G43" s="76"/>
      <c r="H43" s="119" t="s">
        <v>226</v>
      </c>
      <c r="I43" s="286" t="s">
        <v>564</v>
      </c>
      <c r="J43" s="119" t="s">
        <v>230</v>
      </c>
      <c r="K43" s="119" t="s">
        <v>2</v>
      </c>
      <c r="L43" s="53" t="s">
        <v>231</v>
      </c>
      <c r="M43" s="292" t="s">
        <v>35</v>
      </c>
      <c r="N43" s="89"/>
      <c r="O43" s="91" t="str">
        <f t="shared" si="219"/>
        <v/>
      </c>
      <c r="P43" s="85" t="str">
        <f t="shared" si="321"/>
        <v/>
      </c>
      <c r="Q43" s="86"/>
      <c r="R43" s="91" t="str">
        <f t="shared" si="220"/>
        <v/>
      </c>
      <c r="S43" s="85" t="str">
        <f t="shared" si="322"/>
        <v/>
      </c>
      <c r="T43" s="86"/>
      <c r="U43" s="91" t="str">
        <f t="shared" si="221"/>
        <v/>
      </c>
      <c r="V43" s="85" t="str">
        <f t="shared" si="323"/>
        <v/>
      </c>
      <c r="W43" s="86"/>
      <c r="X43" s="91" t="str">
        <f t="shared" si="222"/>
        <v/>
      </c>
      <c r="Y43" s="85" t="str">
        <f t="shared" si="324"/>
        <v/>
      </c>
      <c r="Z43" s="92"/>
      <c r="AA43" s="91" t="str">
        <f t="shared" si="223"/>
        <v/>
      </c>
      <c r="AB43" s="85" t="str">
        <f t="shared" si="325"/>
        <v/>
      </c>
      <c r="AC43" s="89"/>
      <c r="AD43" s="91" t="str">
        <f t="shared" si="224"/>
        <v/>
      </c>
      <c r="AE43" s="85" t="str">
        <f t="shared" si="326"/>
        <v/>
      </c>
      <c r="AF43" s="86"/>
      <c r="AG43" s="91" t="str">
        <f t="shared" si="225"/>
        <v/>
      </c>
      <c r="AH43" s="85" t="str">
        <f t="shared" si="327"/>
        <v/>
      </c>
      <c r="AI43" s="86"/>
      <c r="AJ43" s="91" t="str">
        <f t="shared" si="226"/>
        <v/>
      </c>
      <c r="AK43" s="85" t="str">
        <f t="shared" si="328"/>
        <v/>
      </c>
      <c r="AL43" s="86"/>
      <c r="AM43" s="91" t="str">
        <f t="shared" si="227"/>
        <v/>
      </c>
      <c r="AN43" s="85" t="str">
        <f t="shared" si="329"/>
        <v/>
      </c>
      <c r="AO43" s="86"/>
      <c r="AP43" s="91" t="str">
        <f t="shared" si="228"/>
        <v/>
      </c>
      <c r="AQ43" s="85" t="str">
        <f t="shared" si="330"/>
        <v/>
      </c>
      <c r="AR43" s="89"/>
      <c r="AS43" s="91" t="str">
        <f t="shared" si="229"/>
        <v/>
      </c>
      <c r="AT43" s="85" t="str">
        <f t="shared" si="331"/>
        <v/>
      </c>
      <c r="AU43" s="86"/>
      <c r="AV43" s="91" t="str">
        <f t="shared" si="230"/>
        <v/>
      </c>
      <c r="AW43" s="85" t="str">
        <f t="shared" si="332"/>
        <v/>
      </c>
      <c r="AX43" s="86"/>
      <c r="AY43" s="91" t="str">
        <f t="shared" si="231"/>
        <v/>
      </c>
      <c r="AZ43" s="85" t="str">
        <f t="shared" si="333"/>
        <v/>
      </c>
      <c r="BA43" s="86"/>
      <c r="BB43" s="91" t="str">
        <f t="shared" si="232"/>
        <v/>
      </c>
      <c r="BC43" s="85" t="str">
        <f t="shared" si="334"/>
        <v/>
      </c>
      <c r="BD43" s="86"/>
      <c r="BE43" s="91" t="str">
        <f t="shared" si="233"/>
        <v/>
      </c>
      <c r="BF43" s="85" t="str">
        <f t="shared" si="335"/>
        <v/>
      </c>
      <c r="BG43" s="86"/>
      <c r="BH43" s="91" t="str">
        <f t="shared" si="234"/>
        <v/>
      </c>
      <c r="BI43" s="85" t="str">
        <f t="shared" si="336"/>
        <v/>
      </c>
      <c r="BJ43" s="86"/>
      <c r="BK43" s="91" t="str">
        <f t="shared" si="235"/>
        <v/>
      </c>
      <c r="BL43" s="85" t="str">
        <f t="shared" si="337"/>
        <v/>
      </c>
      <c r="BM43" s="86"/>
      <c r="BN43" s="91" t="str">
        <f t="shared" si="236"/>
        <v/>
      </c>
      <c r="BO43" s="85" t="str">
        <f t="shared" si="338"/>
        <v/>
      </c>
      <c r="BP43" s="51"/>
      <c r="BQ43" s="91" t="str">
        <f t="shared" si="237"/>
        <v/>
      </c>
      <c r="BR43" s="85" t="str">
        <f t="shared" si="339"/>
        <v/>
      </c>
      <c r="BS43" s="86">
        <v>63</v>
      </c>
      <c r="BT43" s="91">
        <f t="shared" si="238"/>
        <v>-0.73786478737262184</v>
      </c>
      <c r="BU43" s="85">
        <f t="shared" si="340"/>
        <v>0.2</v>
      </c>
      <c r="BV43" s="86"/>
      <c r="BW43" s="91" t="str">
        <f t="shared" si="239"/>
        <v/>
      </c>
      <c r="BX43" s="85" t="str">
        <f t="shared" si="341"/>
        <v/>
      </c>
      <c r="BY43" s="86"/>
      <c r="BZ43" s="91" t="str">
        <f t="shared" si="240"/>
        <v/>
      </c>
      <c r="CA43" s="85" t="str">
        <f t="shared" si="342"/>
        <v/>
      </c>
      <c r="CB43" s="56"/>
      <c r="CC43" s="91" t="str">
        <f t="shared" si="241"/>
        <v/>
      </c>
      <c r="CD43" s="85" t="str">
        <f t="shared" si="343"/>
        <v/>
      </c>
      <c r="CE43" s="86"/>
      <c r="CF43" s="91" t="str">
        <f t="shared" si="242"/>
        <v/>
      </c>
      <c r="CG43" s="85" t="str">
        <f t="shared" si="344"/>
        <v/>
      </c>
      <c r="CH43" s="86"/>
      <c r="CI43" s="91" t="str">
        <f t="shared" si="243"/>
        <v/>
      </c>
      <c r="CJ43" s="85" t="str">
        <f t="shared" si="345"/>
        <v/>
      </c>
      <c r="CK43" s="86"/>
      <c r="CL43" s="91" t="str">
        <f t="shared" si="244"/>
        <v/>
      </c>
      <c r="CM43" s="85" t="str">
        <f t="shared" si="346"/>
        <v/>
      </c>
      <c r="CN43" s="56"/>
      <c r="CO43" s="91" t="str">
        <f t="shared" si="245"/>
        <v/>
      </c>
      <c r="CP43" s="85" t="str">
        <f t="shared" si="347"/>
        <v/>
      </c>
      <c r="CQ43" s="56"/>
      <c r="CR43" s="91" t="str">
        <f t="shared" si="246"/>
        <v/>
      </c>
      <c r="CS43" s="85" t="str">
        <f t="shared" si="348"/>
        <v/>
      </c>
      <c r="CT43" s="86"/>
      <c r="CU43" s="91" t="str">
        <f t="shared" si="247"/>
        <v/>
      </c>
      <c r="CV43" s="85" t="str">
        <f t="shared" si="349"/>
        <v/>
      </c>
      <c r="CW43" s="89"/>
      <c r="CX43" s="91" t="str">
        <f t="shared" si="248"/>
        <v/>
      </c>
      <c r="CY43" s="85" t="str">
        <f t="shared" si="350"/>
        <v/>
      </c>
      <c r="CZ43" s="97"/>
      <c r="DA43" s="91" t="str">
        <f t="shared" si="249"/>
        <v/>
      </c>
      <c r="DB43" s="85" t="str">
        <f t="shared" si="351"/>
        <v/>
      </c>
      <c r="DC43" s="86"/>
      <c r="DD43" s="91" t="str">
        <f t="shared" si="250"/>
        <v/>
      </c>
      <c r="DE43" s="85" t="str">
        <f t="shared" si="352"/>
        <v/>
      </c>
      <c r="DF43" s="86">
        <v>80</v>
      </c>
      <c r="DG43" s="91"/>
      <c r="DH43" s="85">
        <f t="shared" si="353"/>
        <v>0.25</v>
      </c>
      <c r="DI43" s="86"/>
      <c r="DJ43" s="91" t="str">
        <f t="shared" si="251"/>
        <v/>
      </c>
      <c r="DK43" s="85" t="str">
        <f t="shared" si="354"/>
        <v/>
      </c>
      <c r="DL43" s="56"/>
      <c r="DM43" s="91" t="str">
        <f t="shared" si="252"/>
        <v/>
      </c>
      <c r="DN43" s="85" t="str">
        <f t="shared" si="355"/>
        <v/>
      </c>
      <c r="DO43" s="86"/>
      <c r="DP43" s="91" t="str">
        <f t="shared" si="253"/>
        <v/>
      </c>
      <c r="DQ43" s="85" t="str">
        <f t="shared" si="356"/>
        <v/>
      </c>
      <c r="DR43" s="86"/>
      <c r="DS43" s="91" t="str">
        <f t="shared" si="254"/>
        <v/>
      </c>
      <c r="DT43" s="85" t="str">
        <f t="shared" si="357"/>
        <v/>
      </c>
      <c r="DU43" s="86">
        <v>65</v>
      </c>
      <c r="DV43" s="91">
        <f t="shared" si="255"/>
        <v>-1.3071149014880936</v>
      </c>
      <c r="DW43" s="85">
        <f t="shared" si="358"/>
        <v>0</v>
      </c>
      <c r="DX43" s="86"/>
      <c r="DY43" s="91" t="str">
        <f t="shared" si="256"/>
        <v/>
      </c>
      <c r="DZ43" s="85" t="str">
        <f t="shared" si="359"/>
        <v/>
      </c>
      <c r="EA43" s="86"/>
      <c r="EB43" s="91" t="str">
        <f t="shared" si="257"/>
        <v/>
      </c>
      <c r="EC43" s="85" t="str">
        <f t="shared" si="360"/>
        <v/>
      </c>
      <c r="ED43" s="86"/>
      <c r="EE43" s="91" t="str">
        <f t="shared" si="258"/>
        <v/>
      </c>
      <c r="EF43" s="85" t="str">
        <f t="shared" si="361"/>
        <v/>
      </c>
      <c r="EG43" s="86"/>
      <c r="EH43" s="91" t="str">
        <f t="shared" si="259"/>
        <v/>
      </c>
      <c r="EI43" s="85" t="str">
        <f t="shared" si="362"/>
        <v/>
      </c>
      <c r="EJ43" s="86">
        <v>88</v>
      </c>
      <c r="EK43" s="91">
        <f t="shared" si="260"/>
        <v>0.67725815714701953</v>
      </c>
      <c r="EL43" s="85">
        <f t="shared" si="363"/>
        <v>1</v>
      </c>
      <c r="EM43" s="86"/>
      <c r="EN43" s="91" t="str">
        <f t="shared" si="261"/>
        <v/>
      </c>
      <c r="EO43" s="85" t="str">
        <f t="shared" si="364"/>
        <v/>
      </c>
      <c r="EP43" s="86"/>
      <c r="EQ43" s="91" t="str">
        <f t="shared" si="262"/>
        <v/>
      </c>
      <c r="ER43" s="85" t="str">
        <f t="shared" si="365"/>
        <v/>
      </c>
      <c r="ES43" s="89">
        <v>90</v>
      </c>
      <c r="ET43" s="91">
        <f t="shared" si="263"/>
        <v>1.3531664310232323</v>
      </c>
      <c r="EU43" s="85">
        <f t="shared" si="366"/>
        <v>1</v>
      </c>
      <c r="EV43" s="86"/>
      <c r="EW43" s="91" t="str">
        <f t="shared" si="264"/>
        <v/>
      </c>
      <c r="EX43" s="85" t="str">
        <f t="shared" si="367"/>
        <v/>
      </c>
      <c r="EY43" s="86"/>
      <c r="EZ43" s="91" t="str">
        <f t="shared" si="265"/>
        <v/>
      </c>
      <c r="FA43" s="85" t="str">
        <f t="shared" si="368"/>
        <v/>
      </c>
      <c r="FB43" s="89"/>
      <c r="FC43" s="91" t="str">
        <f t="shared" si="266"/>
        <v/>
      </c>
      <c r="FD43" s="85" t="str">
        <f t="shared" si="369"/>
        <v/>
      </c>
      <c r="FE43" s="86"/>
      <c r="FF43" s="91" t="str">
        <f t="shared" si="267"/>
        <v/>
      </c>
      <c r="FG43" s="85" t="str">
        <f t="shared" si="370"/>
        <v/>
      </c>
      <c r="FH43" s="86"/>
      <c r="FI43" s="91" t="str">
        <f t="shared" si="268"/>
        <v/>
      </c>
      <c r="FJ43" s="85" t="str">
        <f t="shared" si="371"/>
        <v/>
      </c>
      <c r="FK43" s="86"/>
      <c r="FL43" s="91" t="str">
        <f t="shared" si="269"/>
        <v/>
      </c>
      <c r="FM43" s="85" t="str">
        <f t="shared" si="372"/>
        <v/>
      </c>
      <c r="FN43" s="86"/>
      <c r="FO43" s="91" t="str">
        <f t="shared" si="270"/>
        <v/>
      </c>
      <c r="FP43" s="85" t="str">
        <f t="shared" si="373"/>
        <v/>
      </c>
      <c r="FQ43" s="86"/>
      <c r="FR43" s="91" t="str">
        <f t="shared" si="271"/>
        <v/>
      </c>
      <c r="FS43" s="85" t="str">
        <f t="shared" si="374"/>
        <v/>
      </c>
      <c r="FT43" s="86"/>
      <c r="FU43" s="91" t="str">
        <f t="shared" si="272"/>
        <v/>
      </c>
      <c r="FV43" s="85" t="str">
        <f t="shared" si="375"/>
        <v/>
      </c>
      <c r="FW43" s="92"/>
      <c r="FX43" s="91" t="str">
        <f t="shared" si="273"/>
        <v/>
      </c>
      <c r="FY43" s="85" t="str">
        <f t="shared" si="376"/>
        <v/>
      </c>
      <c r="FZ43" s="56"/>
      <c r="GA43" s="91" t="str">
        <f t="shared" si="274"/>
        <v/>
      </c>
      <c r="GB43" s="85" t="str">
        <f t="shared" si="377"/>
        <v/>
      </c>
      <c r="GC43" s="86"/>
      <c r="GD43" s="91" t="str">
        <f t="shared" si="275"/>
        <v/>
      </c>
      <c r="GE43" s="85" t="str">
        <f t="shared" si="378"/>
        <v/>
      </c>
      <c r="GF43" s="89"/>
      <c r="GG43" s="91" t="str">
        <f t="shared" si="276"/>
        <v/>
      </c>
      <c r="GH43" s="85" t="str">
        <f t="shared" si="379"/>
        <v/>
      </c>
      <c r="GI43" s="86"/>
      <c r="GJ43" s="91" t="str">
        <f t="shared" si="277"/>
        <v/>
      </c>
      <c r="GK43" s="85" t="str">
        <f t="shared" si="380"/>
        <v/>
      </c>
      <c r="GL43" s="86"/>
      <c r="GM43" s="91" t="str">
        <f t="shared" si="278"/>
        <v/>
      </c>
      <c r="GN43" s="85" t="str">
        <f t="shared" si="381"/>
        <v/>
      </c>
      <c r="GO43" s="86"/>
      <c r="GP43" s="91" t="str">
        <f t="shared" si="279"/>
        <v/>
      </c>
      <c r="GQ43" s="85" t="str">
        <f t="shared" si="382"/>
        <v/>
      </c>
      <c r="GR43" s="86"/>
      <c r="GS43" s="91" t="str">
        <f t="shared" si="280"/>
        <v/>
      </c>
      <c r="GT43" s="85" t="str">
        <f t="shared" si="383"/>
        <v/>
      </c>
      <c r="GU43" s="86"/>
      <c r="GV43" s="91" t="str">
        <f t="shared" si="281"/>
        <v/>
      </c>
      <c r="GW43" s="85" t="str">
        <f t="shared" si="384"/>
        <v/>
      </c>
      <c r="GX43" s="86"/>
      <c r="GY43" s="91" t="str">
        <f t="shared" si="282"/>
        <v/>
      </c>
      <c r="GZ43" s="85" t="str">
        <f t="shared" si="385"/>
        <v/>
      </c>
      <c r="HA43" s="86"/>
      <c r="HB43" s="91" t="str">
        <f t="shared" si="283"/>
        <v/>
      </c>
      <c r="HC43" s="85" t="str">
        <f t="shared" si="386"/>
        <v/>
      </c>
      <c r="HD43" s="86"/>
      <c r="HE43" s="91" t="str">
        <f t="shared" si="284"/>
        <v/>
      </c>
      <c r="HF43" s="85" t="str">
        <f t="shared" si="387"/>
        <v/>
      </c>
      <c r="HG43" s="86"/>
      <c r="HH43" s="91" t="str">
        <f t="shared" si="285"/>
        <v/>
      </c>
      <c r="HI43" s="85" t="str">
        <f t="shared" si="388"/>
        <v/>
      </c>
      <c r="HJ43" s="92"/>
      <c r="HK43" s="91" t="str">
        <f t="shared" si="286"/>
        <v/>
      </c>
      <c r="HL43" s="85" t="str">
        <f t="shared" si="389"/>
        <v/>
      </c>
      <c r="HM43" s="86"/>
      <c r="HN43" s="91" t="str">
        <f t="shared" si="287"/>
        <v/>
      </c>
      <c r="HO43" s="85" t="str">
        <f t="shared" si="390"/>
        <v/>
      </c>
      <c r="HP43" s="86"/>
      <c r="HQ43" s="91" t="str">
        <f t="shared" si="288"/>
        <v/>
      </c>
      <c r="HR43" s="85" t="str">
        <f t="shared" si="391"/>
        <v/>
      </c>
      <c r="HS43" s="86"/>
      <c r="HT43" s="91" t="str">
        <f t="shared" si="289"/>
        <v/>
      </c>
      <c r="HU43" s="85" t="str">
        <f t="shared" si="392"/>
        <v/>
      </c>
      <c r="HV43" s="86"/>
      <c r="HW43" s="91" t="str">
        <f t="shared" si="290"/>
        <v/>
      </c>
      <c r="HX43" s="85" t="str">
        <f t="shared" si="393"/>
        <v/>
      </c>
      <c r="HY43" s="86"/>
      <c r="HZ43" s="91" t="str">
        <f t="shared" si="291"/>
        <v/>
      </c>
      <c r="IA43" s="85" t="str">
        <f t="shared" si="394"/>
        <v/>
      </c>
      <c r="IB43" s="86"/>
      <c r="IC43" s="91" t="str">
        <f t="shared" si="292"/>
        <v/>
      </c>
      <c r="ID43" s="85" t="str">
        <f t="shared" si="395"/>
        <v/>
      </c>
      <c r="IE43" s="86"/>
      <c r="IF43" s="91" t="str">
        <f t="shared" si="293"/>
        <v/>
      </c>
      <c r="IG43" s="85" t="str">
        <f t="shared" si="396"/>
        <v/>
      </c>
      <c r="IH43" s="86"/>
      <c r="II43" s="91" t="str">
        <f t="shared" si="294"/>
        <v/>
      </c>
      <c r="IJ43" s="85" t="str">
        <f t="shared" si="397"/>
        <v/>
      </c>
      <c r="IK43" s="86"/>
      <c r="IL43" s="91" t="str">
        <f t="shared" si="295"/>
        <v/>
      </c>
      <c r="IM43" s="85" t="str">
        <f t="shared" si="398"/>
        <v/>
      </c>
      <c r="IN43" s="86"/>
      <c r="IO43" s="91" t="str">
        <f t="shared" si="296"/>
        <v/>
      </c>
      <c r="IP43" s="85" t="str">
        <f t="shared" si="399"/>
        <v/>
      </c>
      <c r="IQ43" s="86"/>
      <c r="IR43" s="91" t="str">
        <f t="shared" si="297"/>
        <v/>
      </c>
      <c r="IS43" s="85" t="str">
        <f t="shared" si="400"/>
        <v/>
      </c>
      <c r="IT43" s="86"/>
      <c r="IU43" s="91" t="str">
        <f t="shared" si="298"/>
        <v/>
      </c>
      <c r="IV43" s="85" t="str">
        <f t="shared" si="401"/>
        <v/>
      </c>
      <c r="IW43" s="86"/>
      <c r="IX43" s="91" t="str">
        <f t="shared" si="299"/>
        <v/>
      </c>
      <c r="IY43" s="85" t="str">
        <f t="shared" si="402"/>
        <v/>
      </c>
      <c r="IZ43" s="86"/>
      <c r="JA43" s="91" t="str">
        <f t="shared" si="300"/>
        <v/>
      </c>
      <c r="JB43" s="85" t="str">
        <f t="shared" si="403"/>
        <v/>
      </c>
      <c r="JC43" s="86"/>
      <c r="JD43" s="91" t="str">
        <f t="shared" si="301"/>
        <v/>
      </c>
      <c r="JE43" s="85" t="str">
        <f t="shared" si="404"/>
        <v/>
      </c>
      <c r="JF43" s="86"/>
      <c r="JG43" s="91" t="str">
        <f t="shared" si="302"/>
        <v/>
      </c>
      <c r="JH43" s="85" t="str">
        <f t="shared" si="405"/>
        <v/>
      </c>
      <c r="JI43" s="86"/>
      <c r="JJ43" s="91" t="str">
        <f t="shared" si="303"/>
        <v/>
      </c>
      <c r="JK43" s="85" t="str">
        <f t="shared" si="406"/>
        <v/>
      </c>
      <c r="JL43" s="86"/>
      <c r="JM43" s="91" t="str">
        <f t="shared" si="304"/>
        <v/>
      </c>
      <c r="JN43" s="85" t="str">
        <f t="shared" si="407"/>
        <v/>
      </c>
      <c r="JO43" s="86"/>
      <c r="JP43" s="91" t="str">
        <f t="shared" si="305"/>
        <v/>
      </c>
      <c r="JQ43" s="85" t="str">
        <f t="shared" si="408"/>
        <v/>
      </c>
      <c r="JR43" s="86"/>
      <c r="JS43" s="91" t="str">
        <f t="shared" si="306"/>
        <v/>
      </c>
      <c r="JT43" s="85" t="str">
        <f t="shared" si="409"/>
        <v/>
      </c>
      <c r="JU43" s="86"/>
      <c r="JV43" s="91" t="str">
        <f t="shared" si="307"/>
        <v/>
      </c>
      <c r="JW43" s="85" t="str">
        <f t="shared" si="410"/>
        <v/>
      </c>
      <c r="JX43" s="86"/>
      <c r="JY43" s="91" t="str">
        <f t="shared" si="308"/>
        <v/>
      </c>
      <c r="JZ43" s="85" t="str">
        <f t="shared" si="411"/>
        <v/>
      </c>
      <c r="KA43" s="86"/>
      <c r="KB43" s="91" t="str">
        <f t="shared" si="309"/>
        <v/>
      </c>
      <c r="KC43" s="85" t="str">
        <f t="shared" si="412"/>
        <v/>
      </c>
      <c r="KD43" s="86"/>
      <c r="KE43" s="91" t="str">
        <f t="shared" si="310"/>
        <v/>
      </c>
      <c r="KF43" s="85" t="str">
        <f t="shared" si="413"/>
        <v/>
      </c>
      <c r="KG43" s="86"/>
      <c r="KH43" s="91" t="str">
        <f t="shared" si="311"/>
        <v/>
      </c>
      <c r="KI43" s="85" t="str">
        <f t="shared" si="414"/>
        <v/>
      </c>
      <c r="KJ43" s="86"/>
      <c r="KK43" s="91" t="str">
        <f t="shared" si="312"/>
        <v/>
      </c>
      <c r="KL43" s="85" t="str">
        <f t="shared" si="415"/>
        <v/>
      </c>
      <c r="KM43" s="86"/>
      <c r="KN43" s="91" t="str">
        <f t="shared" si="313"/>
        <v/>
      </c>
      <c r="KO43" s="85" t="str">
        <f t="shared" si="416"/>
        <v/>
      </c>
      <c r="KP43" s="86"/>
      <c r="KQ43" s="91" t="str">
        <f t="shared" si="314"/>
        <v/>
      </c>
      <c r="KR43" s="85" t="str">
        <f t="shared" si="417"/>
        <v/>
      </c>
      <c r="KS43" s="86"/>
      <c r="KT43" s="91" t="str">
        <f t="shared" si="315"/>
        <v/>
      </c>
      <c r="KU43" s="85" t="str">
        <f t="shared" si="418"/>
        <v/>
      </c>
      <c r="KV43" s="86"/>
      <c r="KW43" s="91" t="str">
        <f t="shared" si="316"/>
        <v/>
      </c>
      <c r="KX43" s="85" t="str">
        <f t="shared" si="419"/>
        <v/>
      </c>
      <c r="KY43" s="92"/>
      <c r="KZ43" s="91" t="str">
        <f t="shared" si="317"/>
        <v/>
      </c>
      <c r="LA43" s="85" t="str">
        <f t="shared" si="420"/>
        <v/>
      </c>
      <c r="LB43" s="50">
        <f t="shared" si="218"/>
        <v>77.2</v>
      </c>
      <c r="LC43" s="57">
        <f t="shared" si="421"/>
        <v>48</v>
      </c>
      <c r="LD43" s="50">
        <f t="shared" si="207"/>
        <v>-3.6387751726159601E-3</v>
      </c>
      <c r="LE43" s="57">
        <f t="shared" si="422"/>
        <v>38</v>
      </c>
      <c r="LF43" s="50">
        <f t="shared" si="208"/>
        <v>0.49000000000000005</v>
      </c>
      <c r="LG43" s="57">
        <f t="shared" si="423"/>
        <v>36</v>
      </c>
      <c r="LH43" s="58">
        <f t="shared" si="318"/>
        <v>38.596491228070178</v>
      </c>
      <c r="LI43" s="58">
        <f t="shared" si="319"/>
        <v>39.814766311142968</v>
      </c>
      <c r="LJ43" s="58">
        <f t="shared" si="320"/>
        <v>37.25</v>
      </c>
      <c r="LK43" s="58">
        <f t="shared" si="424"/>
        <v>65.661257539213153</v>
      </c>
      <c r="LL43" s="60">
        <f t="shared" si="425"/>
        <v>41</v>
      </c>
      <c r="LM43" s="55"/>
      <c r="LN43" s="112">
        <f t="shared" si="217"/>
        <v>16</v>
      </c>
      <c r="LO43" s="61">
        <f t="shared" si="214"/>
        <v>41</v>
      </c>
      <c r="LP43" s="64"/>
      <c r="LQ43" s="64"/>
      <c r="LR43" s="64"/>
    </row>
    <row r="44" spans="1:334" s="62" customFormat="1" ht="15" customHeight="1">
      <c r="A44" s="50">
        <f t="shared" si="211"/>
        <v>5</v>
      </c>
      <c r="B44" s="50">
        <f t="shared" si="212"/>
        <v>5</v>
      </c>
      <c r="C44" s="117">
        <v>59</v>
      </c>
      <c r="D44" s="118" t="s">
        <v>232</v>
      </c>
      <c r="E44" s="286" t="s">
        <v>649</v>
      </c>
      <c r="F44" s="76"/>
      <c r="G44" s="76"/>
      <c r="H44" s="119" t="s">
        <v>14</v>
      </c>
      <c r="I44" s="286" t="s">
        <v>565</v>
      </c>
      <c r="J44" s="119" t="s">
        <v>233</v>
      </c>
      <c r="K44" s="119" t="s">
        <v>2</v>
      </c>
      <c r="L44" s="53" t="s">
        <v>234</v>
      </c>
      <c r="M44" s="292" t="s">
        <v>35</v>
      </c>
      <c r="N44" s="97"/>
      <c r="O44" s="91" t="str">
        <f t="shared" si="219"/>
        <v/>
      </c>
      <c r="P44" s="85" t="str">
        <f t="shared" si="321"/>
        <v/>
      </c>
      <c r="Q44" s="86"/>
      <c r="R44" s="91" t="str">
        <f t="shared" si="220"/>
        <v/>
      </c>
      <c r="S44" s="85" t="str">
        <f t="shared" si="322"/>
        <v/>
      </c>
      <c r="T44" s="86"/>
      <c r="U44" s="91" t="str">
        <f t="shared" si="221"/>
        <v/>
      </c>
      <c r="V44" s="85" t="str">
        <f t="shared" si="323"/>
        <v/>
      </c>
      <c r="W44" s="86"/>
      <c r="X44" s="91" t="str">
        <f t="shared" si="222"/>
        <v/>
      </c>
      <c r="Y44" s="85" t="str">
        <f t="shared" si="324"/>
        <v/>
      </c>
      <c r="Z44" s="86"/>
      <c r="AA44" s="91" t="str">
        <f t="shared" si="223"/>
        <v/>
      </c>
      <c r="AB44" s="85" t="str">
        <f t="shared" si="325"/>
        <v/>
      </c>
      <c r="AC44" s="89"/>
      <c r="AD44" s="91" t="str">
        <f t="shared" si="224"/>
        <v/>
      </c>
      <c r="AE44" s="85" t="str">
        <f t="shared" si="326"/>
        <v/>
      </c>
      <c r="AF44" s="86"/>
      <c r="AG44" s="91" t="str">
        <f t="shared" si="225"/>
        <v/>
      </c>
      <c r="AH44" s="85" t="str">
        <f t="shared" si="327"/>
        <v/>
      </c>
      <c r="AI44" s="86"/>
      <c r="AJ44" s="91" t="str">
        <f t="shared" si="226"/>
        <v/>
      </c>
      <c r="AK44" s="85" t="str">
        <f t="shared" si="328"/>
        <v/>
      </c>
      <c r="AL44" s="86"/>
      <c r="AM44" s="91" t="str">
        <f t="shared" si="227"/>
        <v/>
      </c>
      <c r="AN44" s="85" t="str">
        <f t="shared" si="329"/>
        <v/>
      </c>
      <c r="AO44" s="86"/>
      <c r="AP44" s="91" t="str">
        <f t="shared" si="228"/>
        <v/>
      </c>
      <c r="AQ44" s="85" t="str">
        <f t="shared" si="330"/>
        <v/>
      </c>
      <c r="AR44" s="89"/>
      <c r="AS44" s="91" t="str">
        <f t="shared" si="229"/>
        <v/>
      </c>
      <c r="AT44" s="85" t="str">
        <f t="shared" si="331"/>
        <v/>
      </c>
      <c r="AU44" s="86"/>
      <c r="AV44" s="91" t="str">
        <f t="shared" si="230"/>
        <v/>
      </c>
      <c r="AW44" s="85" t="str">
        <f t="shared" si="332"/>
        <v/>
      </c>
      <c r="AX44" s="86"/>
      <c r="AY44" s="91" t="str">
        <f t="shared" si="231"/>
        <v/>
      </c>
      <c r="AZ44" s="85" t="str">
        <f t="shared" si="333"/>
        <v/>
      </c>
      <c r="BA44" s="86"/>
      <c r="BB44" s="91" t="str">
        <f t="shared" si="232"/>
        <v/>
      </c>
      <c r="BC44" s="85" t="str">
        <f t="shared" si="334"/>
        <v/>
      </c>
      <c r="BD44" s="86"/>
      <c r="BE44" s="91" t="str">
        <f t="shared" si="233"/>
        <v/>
      </c>
      <c r="BF44" s="85" t="str">
        <f t="shared" si="335"/>
        <v/>
      </c>
      <c r="BG44" s="86"/>
      <c r="BH44" s="91" t="str">
        <f t="shared" si="234"/>
        <v/>
      </c>
      <c r="BI44" s="85" t="str">
        <f t="shared" si="336"/>
        <v/>
      </c>
      <c r="BJ44" s="56"/>
      <c r="BK44" s="91" t="str">
        <f t="shared" si="235"/>
        <v/>
      </c>
      <c r="BL44" s="85" t="str">
        <f t="shared" si="337"/>
        <v/>
      </c>
      <c r="BM44" s="86"/>
      <c r="BN44" s="91" t="str">
        <f t="shared" si="236"/>
        <v/>
      </c>
      <c r="BO44" s="85" t="str">
        <f t="shared" si="338"/>
        <v/>
      </c>
      <c r="BP44" s="51"/>
      <c r="BQ44" s="91" t="str">
        <f t="shared" si="237"/>
        <v/>
      </c>
      <c r="BR44" s="85" t="str">
        <f t="shared" si="339"/>
        <v/>
      </c>
      <c r="BS44" s="86">
        <v>80</v>
      </c>
      <c r="BT44" s="91">
        <f t="shared" si="238"/>
        <v>1.0540925533894598</v>
      </c>
      <c r="BU44" s="85">
        <f t="shared" si="340"/>
        <v>1</v>
      </c>
      <c r="BV44" s="86"/>
      <c r="BW44" s="91" t="str">
        <f t="shared" si="239"/>
        <v/>
      </c>
      <c r="BX44" s="85" t="str">
        <f t="shared" si="341"/>
        <v/>
      </c>
      <c r="BY44" s="86"/>
      <c r="BZ44" s="91" t="str">
        <f t="shared" si="240"/>
        <v/>
      </c>
      <c r="CA44" s="85" t="str">
        <f t="shared" si="342"/>
        <v/>
      </c>
      <c r="CB44" s="86"/>
      <c r="CC44" s="91" t="str">
        <f t="shared" si="241"/>
        <v/>
      </c>
      <c r="CD44" s="85" t="str">
        <f t="shared" si="343"/>
        <v/>
      </c>
      <c r="CE44" s="86"/>
      <c r="CF44" s="91" t="str">
        <f t="shared" si="242"/>
        <v/>
      </c>
      <c r="CG44" s="85" t="str">
        <f t="shared" si="344"/>
        <v/>
      </c>
      <c r="CH44" s="86"/>
      <c r="CI44" s="91" t="str">
        <f t="shared" si="243"/>
        <v/>
      </c>
      <c r="CJ44" s="85" t="str">
        <f t="shared" si="345"/>
        <v/>
      </c>
      <c r="CK44" s="86"/>
      <c r="CL44" s="91" t="str">
        <f t="shared" si="244"/>
        <v/>
      </c>
      <c r="CM44" s="85" t="str">
        <f t="shared" si="346"/>
        <v/>
      </c>
      <c r="CN44" s="89"/>
      <c r="CO44" s="91" t="str">
        <f t="shared" si="245"/>
        <v/>
      </c>
      <c r="CP44" s="85" t="str">
        <f t="shared" si="347"/>
        <v/>
      </c>
      <c r="CQ44" s="86"/>
      <c r="CR44" s="91" t="str">
        <f t="shared" si="246"/>
        <v/>
      </c>
      <c r="CS44" s="85" t="str">
        <f t="shared" si="348"/>
        <v/>
      </c>
      <c r="CT44" s="86"/>
      <c r="CU44" s="91" t="str">
        <f t="shared" si="247"/>
        <v/>
      </c>
      <c r="CV44" s="85" t="str">
        <f t="shared" si="349"/>
        <v/>
      </c>
      <c r="CW44" s="86"/>
      <c r="CX44" s="91" t="str">
        <f t="shared" si="248"/>
        <v/>
      </c>
      <c r="CY44" s="85" t="str">
        <f t="shared" si="350"/>
        <v/>
      </c>
      <c r="CZ44" s="86"/>
      <c r="DA44" s="91" t="str">
        <f t="shared" si="249"/>
        <v/>
      </c>
      <c r="DB44" s="85" t="str">
        <f t="shared" si="351"/>
        <v/>
      </c>
      <c r="DC44" s="86"/>
      <c r="DD44" s="91" t="str">
        <f t="shared" si="250"/>
        <v/>
      </c>
      <c r="DE44" s="85" t="str">
        <f t="shared" si="352"/>
        <v/>
      </c>
      <c r="DF44" s="86">
        <v>85</v>
      </c>
      <c r="DG44" s="91"/>
      <c r="DH44" s="85">
        <f t="shared" si="353"/>
        <v>1</v>
      </c>
      <c r="DI44" s="86"/>
      <c r="DJ44" s="91" t="str">
        <f t="shared" si="251"/>
        <v/>
      </c>
      <c r="DK44" s="85" t="str">
        <f t="shared" si="354"/>
        <v/>
      </c>
      <c r="DL44" s="86">
        <v>100</v>
      </c>
      <c r="DM44" s="91">
        <f t="shared" si="252"/>
        <v>1.1826472555519245</v>
      </c>
      <c r="DN44" s="85">
        <f t="shared" si="355"/>
        <v>1</v>
      </c>
      <c r="DO44" s="86"/>
      <c r="DP44" s="91" t="str">
        <f t="shared" si="253"/>
        <v/>
      </c>
      <c r="DQ44" s="85" t="str">
        <f t="shared" si="356"/>
        <v/>
      </c>
      <c r="DR44" s="86"/>
      <c r="DS44" s="91" t="str">
        <f t="shared" si="254"/>
        <v/>
      </c>
      <c r="DT44" s="85" t="str">
        <f t="shared" si="357"/>
        <v/>
      </c>
      <c r="DU44" s="86"/>
      <c r="DV44" s="91" t="str">
        <f t="shared" si="255"/>
        <v/>
      </c>
      <c r="DW44" s="85" t="str">
        <f t="shared" si="358"/>
        <v/>
      </c>
      <c r="DX44" s="56"/>
      <c r="DY44" s="91" t="str">
        <f t="shared" si="256"/>
        <v/>
      </c>
      <c r="DZ44" s="85" t="str">
        <f t="shared" si="359"/>
        <v/>
      </c>
      <c r="EA44" s="86"/>
      <c r="EB44" s="91" t="str">
        <f t="shared" si="257"/>
        <v/>
      </c>
      <c r="EC44" s="85" t="str">
        <f t="shared" si="360"/>
        <v/>
      </c>
      <c r="ED44" s="86"/>
      <c r="EE44" s="91" t="str">
        <f t="shared" si="258"/>
        <v/>
      </c>
      <c r="EF44" s="85" t="str">
        <f t="shared" si="361"/>
        <v/>
      </c>
      <c r="EG44" s="86"/>
      <c r="EH44" s="91" t="str">
        <f t="shared" si="259"/>
        <v/>
      </c>
      <c r="EI44" s="85" t="str">
        <f t="shared" si="362"/>
        <v/>
      </c>
      <c r="EJ44" s="86"/>
      <c r="EK44" s="91" t="str">
        <f t="shared" si="260"/>
        <v/>
      </c>
      <c r="EL44" s="85" t="str">
        <f t="shared" si="363"/>
        <v/>
      </c>
      <c r="EM44" s="56"/>
      <c r="EN44" s="91" t="str">
        <f t="shared" si="261"/>
        <v/>
      </c>
      <c r="EO44" s="85" t="str">
        <f t="shared" si="364"/>
        <v/>
      </c>
      <c r="EP44" s="271">
        <v>88</v>
      </c>
      <c r="EQ44" s="91">
        <f t="shared" si="262"/>
        <v>0.50025989779109281</v>
      </c>
      <c r="ER44" s="85">
        <f t="shared" si="365"/>
        <v>0.75</v>
      </c>
      <c r="ES44" s="51"/>
      <c r="ET44" s="91" t="str">
        <f t="shared" si="263"/>
        <v/>
      </c>
      <c r="EU44" s="85" t="str">
        <f t="shared" si="366"/>
        <v/>
      </c>
      <c r="EV44" s="86"/>
      <c r="EW44" s="91" t="str">
        <f t="shared" si="264"/>
        <v/>
      </c>
      <c r="EX44" s="85" t="str">
        <f t="shared" si="367"/>
        <v/>
      </c>
      <c r="EY44" s="86"/>
      <c r="EZ44" s="91" t="str">
        <f t="shared" si="265"/>
        <v/>
      </c>
      <c r="FA44" s="85" t="str">
        <f t="shared" si="368"/>
        <v/>
      </c>
      <c r="FB44" s="89"/>
      <c r="FC44" s="91" t="str">
        <f t="shared" si="266"/>
        <v/>
      </c>
      <c r="FD44" s="85" t="str">
        <f t="shared" si="369"/>
        <v/>
      </c>
      <c r="FE44" s="86"/>
      <c r="FF44" s="91" t="str">
        <f t="shared" si="267"/>
        <v/>
      </c>
      <c r="FG44" s="85" t="str">
        <f t="shared" si="370"/>
        <v/>
      </c>
      <c r="FH44" s="86"/>
      <c r="FI44" s="91" t="str">
        <f t="shared" si="268"/>
        <v/>
      </c>
      <c r="FJ44" s="85" t="str">
        <f t="shared" si="371"/>
        <v/>
      </c>
      <c r="FK44" s="86"/>
      <c r="FL44" s="91" t="str">
        <f t="shared" si="269"/>
        <v/>
      </c>
      <c r="FM44" s="85" t="str">
        <f t="shared" si="372"/>
        <v/>
      </c>
      <c r="FN44" s="86"/>
      <c r="FO44" s="91" t="str">
        <f t="shared" si="270"/>
        <v/>
      </c>
      <c r="FP44" s="85" t="str">
        <f t="shared" si="373"/>
        <v/>
      </c>
      <c r="FQ44" s="86"/>
      <c r="FR44" s="91" t="str">
        <f t="shared" si="271"/>
        <v/>
      </c>
      <c r="FS44" s="85" t="str">
        <f t="shared" si="374"/>
        <v/>
      </c>
      <c r="FT44" s="86"/>
      <c r="FU44" s="91" t="str">
        <f t="shared" si="272"/>
        <v/>
      </c>
      <c r="FV44" s="85" t="str">
        <f t="shared" si="375"/>
        <v/>
      </c>
      <c r="FW44" s="92"/>
      <c r="FX44" s="91" t="str">
        <f t="shared" si="273"/>
        <v/>
      </c>
      <c r="FY44" s="85" t="str">
        <f t="shared" si="376"/>
        <v/>
      </c>
      <c r="FZ44" s="86"/>
      <c r="GA44" s="91" t="str">
        <f t="shared" si="274"/>
        <v/>
      </c>
      <c r="GB44" s="85" t="str">
        <f t="shared" si="377"/>
        <v/>
      </c>
      <c r="GC44" s="86"/>
      <c r="GD44" s="91" t="str">
        <f t="shared" si="275"/>
        <v/>
      </c>
      <c r="GE44" s="85" t="str">
        <f t="shared" si="378"/>
        <v/>
      </c>
      <c r="GF44" s="89"/>
      <c r="GG44" s="91" t="str">
        <f t="shared" si="276"/>
        <v/>
      </c>
      <c r="GH44" s="85" t="str">
        <f t="shared" si="379"/>
        <v/>
      </c>
      <c r="GI44" s="86"/>
      <c r="GJ44" s="91" t="str">
        <f t="shared" si="277"/>
        <v/>
      </c>
      <c r="GK44" s="85" t="str">
        <f t="shared" si="380"/>
        <v/>
      </c>
      <c r="GL44" s="86"/>
      <c r="GM44" s="91" t="str">
        <f t="shared" si="278"/>
        <v/>
      </c>
      <c r="GN44" s="85" t="str">
        <f t="shared" si="381"/>
        <v/>
      </c>
      <c r="GO44" s="86"/>
      <c r="GP44" s="91" t="str">
        <f t="shared" si="279"/>
        <v/>
      </c>
      <c r="GQ44" s="85" t="str">
        <f t="shared" si="382"/>
        <v/>
      </c>
      <c r="GR44" s="86"/>
      <c r="GS44" s="91" t="str">
        <f t="shared" si="280"/>
        <v/>
      </c>
      <c r="GT44" s="85" t="str">
        <f t="shared" si="383"/>
        <v/>
      </c>
      <c r="GU44" s="86"/>
      <c r="GV44" s="91" t="str">
        <f t="shared" si="281"/>
        <v/>
      </c>
      <c r="GW44" s="85" t="str">
        <f t="shared" si="384"/>
        <v/>
      </c>
      <c r="GX44" s="86">
        <v>82</v>
      </c>
      <c r="GY44" s="91">
        <f t="shared" si="282"/>
        <v>-1.1585149385075275</v>
      </c>
      <c r="GZ44" s="85">
        <f t="shared" si="385"/>
        <v>0</v>
      </c>
      <c r="HA44" s="86"/>
      <c r="HB44" s="91" t="str">
        <f t="shared" si="283"/>
        <v/>
      </c>
      <c r="HC44" s="85" t="str">
        <f t="shared" si="386"/>
        <v/>
      </c>
      <c r="HD44" s="92"/>
      <c r="HE44" s="91" t="str">
        <f t="shared" si="284"/>
        <v/>
      </c>
      <c r="HF44" s="85" t="str">
        <f t="shared" si="387"/>
        <v/>
      </c>
      <c r="HG44" s="86"/>
      <c r="HH44" s="91" t="str">
        <f t="shared" si="285"/>
        <v/>
      </c>
      <c r="HI44" s="85" t="str">
        <f t="shared" si="388"/>
        <v/>
      </c>
      <c r="HJ44" s="86"/>
      <c r="HK44" s="91" t="str">
        <f t="shared" si="286"/>
        <v/>
      </c>
      <c r="HL44" s="85" t="str">
        <f t="shared" si="389"/>
        <v/>
      </c>
      <c r="HM44" s="56"/>
      <c r="HN44" s="91" t="str">
        <f t="shared" si="287"/>
        <v/>
      </c>
      <c r="HO44" s="85" t="str">
        <f t="shared" si="390"/>
        <v/>
      </c>
      <c r="HP44" s="86"/>
      <c r="HQ44" s="91" t="str">
        <f t="shared" si="288"/>
        <v/>
      </c>
      <c r="HR44" s="85" t="str">
        <f t="shared" si="391"/>
        <v/>
      </c>
      <c r="HS44" s="86"/>
      <c r="HT44" s="91" t="str">
        <f t="shared" si="289"/>
        <v/>
      </c>
      <c r="HU44" s="85" t="str">
        <f t="shared" si="392"/>
        <v/>
      </c>
      <c r="HV44" s="86"/>
      <c r="HW44" s="91" t="str">
        <f t="shared" si="290"/>
        <v/>
      </c>
      <c r="HX44" s="85" t="str">
        <f t="shared" si="393"/>
        <v/>
      </c>
      <c r="HY44" s="86"/>
      <c r="HZ44" s="91" t="str">
        <f t="shared" si="291"/>
        <v/>
      </c>
      <c r="IA44" s="85" t="str">
        <f t="shared" si="394"/>
        <v/>
      </c>
      <c r="IB44" s="86"/>
      <c r="IC44" s="91" t="str">
        <f t="shared" si="292"/>
        <v/>
      </c>
      <c r="ID44" s="85" t="str">
        <f t="shared" si="395"/>
        <v/>
      </c>
      <c r="IE44" s="86"/>
      <c r="IF44" s="91" t="str">
        <f t="shared" si="293"/>
        <v/>
      </c>
      <c r="IG44" s="85" t="str">
        <f t="shared" si="396"/>
        <v/>
      </c>
      <c r="IH44" s="86"/>
      <c r="II44" s="91" t="str">
        <f t="shared" si="294"/>
        <v/>
      </c>
      <c r="IJ44" s="85" t="str">
        <f t="shared" si="397"/>
        <v/>
      </c>
      <c r="IK44" s="86"/>
      <c r="IL44" s="91" t="str">
        <f t="shared" si="295"/>
        <v/>
      </c>
      <c r="IM44" s="85" t="str">
        <f t="shared" si="398"/>
        <v/>
      </c>
      <c r="IN44" s="86"/>
      <c r="IO44" s="91" t="str">
        <f t="shared" si="296"/>
        <v/>
      </c>
      <c r="IP44" s="85" t="str">
        <f t="shared" si="399"/>
        <v/>
      </c>
      <c r="IQ44" s="86"/>
      <c r="IR44" s="91" t="str">
        <f t="shared" si="297"/>
        <v/>
      </c>
      <c r="IS44" s="85" t="str">
        <f t="shared" si="400"/>
        <v/>
      </c>
      <c r="IT44" s="86"/>
      <c r="IU44" s="91" t="str">
        <f t="shared" si="298"/>
        <v/>
      </c>
      <c r="IV44" s="85" t="str">
        <f t="shared" si="401"/>
        <v/>
      </c>
      <c r="IW44" s="86"/>
      <c r="IX44" s="91" t="str">
        <f t="shared" si="299"/>
        <v/>
      </c>
      <c r="IY44" s="85" t="str">
        <f t="shared" si="402"/>
        <v/>
      </c>
      <c r="IZ44" s="86"/>
      <c r="JA44" s="91" t="str">
        <f t="shared" si="300"/>
        <v/>
      </c>
      <c r="JB44" s="85" t="str">
        <f t="shared" si="403"/>
        <v/>
      </c>
      <c r="JC44" s="86"/>
      <c r="JD44" s="91" t="str">
        <f t="shared" si="301"/>
        <v/>
      </c>
      <c r="JE44" s="85" t="str">
        <f t="shared" si="404"/>
        <v/>
      </c>
      <c r="JF44" s="86"/>
      <c r="JG44" s="91" t="str">
        <f t="shared" si="302"/>
        <v/>
      </c>
      <c r="JH44" s="85" t="str">
        <f t="shared" si="405"/>
        <v/>
      </c>
      <c r="JI44" s="86"/>
      <c r="JJ44" s="91" t="str">
        <f t="shared" si="303"/>
        <v/>
      </c>
      <c r="JK44" s="85" t="str">
        <f t="shared" si="406"/>
        <v/>
      </c>
      <c r="JL44" s="86"/>
      <c r="JM44" s="91" t="str">
        <f t="shared" si="304"/>
        <v/>
      </c>
      <c r="JN44" s="85" t="str">
        <f t="shared" si="407"/>
        <v/>
      </c>
      <c r="JO44" s="86"/>
      <c r="JP44" s="91" t="str">
        <f t="shared" si="305"/>
        <v/>
      </c>
      <c r="JQ44" s="85" t="str">
        <f t="shared" si="408"/>
        <v/>
      </c>
      <c r="JR44" s="86"/>
      <c r="JS44" s="91" t="str">
        <f t="shared" si="306"/>
        <v/>
      </c>
      <c r="JT44" s="85" t="str">
        <f t="shared" si="409"/>
        <v/>
      </c>
      <c r="JU44" s="86"/>
      <c r="JV44" s="91" t="str">
        <f t="shared" si="307"/>
        <v/>
      </c>
      <c r="JW44" s="85" t="str">
        <f t="shared" si="410"/>
        <v/>
      </c>
      <c r="JX44" s="86"/>
      <c r="JY44" s="91" t="str">
        <f t="shared" si="308"/>
        <v/>
      </c>
      <c r="JZ44" s="85" t="str">
        <f t="shared" si="411"/>
        <v/>
      </c>
      <c r="KA44" s="86"/>
      <c r="KB44" s="91" t="str">
        <f t="shared" si="309"/>
        <v/>
      </c>
      <c r="KC44" s="85" t="str">
        <f t="shared" si="412"/>
        <v/>
      </c>
      <c r="KD44" s="86"/>
      <c r="KE44" s="91" t="str">
        <f t="shared" si="310"/>
        <v/>
      </c>
      <c r="KF44" s="85" t="str">
        <f t="shared" si="413"/>
        <v/>
      </c>
      <c r="KG44" s="86"/>
      <c r="KH44" s="91" t="str">
        <f t="shared" si="311"/>
        <v/>
      </c>
      <c r="KI44" s="85" t="str">
        <f t="shared" si="414"/>
        <v/>
      </c>
      <c r="KJ44" s="86"/>
      <c r="KK44" s="91" t="str">
        <f t="shared" si="312"/>
        <v/>
      </c>
      <c r="KL44" s="85" t="str">
        <f t="shared" si="415"/>
        <v/>
      </c>
      <c r="KM44" s="86"/>
      <c r="KN44" s="91" t="str">
        <f t="shared" si="313"/>
        <v/>
      </c>
      <c r="KO44" s="85" t="str">
        <f t="shared" si="416"/>
        <v/>
      </c>
      <c r="KP44" s="86"/>
      <c r="KQ44" s="91" t="str">
        <f t="shared" si="314"/>
        <v/>
      </c>
      <c r="KR44" s="85" t="str">
        <f t="shared" si="417"/>
        <v/>
      </c>
      <c r="KS44" s="86"/>
      <c r="KT44" s="91" t="str">
        <f t="shared" si="315"/>
        <v/>
      </c>
      <c r="KU44" s="85" t="str">
        <f t="shared" si="418"/>
        <v/>
      </c>
      <c r="KV44" s="86"/>
      <c r="KW44" s="91" t="str">
        <f t="shared" si="316"/>
        <v/>
      </c>
      <c r="KX44" s="85" t="str">
        <f t="shared" si="419"/>
        <v/>
      </c>
      <c r="KY44" s="92"/>
      <c r="KZ44" s="91" t="str">
        <f t="shared" si="317"/>
        <v/>
      </c>
      <c r="LA44" s="85" t="str">
        <f t="shared" si="420"/>
        <v/>
      </c>
      <c r="LB44" s="50">
        <f t="shared" si="218"/>
        <v>87</v>
      </c>
      <c r="LC44" s="57">
        <f t="shared" si="421"/>
        <v>28</v>
      </c>
      <c r="LD44" s="50">
        <f t="shared" si="207"/>
        <v>0.39462119205623736</v>
      </c>
      <c r="LE44" s="57">
        <f t="shared" si="422"/>
        <v>20</v>
      </c>
      <c r="LF44" s="50">
        <f t="shared" si="208"/>
        <v>0.75</v>
      </c>
      <c r="LG44" s="57">
        <f t="shared" si="423"/>
        <v>15</v>
      </c>
      <c r="LH44" s="58">
        <f t="shared" si="318"/>
        <v>43.969298245614034</v>
      </c>
      <c r="LI44" s="58">
        <f t="shared" si="319"/>
        <v>43.532742683369207</v>
      </c>
      <c r="LJ44" s="58">
        <f t="shared" si="320"/>
        <v>43.75</v>
      </c>
      <c r="LK44" s="58">
        <f t="shared" si="424"/>
        <v>81.252040928983234</v>
      </c>
      <c r="LL44" s="60">
        <f t="shared" si="425"/>
        <v>20</v>
      </c>
      <c r="LM44" s="55"/>
      <c r="LN44" s="112">
        <f t="shared" si="217"/>
        <v>8</v>
      </c>
      <c r="LO44" s="61">
        <f t="shared" si="214"/>
        <v>20</v>
      </c>
      <c r="LP44" s="64"/>
      <c r="LQ44" s="64"/>
      <c r="LR44" s="64"/>
    </row>
    <row r="45" spans="1:334" s="62" customFormat="1" ht="15" customHeight="1">
      <c r="A45" s="50">
        <f t="shared" si="211"/>
        <v>5</v>
      </c>
      <c r="B45" s="50">
        <f t="shared" si="212"/>
        <v>5</v>
      </c>
      <c r="C45" s="117">
        <v>74</v>
      </c>
      <c r="D45" s="118" t="s">
        <v>235</v>
      </c>
      <c r="E45" s="286" t="s">
        <v>650</v>
      </c>
      <c r="F45" s="76"/>
      <c r="G45" s="76"/>
      <c r="H45" s="119" t="s">
        <v>14</v>
      </c>
      <c r="I45" s="286" t="s">
        <v>566</v>
      </c>
      <c r="J45" s="119" t="s">
        <v>236</v>
      </c>
      <c r="K45" s="119" t="s">
        <v>2</v>
      </c>
      <c r="L45" s="53" t="s">
        <v>237</v>
      </c>
      <c r="M45" s="292" t="s">
        <v>35</v>
      </c>
      <c r="N45" s="89"/>
      <c r="O45" s="91" t="str">
        <f t="shared" si="219"/>
        <v/>
      </c>
      <c r="P45" s="85" t="str">
        <f t="shared" si="321"/>
        <v/>
      </c>
      <c r="Q45" s="86"/>
      <c r="R45" s="91" t="str">
        <f t="shared" si="220"/>
        <v/>
      </c>
      <c r="S45" s="85" t="str">
        <f t="shared" si="322"/>
        <v/>
      </c>
      <c r="T45" s="86"/>
      <c r="U45" s="91" t="str">
        <f t="shared" si="221"/>
        <v/>
      </c>
      <c r="V45" s="85" t="str">
        <f t="shared" si="323"/>
        <v/>
      </c>
      <c r="W45" s="86"/>
      <c r="X45" s="91" t="str">
        <f t="shared" si="222"/>
        <v/>
      </c>
      <c r="Y45" s="85" t="str">
        <f t="shared" si="324"/>
        <v/>
      </c>
      <c r="Z45" s="86"/>
      <c r="AA45" s="91" t="str">
        <f t="shared" si="223"/>
        <v/>
      </c>
      <c r="AB45" s="85" t="str">
        <f t="shared" si="325"/>
        <v/>
      </c>
      <c r="AC45" s="89"/>
      <c r="AD45" s="91" t="str">
        <f t="shared" si="224"/>
        <v/>
      </c>
      <c r="AE45" s="85" t="str">
        <f t="shared" si="326"/>
        <v/>
      </c>
      <c r="AF45" s="86"/>
      <c r="AG45" s="91" t="str">
        <f t="shared" si="225"/>
        <v/>
      </c>
      <c r="AH45" s="85" t="str">
        <f t="shared" si="327"/>
        <v/>
      </c>
      <c r="AI45" s="86"/>
      <c r="AJ45" s="91" t="str">
        <f t="shared" si="226"/>
        <v/>
      </c>
      <c r="AK45" s="85" t="str">
        <f t="shared" si="328"/>
        <v/>
      </c>
      <c r="AL45" s="86"/>
      <c r="AM45" s="91" t="str">
        <f t="shared" si="227"/>
        <v/>
      </c>
      <c r="AN45" s="85" t="str">
        <f t="shared" si="329"/>
        <v/>
      </c>
      <c r="AO45" s="56"/>
      <c r="AP45" s="91" t="str">
        <f t="shared" si="228"/>
        <v/>
      </c>
      <c r="AQ45" s="85" t="str">
        <f t="shared" si="330"/>
        <v/>
      </c>
      <c r="AR45" s="86"/>
      <c r="AS45" s="91" t="str">
        <f t="shared" si="229"/>
        <v/>
      </c>
      <c r="AT45" s="85" t="str">
        <f t="shared" si="331"/>
        <v/>
      </c>
      <c r="AU45" s="86"/>
      <c r="AV45" s="91" t="str">
        <f t="shared" si="230"/>
        <v/>
      </c>
      <c r="AW45" s="85" t="str">
        <f t="shared" si="332"/>
        <v/>
      </c>
      <c r="AX45" s="86"/>
      <c r="AY45" s="91" t="str">
        <f t="shared" si="231"/>
        <v/>
      </c>
      <c r="AZ45" s="85" t="str">
        <f t="shared" si="333"/>
        <v/>
      </c>
      <c r="BA45" s="56"/>
      <c r="BB45" s="91" t="str">
        <f t="shared" si="232"/>
        <v/>
      </c>
      <c r="BC45" s="85" t="str">
        <f t="shared" si="334"/>
        <v/>
      </c>
      <c r="BD45" s="86"/>
      <c r="BE45" s="91" t="str">
        <f t="shared" si="233"/>
        <v/>
      </c>
      <c r="BF45" s="85" t="str">
        <f t="shared" si="335"/>
        <v/>
      </c>
      <c r="BG45" s="86"/>
      <c r="BH45" s="91" t="str">
        <f t="shared" si="234"/>
        <v/>
      </c>
      <c r="BI45" s="85" t="str">
        <f t="shared" si="336"/>
        <v/>
      </c>
      <c r="BJ45" s="86"/>
      <c r="BK45" s="91" t="str">
        <f t="shared" si="235"/>
        <v/>
      </c>
      <c r="BL45" s="85" t="str">
        <f t="shared" si="337"/>
        <v/>
      </c>
      <c r="BM45" s="86"/>
      <c r="BN45" s="91" t="str">
        <f t="shared" si="236"/>
        <v/>
      </c>
      <c r="BO45" s="85" t="str">
        <f t="shared" si="338"/>
        <v/>
      </c>
      <c r="BP45" s="51"/>
      <c r="BQ45" s="91" t="str">
        <f t="shared" si="237"/>
        <v/>
      </c>
      <c r="BR45" s="85" t="str">
        <f t="shared" si="339"/>
        <v/>
      </c>
      <c r="BS45" s="86">
        <v>72</v>
      </c>
      <c r="BT45" s="91">
        <f t="shared" si="238"/>
        <v>0.21081851067789195</v>
      </c>
      <c r="BU45" s="85">
        <f t="shared" si="340"/>
        <v>0.6</v>
      </c>
      <c r="BV45" s="92"/>
      <c r="BW45" s="91" t="str">
        <f t="shared" si="239"/>
        <v/>
      </c>
      <c r="BX45" s="85" t="str">
        <f t="shared" si="341"/>
        <v/>
      </c>
      <c r="BY45" s="86"/>
      <c r="BZ45" s="91" t="str">
        <f t="shared" si="240"/>
        <v/>
      </c>
      <c r="CA45" s="85" t="str">
        <f t="shared" si="342"/>
        <v/>
      </c>
      <c r="CB45" s="86"/>
      <c r="CC45" s="91" t="str">
        <f t="shared" si="241"/>
        <v/>
      </c>
      <c r="CD45" s="85" t="str">
        <f t="shared" si="343"/>
        <v/>
      </c>
      <c r="CE45" s="86"/>
      <c r="CF45" s="91" t="str">
        <f t="shared" si="242"/>
        <v/>
      </c>
      <c r="CG45" s="85" t="str">
        <f t="shared" si="344"/>
        <v/>
      </c>
      <c r="CH45" s="86"/>
      <c r="CI45" s="91" t="str">
        <f t="shared" si="243"/>
        <v/>
      </c>
      <c r="CJ45" s="85" t="str">
        <f t="shared" si="345"/>
        <v/>
      </c>
      <c r="CK45" s="86"/>
      <c r="CL45" s="91" t="str">
        <f t="shared" si="244"/>
        <v/>
      </c>
      <c r="CM45" s="85" t="str">
        <f t="shared" si="346"/>
        <v/>
      </c>
      <c r="CN45" s="89"/>
      <c r="CO45" s="91" t="str">
        <f t="shared" si="245"/>
        <v/>
      </c>
      <c r="CP45" s="85" t="str">
        <f t="shared" si="347"/>
        <v/>
      </c>
      <c r="CQ45" s="86"/>
      <c r="CR45" s="91" t="str">
        <f t="shared" si="246"/>
        <v/>
      </c>
      <c r="CS45" s="85" t="str">
        <f t="shared" si="348"/>
        <v/>
      </c>
      <c r="CT45" s="56"/>
      <c r="CU45" s="91" t="str">
        <f t="shared" si="247"/>
        <v/>
      </c>
      <c r="CV45" s="85" t="str">
        <f t="shared" si="349"/>
        <v/>
      </c>
      <c r="CW45" s="86">
        <v>92</v>
      </c>
      <c r="CX45" s="91">
        <f t="shared" si="248"/>
        <v>0.6014112132391054</v>
      </c>
      <c r="CY45" s="85">
        <f t="shared" si="350"/>
        <v>0.5</v>
      </c>
      <c r="CZ45" s="86"/>
      <c r="DA45" s="91" t="str">
        <f t="shared" si="249"/>
        <v/>
      </c>
      <c r="DB45" s="85" t="str">
        <f t="shared" si="351"/>
        <v/>
      </c>
      <c r="DC45" s="86"/>
      <c r="DD45" s="91" t="str">
        <f t="shared" si="250"/>
        <v/>
      </c>
      <c r="DE45" s="85" t="str">
        <f t="shared" si="352"/>
        <v/>
      </c>
      <c r="DF45" s="86"/>
      <c r="DG45" s="91"/>
      <c r="DH45" s="85" t="str">
        <f t="shared" si="353"/>
        <v/>
      </c>
      <c r="DI45" s="86"/>
      <c r="DJ45" s="91" t="str">
        <f t="shared" si="251"/>
        <v/>
      </c>
      <c r="DK45" s="85" t="str">
        <f t="shared" si="354"/>
        <v/>
      </c>
      <c r="DL45" s="86"/>
      <c r="DM45" s="91" t="str">
        <f t="shared" si="252"/>
        <v/>
      </c>
      <c r="DN45" s="85" t="str">
        <f t="shared" si="355"/>
        <v/>
      </c>
      <c r="DO45" s="86">
        <v>93</v>
      </c>
      <c r="DP45" s="91">
        <f t="shared" si="253"/>
        <v>1.1018400620091122</v>
      </c>
      <c r="DQ45" s="85">
        <f t="shared" si="356"/>
        <v>1</v>
      </c>
      <c r="DR45" s="86"/>
      <c r="DS45" s="91" t="str">
        <f t="shared" si="254"/>
        <v/>
      </c>
      <c r="DT45" s="85" t="str">
        <f t="shared" si="357"/>
        <v/>
      </c>
      <c r="DU45" s="86"/>
      <c r="DV45" s="91" t="str">
        <f t="shared" si="255"/>
        <v/>
      </c>
      <c r="DW45" s="85" t="str">
        <f t="shared" si="358"/>
        <v/>
      </c>
      <c r="DX45" s="86"/>
      <c r="DY45" s="91" t="str">
        <f t="shared" si="256"/>
        <v/>
      </c>
      <c r="DZ45" s="85" t="str">
        <f t="shared" si="359"/>
        <v/>
      </c>
      <c r="EA45" s="56">
        <v>100</v>
      </c>
      <c r="EB45" s="91">
        <f t="shared" si="257"/>
        <v>1.258895970456148</v>
      </c>
      <c r="EC45" s="85">
        <f t="shared" si="360"/>
        <v>1</v>
      </c>
      <c r="ED45" s="86"/>
      <c r="EE45" s="91" t="str">
        <f t="shared" si="258"/>
        <v/>
      </c>
      <c r="EF45" s="85" t="str">
        <f t="shared" si="361"/>
        <v/>
      </c>
      <c r="EG45" s="86"/>
      <c r="EH45" s="91" t="str">
        <f t="shared" si="259"/>
        <v/>
      </c>
      <c r="EI45" s="85" t="str">
        <f t="shared" si="362"/>
        <v/>
      </c>
      <c r="EJ45" s="86"/>
      <c r="EK45" s="91" t="str">
        <f t="shared" si="260"/>
        <v/>
      </c>
      <c r="EL45" s="85" t="str">
        <f t="shared" si="363"/>
        <v/>
      </c>
      <c r="EM45" s="86"/>
      <c r="EN45" s="91" t="str">
        <f t="shared" si="261"/>
        <v/>
      </c>
      <c r="EO45" s="85" t="str">
        <f t="shared" si="364"/>
        <v/>
      </c>
      <c r="EP45" s="86"/>
      <c r="EQ45" s="91" t="str">
        <f t="shared" si="262"/>
        <v/>
      </c>
      <c r="ER45" s="85" t="str">
        <f t="shared" si="365"/>
        <v/>
      </c>
      <c r="ES45" s="51"/>
      <c r="ET45" s="91" t="str">
        <f t="shared" si="263"/>
        <v/>
      </c>
      <c r="EU45" s="85" t="str">
        <f t="shared" si="366"/>
        <v/>
      </c>
      <c r="EV45" s="86">
        <v>95</v>
      </c>
      <c r="EW45" s="91">
        <f t="shared" si="264"/>
        <v>0.65281243847112536</v>
      </c>
      <c r="EX45" s="85">
        <f t="shared" si="367"/>
        <v>0.75</v>
      </c>
      <c r="EY45" s="86"/>
      <c r="EZ45" s="91" t="str">
        <f t="shared" si="265"/>
        <v/>
      </c>
      <c r="FA45" s="85" t="str">
        <f t="shared" si="368"/>
        <v/>
      </c>
      <c r="FB45" s="89"/>
      <c r="FC45" s="91" t="str">
        <f t="shared" si="266"/>
        <v/>
      </c>
      <c r="FD45" s="85" t="str">
        <f t="shared" si="369"/>
        <v/>
      </c>
      <c r="FE45" s="86"/>
      <c r="FF45" s="91" t="str">
        <f t="shared" si="267"/>
        <v/>
      </c>
      <c r="FG45" s="85" t="str">
        <f t="shared" si="370"/>
        <v/>
      </c>
      <c r="FH45" s="86"/>
      <c r="FI45" s="91" t="str">
        <f t="shared" si="268"/>
        <v/>
      </c>
      <c r="FJ45" s="85" t="str">
        <f t="shared" si="371"/>
        <v/>
      </c>
      <c r="FK45" s="86"/>
      <c r="FL45" s="91" t="str">
        <f t="shared" si="269"/>
        <v/>
      </c>
      <c r="FM45" s="85" t="str">
        <f t="shared" si="372"/>
        <v/>
      </c>
      <c r="FN45" s="86"/>
      <c r="FO45" s="91" t="str">
        <f t="shared" si="270"/>
        <v/>
      </c>
      <c r="FP45" s="85" t="str">
        <f t="shared" si="373"/>
        <v/>
      </c>
      <c r="FQ45" s="86"/>
      <c r="FR45" s="91" t="str">
        <f t="shared" si="271"/>
        <v/>
      </c>
      <c r="FS45" s="85" t="str">
        <f t="shared" si="374"/>
        <v/>
      </c>
      <c r="FT45" s="86"/>
      <c r="FU45" s="91" t="str">
        <f t="shared" si="272"/>
        <v/>
      </c>
      <c r="FV45" s="85" t="str">
        <f t="shared" si="375"/>
        <v/>
      </c>
      <c r="FW45" s="92"/>
      <c r="FX45" s="91" t="str">
        <f t="shared" si="273"/>
        <v/>
      </c>
      <c r="FY45" s="85" t="str">
        <f t="shared" si="376"/>
        <v/>
      </c>
      <c r="FZ45" s="86"/>
      <c r="GA45" s="91" t="str">
        <f t="shared" si="274"/>
        <v/>
      </c>
      <c r="GB45" s="85" t="str">
        <f t="shared" si="377"/>
        <v/>
      </c>
      <c r="GC45" s="92"/>
      <c r="GD45" s="91" t="str">
        <f t="shared" si="275"/>
        <v/>
      </c>
      <c r="GE45" s="85" t="str">
        <f t="shared" si="378"/>
        <v/>
      </c>
      <c r="GF45" s="86"/>
      <c r="GG45" s="91" t="str">
        <f t="shared" si="276"/>
        <v/>
      </c>
      <c r="GH45" s="85" t="str">
        <f t="shared" si="379"/>
        <v/>
      </c>
      <c r="GI45" s="86"/>
      <c r="GJ45" s="91" t="str">
        <f t="shared" si="277"/>
        <v/>
      </c>
      <c r="GK45" s="85" t="str">
        <f t="shared" si="380"/>
        <v/>
      </c>
      <c r="GL45" s="86"/>
      <c r="GM45" s="91" t="str">
        <f t="shared" si="278"/>
        <v/>
      </c>
      <c r="GN45" s="85" t="str">
        <f t="shared" si="381"/>
        <v/>
      </c>
      <c r="GO45" s="56"/>
      <c r="GP45" s="91" t="str">
        <f t="shared" si="279"/>
        <v/>
      </c>
      <c r="GQ45" s="85" t="str">
        <f t="shared" si="382"/>
        <v/>
      </c>
      <c r="GR45" s="86"/>
      <c r="GS45" s="91" t="str">
        <f t="shared" si="280"/>
        <v/>
      </c>
      <c r="GT45" s="85" t="str">
        <f t="shared" si="383"/>
        <v/>
      </c>
      <c r="GU45" s="86"/>
      <c r="GV45" s="91" t="str">
        <f t="shared" si="281"/>
        <v/>
      </c>
      <c r="GW45" s="85" t="str">
        <f t="shared" si="384"/>
        <v/>
      </c>
      <c r="GX45" s="86"/>
      <c r="GY45" s="91" t="str">
        <f t="shared" si="282"/>
        <v/>
      </c>
      <c r="GZ45" s="85" t="str">
        <f t="shared" si="385"/>
        <v/>
      </c>
      <c r="HA45" s="86"/>
      <c r="HB45" s="91" t="str">
        <f t="shared" si="283"/>
        <v/>
      </c>
      <c r="HC45" s="85" t="str">
        <f t="shared" si="386"/>
        <v/>
      </c>
      <c r="HD45" s="86"/>
      <c r="HE45" s="91" t="str">
        <f t="shared" si="284"/>
        <v/>
      </c>
      <c r="HF45" s="85" t="str">
        <f t="shared" si="387"/>
        <v/>
      </c>
      <c r="HG45" s="86"/>
      <c r="HH45" s="91" t="str">
        <f t="shared" si="285"/>
        <v/>
      </c>
      <c r="HI45" s="85" t="str">
        <f t="shared" si="388"/>
        <v/>
      </c>
      <c r="HJ45" s="86"/>
      <c r="HK45" s="91" t="str">
        <f t="shared" si="286"/>
        <v/>
      </c>
      <c r="HL45" s="85" t="str">
        <f t="shared" si="389"/>
        <v/>
      </c>
      <c r="HM45" s="86"/>
      <c r="HN45" s="91" t="str">
        <f t="shared" si="287"/>
        <v/>
      </c>
      <c r="HO45" s="85" t="str">
        <f t="shared" si="390"/>
        <v/>
      </c>
      <c r="HP45" s="86"/>
      <c r="HQ45" s="91" t="str">
        <f t="shared" si="288"/>
        <v/>
      </c>
      <c r="HR45" s="85" t="str">
        <f t="shared" si="391"/>
        <v/>
      </c>
      <c r="HS45" s="86"/>
      <c r="HT45" s="91" t="str">
        <f t="shared" si="289"/>
        <v/>
      </c>
      <c r="HU45" s="85" t="str">
        <f t="shared" si="392"/>
        <v/>
      </c>
      <c r="HV45" s="86"/>
      <c r="HW45" s="91" t="str">
        <f t="shared" si="290"/>
        <v/>
      </c>
      <c r="HX45" s="85" t="str">
        <f t="shared" si="393"/>
        <v/>
      </c>
      <c r="HY45" s="86"/>
      <c r="HZ45" s="91" t="str">
        <f t="shared" si="291"/>
        <v/>
      </c>
      <c r="IA45" s="85" t="str">
        <f t="shared" si="394"/>
        <v/>
      </c>
      <c r="IB45" s="86"/>
      <c r="IC45" s="91" t="str">
        <f t="shared" si="292"/>
        <v/>
      </c>
      <c r="ID45" s="85" t="str">
        <f t="shared" si="395"/>
        <v/>
      </c>
      <c r="IE45" s="86"/>
      <c r="IF45" s="91" t="str">
        <f t="shared" si="293"/>
        <v/>
      </c>
      <c r="IG45" s="85" t="str">
        <f t="shared" si="396"/>
        <v/>
      </c>
      <c r="IH45" s="86"/>
      <c r="II45" s="91" t="str">
        <f t="shared" si="294"/>
        <v/>
      </c>
      <c r="IJ45" s="85" t="str">
        <f t="shared" si="397"/>
        <v/>
      </c>
      <c r="IK45" s="86"/>
      <c r="IL45" s="91" t="str">
        <f t="shared" si="295"/>
        <v/>
      </c>
      <c r="IM45" s="85" t="str">
        <f t="shared" si="398"/>
        <v/>
      </c>
      <c r="IN45" s="86"/>
      <c r="IO45" s="91" t="str">
        <f t="shared" si="296"/>
        <v/>
      </c>
      <c r="IP45" s="85" t="str">
        <f t="shared" si="399"/>
        <v/>
      </c>
      <c r="IQ45" s="86"/>
      <c r="IR45" s="91" t="str">
        <f t="shared" si="297"/>
        <v/>
      </c>
      <c r="IS45" s="85" t="str">
        <f t="shared" si="400"/>
        <v/>
      </c>
      <c r="IT45" s="86"/>
      <c r="IU45" s="91" t="str">
        <f t="shared" si="298"/>
        <v/>
      </c>
      <c r="IV45" s="85" t="str">
        <f t="shared" si="401"/>
        <v/>
      </c>
      <c r="IW45" s="86"/>
      <c r="IX45" s="91" t="str">
        <f t="shared" si="299"/>
        <v/>
      </c>
      <c r="IY45" s="85" t="str">
        <f t="shared" si="402"/>
        <v/>
      </c>
      <c r="IZ45" s="86"/>
      <c r="JA45" s="91" t="str">
        <f t="shared" si="300"/>
        <v/>
      </c>
      <c r="JB45" s="85" t="str">
        <f t="shared" si="403"/>
        <v/>
      </c>
      <c r="JC45" s="86"/>
      <c r="JD45" s="91" t="str">
        <f t="shared" si="301"/>
        <v/>
      </c>
      <c r="JE45" s="85" t="str">
        <f t="shared" si="404"/>
        <v/>
      </c>
      <c r="JF45" s="86"/>
      <c r="JG45" s="91" t="str">
        <f t="shared" si="302"/>
        <v/>
      </c>
      <c r="JH45" s="85" t="str">
        <f t="shared" si="405"/>
        <v/>
      </c>
      <c r="JI45" s="86"/>
      <c r="JJ45" s="91" t="str">
        <f t="shared" si="303"/>
        <v/>
      </c>
      <c r="JK45" s="85" t="str">
        <f t="shared" si="406"/>
        <v/>
      </c>
      <c r="JL45" s="86"/>
      <c r="JM45" s="91" t="str">
        <f t="shared" si="304"/>
        <v/>
      </c>
      <c r="JN45" s="85" t="str">
        <f t="shared" si="407"/>
        <v/>
      </c>
      <c r="JO45" s="86"/>
      <c r="JP45" s="91" t="str">
        <f t="shared" si="305"/>
        <v/>
      </c>
      <c r="JQ45" s="85" t="str">
        <f t="shared" si="408"/>
        <v/>
      </c>
      <c r="JR45" s="86"/>
      <c r="JS45" s="91" t="str">
        <f t="shared" si="306"/>
        <v/>
      </c>
      <c r="JT45" s="85" t="str">
        <f t="shared" si="409"/>
        <v/>
      </c>
      <c r="JU45" s="86"/>
      <c r="JV45" s="91" t="str">
        <f t="shared" si="307"/>
        <v/>
      </c>
      <c r="JW45" s="85" t="str">
        <f t="shared" si="410"/>
        <v/>
      </c>
      <c r="JX45" s="86"/>
      <c r="JY45" s="91" t="str">
        <f t="shared" si="308"/>
        <v/>
      </c>
      <c r="JZ45" s="85" t="str">
        <f t="shared" si="411"/>
        <v/>
      </c>
      <c r="KA45" s="86"/>
      <c r="KB45" s="91" t="str">
        <f t="shared" si="309"/>
        <v/>
      </c>
      <c r="KC45" s="85" t="str">
        <f t="shared" si="412"/>
        <v/>
      </c>
      <c r="KD45" s="86"/>
      <c r="KE45" s="91" t="str">
        <f t="shared" si="310"/>
        <v/>
      </c>
      <c r="KF45" s="85" t="str">
        <f t="shared" si="413"/>
        <v/>
      </c>
      <c r="KG45" s="86"/>
      <c r="KH45" s="91" t="str">
        <f t="shared" si="311"/>
        <v/>
      </c>
      <c r="KI45" s="85" t="str">
        <f t="shared" si="414"/>
        <v/>
      </c>
      <c r="KJ45" s="86"/>
      <c r="KK45" s="91" t="str">
        <f t="shared" si="312"/>
        <v/>
      </c>
      <c r="KL45" s="85" t="str">
        <f t="shared" si="415"/>
        <v/>
      </c>
      <c r="KM45" s="86"/>
      <c r="KN45" s="91" t="str">
        <f t="shared" si="313"/>
        <v/>
      </c>
      <c r="KO45" s="85" t="str">
        <f t="shared" si="416"/>
        <v/>
      </c>
      <c r="KP45" s="86"/>
      <c r="KQ45" s="91" t="str">
        <f t="shared" si="314"/>
        <v/>
      </c>
      <c r="KR45" s="85" t="str">
        <f t="shared" si="417"/>
        <v/>
      </c>
      <c r="KS45" s="86"/>
      <c r="KT45" s="91" t="str">
        <f t="shared" si="315"/>
        <v/>
      </c>
      <c r="KU45" s="85" t="str">
        <f t="shared" si="418"/>
        <v/>
      </c>
      <c r="KV45" s="86"/>
      <c r="KW45" s="91" t="str">
        <f t="shared" si="316"/>
        <v/>
      </c>
      <c r="KX45" s="85" t="str">
        <f t="shared" si="419"/>
        <v/>
      </c>
      <c r="KY45" s="92"/>
      <c r="KZ45" s="91" t="str">
        <f t="shared" si="317"/>
        <v/>
      </c>
      <c r="LA45" s="85" t="str">
        <f t="shared" si="420"/>
        <v/>
      </c>
      <c r="LB45" s="50">
        <f t="shared" si="218"/>
        <v>90.4</v>
      </c>
      <c r="LC45" s="57">
        <f t="shared" si="421"/>
        <v>14</v>
      </c>
      <c r="LD45" s="50">
        <f t="shared" si="207"/>
        <v>0.76515563897067662</v>
      </c>
      <c r="LE45" s="57">
        <f t="shared" si="422"/>
        <v>9</v>
      </c>
      <c r="LF45" s="50">
        <f t="shared" si="208"/>
        <v>0.77</v>
      </c>
      <c r="LG45" s="57">
        <f t="shared" si="423"/>
        <v>13</v>
      </c>
      <c r="LH45" s="58">
        <f t="shared" si="318"/>
        <v>45.833333333333336</v>
      </c>
      <c r="LI45" s="58">
        <f t="shared" si="319"/>
        <v>46.991886037167973</v>
      </c>
      <c r="LJ45" s="58">
        <f t="shared" si="320"/>
        <v>44.25</v>
      </c>
      <c r="LK45" s="58">
        <f t="shared" si="424"/>
        <v>87.075219370501316</v>
      </c>
      <c r="LL45" s="60">
        <f t="shared" si="425"/>
        <v>11</v>
      </c>
      <c r="LM45" s="55"/>
      <c r="LN45" s="112">
        <f t="shared" si="217"/>
        <v>5</v>
      </c>
      <c r="LO45" s="61">
        <f t="shared" si="214"/>
        <v>11</v>
      </c>
      <c r="LP45" s="64"/>
      <c r="LQ45" s="64"/>
      <c r="LR45" s="64"/>
    </row>
    <row r="46" spans="1:334" s="62" customFormat="1" ht="15" customHeight="1">
      <c r="A46" s="50">
        <f t="shared" si="211"/>
        <v>5</v>
      </c>
      <c r="B46" s="50">
        <f t="shared" si="212"/>
        <v>5</v>
      </c>
      <c r="C46" s="117">
        <v>5</v>
      </c>
      <c r="D46" s="118" t="s">
        <v>238</v>
      </c>
      <c r="E46" s="286" t="s">
        <v>651</v>
      </c>
      <c r="F46" s="76"/>
      <c r="G46" s="76"/>
      <c r="H46" s="119" t="s">
        <v>14</v>
      </c>
      <c r="I46" s="286" t="s">
        <v>567</v>
      </c>
      <c r="J46" s="119" t="s">
        <v>239</v>
      </c>
      <c r="K46" s="119" t="s">
        <v>2</v>
      </c>
      <c r="L46" s="53" t="s">
        <v>240</v>
      </c>
      <c r="M46" s="292" t="s">
        <v>35</v>
      </c>
      <c r="N46" s="86"/>
      <c r="O46" s="91" t="str">
        <f t="shared" si="219"/>
        <v/>
      </c>
      <c r="P46" s="85" t="str">
        <f t="shared" si="321"/>
        <v/>
      </c>
      <c r="Q46" s="86"/>
      <c r="R46" s="91" t="str">
        <f t="shared" si="220"/>
        <v/>
      </c>
      <c r="S46" s="85" t="str">
        <f t="shared" si="322"/>
        <v/>
      </c>
      <c r="T46" s="56"/>
      <c r="U46" s="91" t="str">
        <f t="shared" si="221"/>
        <v/>
      </c>
      <c r="V46" s="85" t="str">
        <f t="shared" si="323"/>
        <v/>
      </c>
      <c r="W46" s="86"/>
      <c r="X46" s="91" t="str">
        <f t="shared" si="222"/>
        <v/>
      </c>
      <c r="Y46" s="85" t="str">
        <f t="shared" si="324"/>
        <v/>
      </c>
      <c r="Z46" s="86"/>
      <c r="AA46" s="91" t="str">
        <f t="shared" si="223"/>
        <v/>
      </c>
      <c r="AB46" s="85" t="str">
        <f t="shared" si="325"/>
        <v/>
      </c>
      <c r="AC46" s="86"/>
      <c r="AD46" s="91" t="str">
        <f t="shared" si="224"/>
        <v/>
      </c>
      <c r="AE46" s="85" t="str">
        <f t="shared" si="326"/>
        <v/>
      </c>
      <c r="AF46" s="86"/>
      <c r="AG46" s="91" t="str">
        <f t="shared" si="225"/>
        <v/>
      </c>
      <c r="AH46" s="85" t="str">
        <f t="shared" si="327"/>
        <v/>
      </c>
      <c r="AI46" s="86"/>
      <c r="AJ46" s="91" t="str">
        <f t="shared" si="226"/>
        <v/>
      </c>
      <c r="AK46" s="85" t="str">
        <f t="shared" si="328"/>
        <v/>
      </c>
      <c r="AL46" s="86"/>
      <c r="AM46" s="91" t="str">
        <f t="shared" si="227"/>
        <v/>
      </c>
      <c r="AN46" s="85" t="str">
        <f t="shared" si="329"/>
        <v/>
      </c>
      <c r="AO46" s="86"/>
      <c r="AP46" s="91" t="str">
        <f t="shared" si="228"/>
        <v/>
      </c>
      <c r="AQ46" s="85" t="str">
        <f t="shared" si="330"/>
        <v/>
      </c>
      <c r="AR46" s="86"/>
      <c r="AS46" s="91" t="str">
        <f t="shared" si="229"/>
        <v/>
      </c>
      <c r="AT46" s="85" t="str">
        <f t="shared" si="331"/>
        <v/>
      </c>
      <c r="AU46" s="86"/>
      <c r="AV46" s="91" t="str">
        <f t="shared" si="230"/>
        <v/>
      </c>
      <c r="AW46" s="85" t="str">
        <f t="shared" si="332"/>
        <v/>
      </c>
      <c r="AX46" s="86"/>
      <c r="AY46" s="91" t="str">
        <f t="shared" si="231"/>
        <v/>
      </c>
      <c r="AZ46" s="85" t="str">
        <f t="shared" si="333"/>
        <v/>
      </c>
      <c r="BA46" s="97"/>
      <c r="BB46" s="91" t="str">
        <f t="shared" si="232"/>
        <v/>
      </c>
      <c r="BC46" s="85" t="str">
        <f t="shared" si="334"/>
        <v/>
      </c>
      <c r="BD46" s="97"/>
      <c r="BE46" s="91" t="str">
        <f t="shared" si="233"/>
        <v/>
      </c>
      <c r="BF46" s="85" t="str">
        <f t="shared" si="335"/>
        <v/>
      </c>
      <c r="BG46" s="86"/>
      <c r="BH46" s="91" t="str">
        <f t="shared" si="234"/>
        <v/>
      </c>
      <c r="BI46" s="85" t="str">
        <f t="shared" si="336"/>
        <v/>
      </c>
      <c r="BJ46" s="86">
        <v>100</v>
      </c>
      <c r="BK46" s="91">
        <f t="shared" si="235"/>
        <v>1.5403080924308108</v>
      </c>
      <c r="BL46" s="85">
        <f t="shared" si="337"/>
        <v>1</v>
      </c>
      <c r="BM46" s="86"/>
      <c r="BN46" s="91" t="str">
        <f t="shared" si="236"/>
        <v/>
      </c>
      <c r="BO46" s="85" t="str">
        <f t="shared" si="338"/>
        <v/>
      </c>
      <c r="BP46" s="51"/>
      <c r="BQ46" s="91" t="str">
        <f t="shared" si="237"/>
        <v/>
      </c>
      <c r="BR46" s="85" t="str">
        <f t="shared" si="339"/>
        <v/>
      </c>
      <c r="BS46" s="86">
        <v>80</v>
      </c>
      <c r="BT46" s="91">
        <f t="shared" si="238"/>
        <v>1.0540925533894598</v>
      </c>
      <c r="BU46" s="85">
        <f t="shared" si="340"/>
        <v>1</v>
      </c>
      <c r="BV46" s="86"/>
      <c r="BW46" s="91" t="str">
        <f t="shared" si="239"/>
        <v/>
      </c>
      <c r="BX46" s="85" t="str">
        <f t="shared" si="341"/>
        <v/>
      </c>
      <c r="BY46" s="86"/>
      <c r="BZ46" s="91" t="str">
        <f t="shared" si="240"/>
        <v/>
      </c>
      <c r="CA46" s="85" t="str">
        <f t="shared" si="342"/>
        <v/>
      </c>
      <c r="CB46" s="86"/>
      <c r="CC46" s="91" t="str">
        <f t="shared" si="241"/>
        <v/>
      </c>
      <c r="CD46" s="85" t="str">
        <f t="shared" si="343"/>
        <v/>
      </c>
      <c r="CE46" s="86"/>
      <c r="CF46" s="91" t="str">
        <f t="shared" si="242"/>
        <v/>
      </c>
      <c r="CG46" s="85" t="str">
        <f t="shared" si="344"/>
        <v/>
      </c>
      <c r="CH46" s="86"/>
      <c r="CI46" s="91" t="str">
        <f t="shared" si="243"/>
        <v/>
      </c>
      <c r="CJ46" s="85" t="str">
        <f t="shared" si="345"/>
        <v/>
      </c>
      <c r="CK46" s="86"/>
      <c r="CL46" s="91" t="str">
        <f t="shared" si="244"/>
        <v/>
      </c>
      <c r="CM46" s="85" t="str">
        <f t="shared" si="346"/>
        <v/>
      </c>
      <c r="CN46" s="86"/>
      <c r="CO46" s="91" t="str">
        <f t="shared" si="245"/>
        <v/>
      </c>
      <c r="CP46" s="85" t="str">
        <f t="shared" si="347"/>
        <v/>
      </c>
      <c r="CQ46" s="86"/>
      <c r="CR46" s="91" t="str">
        <f t="shared" si="246"/>
        <v/>
      </c>
      <c r="CS46" s="85" t="str">
        <f t="shared" si="348"/>
        <v/>
      </c>
      <c r="CT46" s="86"/>
      <c r="CU46" s="91" t="str">
        <f t="shared" si="247"/>
        <v/>
      </c>
      <c r="CV46" s="85" t="str">
        <f t="shared" si="349"/>
        <v/>
      </c>
      <c r="CW46" s="86"/>
      <c r="CX46" s="91" t="str">
        <f t="shared" si="248"/>
        <v/>
      </c>
      <c r="CY46" s="85" t="str">
        <f t="shared" si="350"/>
        <v/>
      </c>
      <c r="CZ46" s="86"/>
      <c r="DA46" s="91" t="str">
        <f t="shared" si="249"/>
        <v/>
      </c>
      <c r="DB46" s="85" t="str">
        <f t="shared" si="351"/>
        <v/>
      </c>
      <c r="DC46" s="86"/>
      <c r="DD46" s="91" t="str">
        <f t="shared" si="250"/>
        <v/>
      </c>
      <c r="DE46" s="85" t="str">
        <f t="shared" si="352"/>
        <v/>
      </c>
      <c r="DF46" s="86"/>
      <c r="DG46" s="91"/>
      <c r="DH46" s="85" t="str">
        <f t="shared" si="353"/>
        <v/>
      </c>
      <c r="DI46" s="271">
        <v>93</v>
      </c>
      <c r="DJ46" s="91">
        <f t="shared" si="251"/>
        <v>1.5457183080693355</v>
      </c>
      <c r="DK46" s="85">
        <f t="shared" si="354"/>
        <v>1</v>
      </c>
      <c r="DL46" s="86"/>
      <c r="DM46" s="91" t="str">
        <f t="shared" si="252"/>
        <v/>
      </c>
      <c r="DN46" s="85" t="str">
        <f t="shared" si="355"/>
        <v/>
      </c>
      <c r="DO46" s="86"/>
      <c r="DP46" s="91" t="str">
        <f t="shared" si="253"/>
        <v/>
      </c>
      <c r="DQ46" s="85" t="str">
        <f t="shared" si="356"/>
        <v/>
      </c>
      <c r="DR46" s="86"/>
      <c r="DS46" s="91" t="str">
        <f t="shared" si="254"/>
        <v/>
      </c>
      <c r="DT46" s="85" t="str">
        <f t="shared" si="357"/>
        <v/>
      </c>
      <c r="DU46" s="86"/>
      <c r="DV46" s="91" t="str">
        <f t="shared" si="255"/>
        <v/>
      </c>
      <c r="DW46" s="85" t="str">
        <f t="shared" si="358"/>
        <v/>
      </c>
      <c r="DX46" s="86">
        <v>74</v>
      </c>
      <c r="DY46" s="91">
        <f t="shared" si="256"/>
        <v>-0.29463710496481504</v>
      </c>
      <c r="DZ46" s="85">
        <f t="shared" si="359"/>
        <v>0.5</v>
      </c>
      <c r="EA46" s="86"/>
      <c r="EB46" s="91" t="str">
        <f t="shared" si="257"/>
        <v/>
      </c>
      <c r="EC46" s="85" t="str">
        <f t="shared" si="360"/>
        <v/>
      </c>
      <c r="ED46" s="86"/>
      <c r="EE46" s="91" t="str">
        <f t="shared" si="258"/>
        <v/>
      </c>
      <c r="EF46" s="85" t="str">
        <f t="shared" si="361"/>
        <v/>
      </c>
      <c r="EG46" s="86"/>
      <c r="EH46" s="91" t="str">
        <f t="shared" si="259"/>
        <v/>
      </c>
      <c r="EI46" s="85" t="str">
        <f t="shared" si="362"/>
        <v/>
      </c>
      <c r="EJ46" s="56"/>
      <c r="EK46" s="91" t="str">
        <f t="shared" si="260"/>
        <v/>
      </c>
      <c r="EL46" s="85" t="str">
        <f t="shared" si="363"/>
        <v/>
      </c>
      <c r="EM46" s="89"/>
      <c r="EN46" s="91" t="str">
        <f t="shared" si="261"/>
        <v/>
      </c>
      <c r="EO46" s="85" t="str">
        <f t="shared" si="364"/>
        <v/>
      </c>
      <c r="EP46" s="86"/>
      <c r="EQ46" s="91" t="str">
        <f t="shared" si="262"/>
        <v/>
      </c>
      <c r="ER46" s="85" t="str">
        <f t="shared" si="365"/>
        <v/>
      </c>
      <c r="ES46" s="89">
        <v>88</v>
      </c>
      <c r="ET46" s="91">
        <f t="shared" si="263"/>
        <v>0.86741437886104622</v>
      </c>
      <c r="EU46" s="85">
        <f t="shared" si="366"/>
        <v>0.83333333333333337</v>
      </c>
      <c r="EV46" s="86"/>
      <c r="EW46" s="91" t="str">
        <f t="shared" si="264"/>
        <v/>
      </c>
      <c r="EX46" s="85" t="str">
        <f t="shared" si="367"/>
        <v/>
      </c>
      <c r="EY46" s="86"/>
      <c r="EZ46" s="91" t="str">
        <f t="shared" si="265"/>
        <v/>
      </c>
      <c r="FA46" s="85" t="str">
        <f t="shared" si="368"/>
        <v/>
      </c>
      <c r="FB46" s="56"/>
      <c r="FC46" s="91" t="str">
        <f t="shared" si="266"/>
        <v/>
      </c>
      <c r="FD46" s="85" t="str">
        <f t="shared" si="369"/>
        <v/>
      </c>
      <c r="FE46" s="86"/>
      <c r="FF46" s="91" t="str">
        <f t="shared" si="267"/>
        <v/>
      </c>
      <c r="FG46" s="85" t="str">
        <f t="shared" si="370"/>
        <v/>
      </c>
      <c r="FH46" s="92"/>
      <c r="FI46" s="91" t="str">
        <f t="shared" si="268"/>
        <v/>
      </c>
      <c r="FJ46" s="85" t="str">
        <f t="shared" si="371"/>
        <v/>
      </c>
      <c r="FK46" s="86"/>
      <c r="FL46" s="91" t="str">
        <f t="shared" si="269"/>
        <v/>
      </c>
      <c r="FM46" s="85" t="str">
        <f t="shared" si="372"/>
        <v/>
      </c>
      <c r="FN46" s="86"/>
      <c r="FO46" s="91" t="str">
        <f t="shared" si="270"/>
        <v/>
      </c>
      <c r="FP46" s="85" t="str">
        <f t="shared" si="373"/>
        <v/>
      </c>
      <c r="FQ46" s="86"/>
      <c r="FR46" s="91" t="str">
        <f t="shared" si="271"/>
        <v/>
      </c>
      <c r="FS46" s="85" t="str">
        <f t="shared" si="374"/>
        <v/>
      </c>
      <c r="FT46" s="86"/>
      <c r="FU46" s="91" t="str">
        <f t="shared" si="272"/>
        <v/>
      </c>
      <c r="FV46" s="85" t="str">
        <f t="shared" si="375"/>
        <v/>
      </c>
      <c r="FW46" s="92"/>
      <c r="FX46" s="91" t="str">
        <f t="shared" si="273"/>
        <v/>
      </c>
      <c r="FY46" s="85" t="str">
        <f t="shared" si="376"/>
        <v/>
      </c>
      <c r="FZ46" s="86"/>
      <c r="GA46" s="91" t="str">
        <f t="shared" si="274"/>
        <v/>
      </c>
      <c r="GB46" s="85" t="str">
        <f t="shared" si="377"/>
        <v/>
      </c>
      <c r="GC46" s="86"/>
      <c r="GD46" s="91" t="str">
        <f t="shared" si="275"/>
        <v/>
      </c>
      <c r="GE46" s="85" t="str">
        <f t="shared" si="378"/>
        <v/>
      </c>
      <c r="GF46" s="86"/>
      <c r="GG46" s="91" t="str">
        <f t="shared" si="276"/>
        <v/>
      </c>
      <c r="GH46" s="85" t="str">
        <f t="shared" si="379"/>
        <v/>
      </c>
      <c r="GI46" s="86"/>
      <c r="GJ46" s="91" t="str">
        <f t="shared" si="277"/>
        <v/>
      </c>
      <c r="GK46" s="85" t="str">
        <f t="shared" si="380"/>
        <v/>
      </c>
      <c r="GL46" s="86"/>
      <c r="GM46" s="91" t="str">
        <f t="shared" si="278"/>
        <v/>
      </c>
      <c r="GN46" s="85" t="str">
        <f t="shared" si="381"/>
        <v/>
      </c>
      <c r="GO46" s="86"/>
      <c r="GP46" s="91" t="str">
        <f t="shared" si="279"/>
        <v/>
      </c>
      <c r="GQ46" s="85" t="str">
        <f t="shared" si="382"/>
        <v/>
      </c>
      <c r="GR46" s="56"/>
      <c r="GS46" s="91" t="str">
        <f t="shared" si="280"/>
        <v/>
      </c>
      <c r="GT46" s="85" t="str">
        <f t="shared" si="383"/>
        <v/>
      </c>
      <c r="GU46" s="86"/>
      <c r="GV46" s="91" t="str">
        <f t="shared" si="281"/>
        <v/>
      </c>
      <c r="GW46" s="85" t="str">
        <f t="shared" si="384"/>
        <v/>
      </c>
      <c r="GX46" s="86"/>
      <c r="GY46" s="91" t="str">
        <f t="shared" si="282"/>
        <v/>
      </c>
      <c r="GZ46" s="85" t="str">
        <f t="shared" si="385"/>
        <v/>
      </c>
      <c r="HA46" s="86"/>
      <c r="HB46" s="91" t="str">
        <f t="shared" si="283"/>
        <v/>
      </c>
      <c r="HC46" s="85" t="str">
        <f t="shared" si="386"/>
        <v/>
      </c>
      <c r="HD46" s="86"/>
      <c r="HE46" s="91" t="str">
        <f t="shared" si="284"/>
        <v/>
      </c>
      <c r="HF46" s="85" t="str">
        <f t="shared" si="387"/>
        <v/>
      </c>
      <c r="HG46" s="86"/>
      <c r="HH46" s="91" t="str">
        <f t="shared" si="285"/>
        <v/>
      </c>
      <c r="HI46" s="85" t="str">
        <f t="shared" si="388"/>
        <v/>
      </c>
      <c r="HJ46" s="92"/>
      <c r="HK46" s="91" t="str">
        <f t="shared" si="286"/>
        <v/>
      </c>
      <c r="HL46" s="85" t="str">
        <f t="shared" si="389"/>
        <v/>
      </c>
      <c r="HM46" s="86"/>
      <c r="HN46" s="91" t="str">
        <f t="shared" si="287"/>
        <v/>
      </c>
      <c r="HO46" s="85" t="str">
        <f t="shared" si="390"/>
        <v/>
      </c>
      <c r="HP46" s="86"/>
      <c r="HQ46" s="91" t="str">
        <f t="shared" si="288"/>
        <v/>
      </c>
      <c r="HR46" s="85" t="str">
        <f t="shared" si="391"/>
        <v/>
      </c>
      <c r="HS46" s="86"/>
      <c r="HT46" s="91" t="str">
        <f t="shared" si="289"/>
        <v/>
      </c>
      <c r="HU46" s="85" t="str">
        <f t="shared" si="392"/>
        <v/>
      </c>
      <c r="HV46" s="86"/>
      <c r="HW46" s="91" t="str">
        <f t="shared" si="290"/>
        <v/>
      </c>
      <c r="HX46" s="85" t="str">
        <f t="shared" si="393"/>
        <v/>
      </c>
      <c r="HY46" s="86"/>
      <c r="HZ46" s="91" t="str">
        <f t="shared" si="291"/>
        <v/>
      </c>
      <c r="IA46" s="85" t="str">
        <f t="shared" si="394"/>
        <v/>
      </c>
      <c r="IB46" s="86"/>
      <c r="IC46" s="91" t="str">
        <f t="shared" si="292"/>
        <v/>
      </c>
      <c r="ID46" s="85" t="str">
        <f t="shared" si="395"/>
        <v/>
      </c>
      <c r="IE46" s="86"/>
      <c r="IF46" s="91" t="str">
        <f t="shared" si="293"/>
        <v/>
      </c>
      <c r="IG46" s="85" t="str">
        <f t="shared" si="396"/>
        <v/>
      </c>
      <c r="IH46" s="86"/>
      <c r="II46" s="91" t="str">
        <f t="shared" si="294"/>
        <v/>
      </c>
      <c r="IJ46" s="85" t="str">
        <f t="shared" si="397"/>
        <v/>
      </c>
      <c r="IK46" s="86"/>
      <c r="IL46" s="91" t="str">
        <f t="shared" si="295"/>
        <v/>
      </c>
      <c r="IM46" s="85" t="str">
        <f t="shared" si="398"/>
        <v/>
      </c>
      <c r="IN46" s="86"/>
      <c r="IO46" s="91" t="str">
        <f t="shared" si="296"/>
        <v/>
      </c>
      <c r="IP46" s="85" t="str">
        <f t="shared" si="399"/>
        <v/>
      </c>
      <c r="IQ46" s="86"/>
      <c r="IR46" s="91" t="str">
        <f t="shared" si="297"/>
        <v/>
      </c>
      <c r="IS46" s="85" t="str">
        <f t="shared" si="400"/>
        <v/>
      </c>
      <c r="IT46" s="86"/>
      <c r="IU46" s="91" t="str">
        <f t="shared" si="298"/>
        <v/>
      </c>
      <c r="IV46" s="85" t="str">
        <f t="shared" si="401"/>
        <v/>
      </c>
      <c r="IW46" s="86"/>
      <c r="IX46" s="91" t="str">
        <f t="shared" si="299"/>
        <v/>
      </c>
      <c r="IY46" s="85" t="str">
        <f t="shared" si="402"/>
        <v/>
      </c>
      <c r="IZ46" s="86"/>
      <c r="JA46" s="91" t="str">
        <f t="shared" si="300"/>
        <v/>
      </c>
      <c r="JB46" s="85" t="str">
        <f t="shared" si="403"/>
        <v/>
      </c>
      <c r="JC46" s="86"/>
      <c r="JD46" s="91" t="str">
        <f t="shared" si="301"/>
        <v/>
      </c>
      <c r="JE46" s="85" t="str">
        <f t="shared" si="404"/>
        <v/>
      </c>
      <c r="JF46" s="86"/>
      <c r="JG46" s="91" t="str">
        <f t="shared" si="302"/>
        <v/>
      </c>
      <c r="JH46" s="85" t="str">
        <f t="shared" si="405"/>
        <v/>
      </c>
      <c r="JI46" s="86"/>
      <c r="JJ46" s="91" t="str">
        <f t="shared" si="303"/>
        <v/>
      </c>
      <c r="JK46" s="85" t="str">
        <f t="shared" si="406"/>
        <v/>
      </c>
      <c r="JL46" s="86"/>
      <c r="JM46" s="91" t="str">
        <f t="shared" si="304"/>
        <v/>
      </c>
      <c r="JN46" s="85" t="str">
        <f t="shared" si="407"/>
        <v/>
      </c>
      <c r="JO46" s="86"/>
      <c r="JP46" s="91" t="str">
        <f t="shared" si="305"/>
        <v/>
      </c>
      <c r="JQ46" s="85" t="str">
        <f t="shared" si="408"/>
        <v/>
      </c>
      <c r="JR46" s="86"/>
      <c r="JS46" s="91" t="str">
        <f t="shared" si="306"/>
        <v/>
      </c>
      <c r="JT46" s="85" t="str">
        <f t="shared" si="409"/>
        <v/>
      </c>
      <c r="JU46" s="86"/>
      <c r="JV46" s="91" t="str">
        <f t="shared" si="307"/>
        <v/>
      </c>
      <c r="JW46" s="85" t="str">
        <f t="shared" si="410"/>
        <v/>
      </c>
      <c r="JX46" s="86"/>
      <c r="JY46" s="91" t="str">
        <f t="shared" si="308"/>
        <v/>
      </c>
      <c r="JZ46" s="85" t="str">
        <f t="shared" si="411"/>
        <v/>
      </c>
      <c r="KA46" s="86"/>
      <c r="KB46" s="91" t="str">
        <f t="shared" si="309"/>
        <v/>
      </c>
      <c r="KC46" s="85" t="str">
        <f t="shared" si="412"/>
        <v/>
      </c>
      <c r="KD46" s="86"/>
      <c r="KE46" s="91" t="str">
        <f t="shared" si="310"/>
        <v/>
      </c>
      <c r="KF46" s="85" t="str">
        <f t="shared" si="413"/>
        <v/>
      </c>
      <c r="KG46" s="86"/>
      <c r="KH46" s="91" t="str">
        <f t="shared" si="311"/>
        <v/>
      </c>
      <c r="KI46" s="85" t="str">
        <f t="shared" si="414"/>
        <v/>
      </c>
      <c r="KJ46" s="86"/>
      <c r="KK46" s="91" t="str">
        <f t="shared" si="312"/>
        <v/>
      </c>
      <c r="KL46" s="85" t="str">
        <f t="shared" si="415"/>
        <v/>
      </c>
      <c r="KM46" s="86"/>
      <c r="KN46" s="91" t="str">
        <f t="shared" si="313"/>
        <v/>
      </c>
      <c r="KO46" s="85" t="str">
        <f t="shared" si="416"/>
        <v/>
      </c>
      <c r="KP46" s="86"/>
      <c r="KQ46" s="91" t="str">
        <f t="shared" si="314"/>
        <v/>
      </c>
      <c r="KR46" s="85" t="str">
        <f t="shared" si="417"/>
        <v/>
      </c>
      <c r="KS46" s="86"/>
      <c r="KT46" s="91" t="str">
        <f t="shared" si="315"/>
        <v/>
      </c>
      <c r="KU46" s="85" t="str">
        <f t="shared" si="418"/>
        <v/>
      </c>
      <c r="KV46" s="86"/>
      <c r="KW46" s="91" t="str">
        <f t="shared" si="316"/>
        <v/>
      </c>
      <c r="KX46" s="85" t="str">
        <f t="shared" si="419"/>
        <v/>
      </c>
      <c r="KY46" s="92"/>
      <c r="KZ46" s="91" t="str">
        <f t="shared" si="317"/>
        <v/>
      </c>
      <c r="LA46" s="85" t="str">
        <f t="shared" si="420"/>
        <v/>
      </c>
      <c r="LB46" s="50">
        <f t="shared" si="218"/>
        <v>87</v>
      </c>
      <c r="LC46" s="57">
        <f t="shared" si="421"/>
        <v>28</v>
      </c>
      <c r="LD46" s="50">
        <f t="shared" si="207"/>
        <v>0.94257924555716743</v>
      </c>
      <c r="LE46" s="57">
        <f t="shared" si="422"/>
        <v>5</v>
      </c>
      <c r="LF46" s="50">
        <f t="shared" si="208"/>
        <v>0.86666666666666659</v>
      </c>
      <c r="LG46" s="57">
        <f t="shared" si="423"/>
        <v>7</v>
      </c>
      <c r="LH46" s="58">
        <f t="shared" si="318"/>
        <v>43.969298245614034</v>
      </c>
      <c r="LI46" s="58">
        <f t="shared" si="319"/>
        <v>48.648233226049939</v>
      </c>
      <c r="LJ46" s="58">
        <f t="shared" si="320"/>
        <v>46.666666666666664</v>
      </c>
      <c r="LK46" s="58">
        <f t="shared" si="424"/>
        <v>89.284198138330623</v>
      </c>
      <c r="LL46" s="60">
        <f t="shared" si="425"/>
        <v>8</v>
      </c>
      <c r="LM46" s="55"/>
      <c r="LN46" s="112">
        <f t="shared" si="217"/>
        <v>3</v>
      </c>
      <c r="LO46" s="61">
        <f t="shared" si="214"/>
        <v>8</v>
      </c>
      <c r="LP46" s="64"/>
      <c r="LQ46" s="64"/>
      <c r="LR46" s="64"/>
    </row>
    <row r="47" spans="1:334" s="62" customFormat="1" ht="15" customHeight="1">
      <c r="A47" s="65">
        <f t="shared" si="211"/>
        <v>5</v>
      </c>
      <c r="B47" s="65">
        <f t="shared" si="212"/>
        <v>5</v>
      </c>
      <c r="C47" s="117">
        <v>34</v>
      </c>
      <c r="D47" s="121" t="s">
        <v>241</v>
      </c>
      <c r="E47" s="120" t="s">
        <v>652</v>
      </c>
      <c r="F47" s="120" t="s">
        <v>685</v>
      </c>
      <c r="G47" s="120"/>
      <c r="H47" s="120" t="s">
        <v>94</v>
      </c>
      <c r="I47" s="287" t="s">
        <v>568</v>
      </c>
      <c r="J47" s="120" t="s">
        <v>242</v>
      </c>
      <c r="K47" s="120" t="s">
        <v>6</v>
      </c>
      <c r="L47" s="67" t="s">
        <v>243</v>
      </c>
      <c r="M47" s="120" t="s">
        <v>35</v>
      </c>
      <c r="N47" s="93"/>
      <c r="O47" s="94" t="str">
        <f t="shared" si="219"/>
        <v/>
      </c>
      <c r="P47" s="94" t="str">
        <f t="shared" si="321"/>
        <v/>
      </c>
      <c r="Q47" s="93"/>
      <c r="R47" s="94" t="str">
        <f t="shared" si="220"/>
        <v/>
      </c>
      <c r="S47" s="94" t="str">
        <f t="shared" si="322"/>
        <v/>
      </c>
      <c r="T47" s="114"/>
      <c r="U47" s="94" t="str">
        <f t="shared" si="221"/>
        <v/>
      </c>
      <c r="V47" s="94" t="str">
        <f t="shared" si="323"/>
        <v/>
      </c>
      <c r="W47" s="93"/>
      <c r="X47" s="94" t="str">
        <f t="shared" si="222"/>
        <v/>
      </c>
      <c r="Y47" s="94" t="str">
        <f t="shared" si="324"/>
        <v/>
      </c>
      <c r="Z47" s="93"/>
      <c r="AA47" s="94" t="str">
        <f t="shared" si="223"/>
        <v/>
      </c>
      <c r="AB47" s="94" t="str">
        <f t="shared" si="325"/>
        <v/>
      </c>
      <c r="AC47" s="93"/>
      <c r="AD47" s="94" t="str">
        <f t="shared" si="224"/>
        <v/>
      </c>
      <c r="AE47" s="94" t="str">
        <f t="shared" si="326"/>
        <v/>
      </c>
      <c r="AF47" s="93"/>
      <c r="AG47" s="94" t="str">
        <f t="shared" si="225"/>
        <v/>
      </c>
      <c r="AH47" s="94" t="str">
        <f t="shared" si="327"/>
        <v/>
      </c>
      <c r="AI47" s="93"/>
      <c r="AJ47" s="94" t="str">
        <f t="shared" si="226"/>
        <v/>
      </c>
      <c r="AK47" s="94" t="str">
        <f t="shared" si="328"/>
        <v/>
      </c>
      <c r="AL47" s="93"/>
      <c r="AM47" s="94" t="str">
        <f t="shared" si="227"/>
        <v/>
      </c>
      <c r="AN47" s="94" t="str">
        <f t="shared" si="329"/>
        <v/>
      </c>
      <c r="AO47" s="93"/>
      <c r="AP47" s="94" t="str">
        <f t="shared" si="228"/>
        <v/>
      </c>
      <c r="AQ47" s="94" t="str">
        <f t="shared" si="330"/>
        <v/>
      </c>
      <c r="AR47" s="93">
        <v>54</v>
      </c>
      <c r="AS47" s="94">
        <f t="shared" si="229"/>
        <v>-1.6399391340583667</v>
      </c>
      <c r="AT47" s="94">
        <f t="shared" si="331"/>
        <v>0</v>
      </c>
      <c r="AU47" s="93"/>
      <c r="AV47" s="94" t="str">
        <f t="shared" si="230"/>
        <v/>
      </c>
      <c r="AW47" s="94" t="str">
        <f t="shared" si="332"/>
        <v/>
      </c>
      <c r="AX47" s="93"/>
      <c r="AY47" s="94" t="str">
        <f t="shared" si="231"/>
        <v/>
      </c>
      <c r="AZ47" s="94" t="str">
        <f t="shared" si="333"/>
        <v/>
      </c>
      <c r="BA47" s="93"/>
      <c r="BB47" s="94" t="str">
        <f t="shared" si="232"/>
        <v/>
      </c>
      <c r="BC47" s="94" t="str">
        <f t="shared" si="334"/>
        <v/>
      </c>
      <c r="BD47" s="93"/>
      <c r="BE47" s="94" t="str">
        <f t="shared" si="233"/>
        <v/>
      </c>
      <c r="BF47" s="94" t="str">
        <f t="shared" si="335"/>
        <v/>
      </c>
      <c r="BG47" s="93"/>
      <c r="BH47" s="94" t="str">
        <f t="shared" si="234"/>
        <v/>
      </c>
      <c r="BI47" s="94" t="str">
        <f t="shared" si="336"/>
        <v/>
      </c>
      <c r="BJ47" s="93"/>
      <c r="BK47" s="94" t="str">
        <f t="shared" si="235"/>
        <v/>
      </c>
      <c r="BL47" s="94" t="str">
        <f t="shared" si="337"/>
        <v/>
      </c>
      <c r="BM47" s="93"/>
      <c r="BN47" s="94" t="str">
        <f t="shared" si="236"/>
        <v/>
      </c>
      <c r="BO47" s="94" t="str">
        <f t="shared" si="338"/>
        <v/>
      </c>
      <c r="BP47" s="66"/>
      <c r="BQ47" s="94" t="str">
        <f t="shared" si="237"/>
        <v/>
      </c>
      <c r="BR47" s="94" t="str">
        <f t="shared" si="339"/>
        <v/>
      </c>
      <c r="BS47" s="93"/>
      <c r="BT47" s="94" t="str">
        <f t="shared" si="238"/>
        <v/>
      </c>
      <c r="BU47" s="94" t="str">
        <f t="shared" si="340"/>
        <v/>
      </c>
      <c r="BV47" s="93"/>
      <c r="BW47" s="94" t="str">
        <f t="shared" si="239"/>
        <v/>
      </c>
      <c r="BX47" s="94" t="str">
        <f t="shared" si="341"/>
        <v/>
      </c>
      <c r="BY47" s="93"/>
      <c r="BZ47" s="94" t="str">
        <f t="shared" si="240"/>
        <v/>
      </c>
      <c r="CA47" s="94" t="str">
        <f t="shared" si="342"/>
        <v/>
      </c>
      <c r="CB47" s="114"/>
      <c r="CC47" s="94" t="str">
        <f t="shared" si="241"/>
        <v/>
      </c>
      <c r="CD47" s="94" t="str">
        <f t="shared" si="343"/>
        <v/>
      </c>
      <c r="CE47" s="93"/>
      <c r="CF47" s="94" t="str">
        <f t="shared" si="242"/>
        <v/>
      </c>
      <c r="CG47" s="94" t="str">
        <f t="shared" si="344"/>
        <v/>
      </c>
      <c r="CH47" s="93"/>
      <c r="CI47" s="94" t="str">
        <f t="shared" si="243"/>
        <v/>
      </c>
      <c r="CJ47" s="94" t="str">
        <f t="shared" si="345"/>
        <v/>
      </c>
      <c r="CK47" s="272">
        <v>60</v>
      </c>
      <c r="CL47" s="94">
        <f t="shared" si="244"/>
        <v>-1.7371980724307585</v>
      </c>
      <c r="CM47" s="94">
        <f t="shared" si="346"/>
        <v>0</v>
      </c>
      <c r="CN47" s="93"/>
      <c r="CO47" s="94" t="str">
        <f t="shared" si="245"/>
        <v/>
      </c>
      <c r="CP47" s="94" t="str">
        <f t="shared" si="347"/>
        <v/>
      </c>
      <c r="CQ47" s="93"/>
      <c r="CR47" s="94" t="str">
        <f t="shared" si="246"/>
        <v/>
      </c>
      <c r="CS47" s="94" t="str">
        <f t="shared" si="348"/>
        <v/>
      </c>
      <c r="CT47" s="114"/>
      <c r="CU47" s="94" t="str">
        <f t="shared" si="247"/>
        <v/>
      </c>
      <c r="CV47" s="94" t="str">
        <f t="shared" si="349"/>
        <v/>
      </c>
      <c r="CW47" s="93"/>
      <c r="CX47" s="94" t="str">
        <f t="shared" si="248"/>
        <v/>
      </c>
      <c r="CY47" s="94" t="str">
        <f t="shared" si="350"/>
        <v/>
      </c>
      <c r="CZ47" s="93">
        <v>48</v>
      </c>
      <c r="DA47" s="94">
        <f t="shared" si="249"/>
        <v>-1.7344992033432187</v>
      </c>
      <c r="DB47" s="94">
        <f t="shared" si="351"/>
        <v>0</v>
      </c>
      <c r="DC47" s="93"/>
      <c r="DD47" s="94" t="str">
        <f t="shared" si="250"/>
        <v/>
      </c>
      <c r="DE47" s="94" t="str">
        <f t="shared" si="352"/>
        <v/>
      </c>
      <c r="DF47" s="93"/>
      <c r="DG47" s="94"/>
      <c r="DH47" s="94" t="str">
        <f t="shared" si="353"/>
        <v/>
      </c>
      <c r="DI47" s="93"/>
      <c r="DJ47" s="94" t="str">
        <f t="shared" si="251"/>
        <v/>
      </c>
      <c r="DK47" s="94" t="str">
        <f t="shared" si="354"/>
        <v/>
      </c>
      <c r="DL47" s="93"/>
      <c r="DM47" s="94" t="str">
        <f t="shared" si="252"/>
        <v/>
      </c>
      <c r="DN47" s="94" t="str">
        <f t="shared" si="355"/>
        <v/>
      </c>
      <c r="DO47" s="93"/>
      <c r="DP47" s="94" t="str">
        <f t="shared" si="253"/>
        <v/>
      </c>
      <c r="DQ47" s="94" t="str">
        <f t="shared" si="356"/>
        <v/>
      </c>
      <c r="DR47" s="93"/>
      <c r="DS47" s="94" t="str">
        <f t="shared" si="254"/>
        <v/>
      </c>
      <c r="DT47" s="94" t="str">
        <f t="shared" si="357"/>
        <v/>
      </c>
      <c r="DU47" s="93"/>
      <c r="DV47" s="94" t="str">
        <f t="shared" si="255"/>
        <v/>
      </c>
      <c r="DW47" s="94" t="str">
        <f t="shared" si="358"/>
        <v/>
      </c>
      <c r="DX47" s="93"/>
      <c r="DY47" s="94" t="str">
        <f t="shared" si="256"/>
        <v/>
      </c>
      <c r="DZ47" s="94" t="str">
        <f t="shared" si="359"/>
        <v/>
      </c>
      <c r="EA47" s="93"/>
      <c r="EB47" s="94" t="str">
        <f t="shared" si="257"/>
        <v/>
      </c>
      <c r="EC47" s="94" t="str">
        <f t="shared" si="360"/>
        <v/>
      </c>
      <c r="ED47" s="93"/>
      <c r="EE47" s="94" t="str">
        <f t="shared" si="258"/>
        <v/>
      </c>
      <c r="EF47" s="94" t="str">
        <f t="shared" si="361"/>
        <v/>
      </c>
      <c r="EG47" s="93"/>
      <c r="EH47" s="94" t="str">
        <f t="shared" si="259"/>
        <v/>
      </c>
      <c r="EI47" s="94" t="str">
        <f t="shared" si="362"/>
        <v/>
      </c>
      <c r="EJ47" s="93"/>
      <c r="EK47" s="94" t="str">
        <f t="shared" si="260"/>
        <v/>
      </c>
      <c r="EL47" s="94" t="str">
        <f t="shared" si="363"/>
        <v/>
      </c>
      <c r="EM47" s="93"/>
      <c r="EN47" s="94" t="str">
        <f t="shared" si="261"/>
        <v/>
      </c>
      <c r="EO47" s="94" t="str">
        <f t="shared" si="364"/>
        <v/>
      </c>
      <c r="EP47" s="93"/>
      <c r="EQ47" s="94" t="str">
        <f t="shared" si="262"/>
        <v/>
      </c>
      <c r="ER47" s="94" t="str">
        <f t="shared" si="365"/>
        <v/>
      </c>
      <c r="ES47" s="66"/>
      <c r="ET47" s="94" t="str">
        <f t="shared" si="263"/>
        <v/>
      </c>
      <c r="EU47" s="94" t="str">
        <f t="shared" si="366"/>
        <v/>
      </c>
      <c r="EV47" s="114"/>
      <c r="EW47" s="94" t="str">
        <f t="shared" si="264"/>
        <v/>
      </c>
      <c r="EX47" s="94" t="str">
        <f t="shared" si="367"/>
        <v/>
      </c>
      <c r="EY47" s="93"/>
      <c r="EZ47" s="94" t="str">
        <f t="shared" si="265"/>
        <v/>
      </c>
      <c r="FA47" s="94" t="str">
        <f t="shared" si="368"/>
        <v/>
      </c>
      <c r="FB47" s="93"/>
      <c r="FC47" s="94" t="str">
        <f t="shared" si="266"/>
        <v/>
      </c>
      <c r="FD47" s="94" t="str">
        <f t="shared" si="369"/>
        <v/>
      </c>
      <c r="FE47" s="93"/>
      <c r="FF47" s="94" t="str">
        <f t="shared" si="267"/>
        <v/>
      </c>
      <c r="FG47" s="94" t="str">
        <f t="shared" si="370"/>
        <v/>
      </c>
      <c r="FH47" s="93"/>
      <c r="FI47" s="94" t="str">
        <f t="shared" si="268"/>
        <v/>
      </c>
      <c r="FJ47" s="94" t="str">
        <f t="shared" si="371"/>
        <v/>
      </c>
      <c r="FK47" s="93"/>
      <c r="FL47" s="94" t="str">
        <f t="shared" si="269"/>
        <v/>
      </c>
      <c r="FM47" s="94" t="str">
        <f t="shared" si="372"/>
        <v/>
      </c>
      <c r="FN47" s="93"/>
      <c r="FO47" s="94" t="str">
        <f t="shared" si="270"/>
        <v/>
      </c>
      <c r="FP47" s="94" t="str">
        <f t="shared" si="373"/>
        <v/>
      </c>
      <c r="FQ47" s="93"/>
      <c r="FR47" s="94" t="str">
        <f t="shared" si="271"/>
        <v/>
      </c>
      <c r="FS47" s="94" t="str">
        <f t="shared" si="374"/>
        <v/>
      </c>
      <c r="FT47" s="93">
        <v>35</v>
      </c>
      <c r="FU47" s="94">
        <f t="shared" si="272"/>
        <v>-1.746376689547154</v>
      </c>
      <c r="FV47" s="94">
        <f t="shared" si="375"/>
        <v>0</v>
      </c>
      <c r="FW47" s="96"/>
      <c r="FX47" s="94" t="str">
        <f t="shared" si="273"/>
        <v/>
      </c>
      <c r="FY47" s="94" t="str">
        <f t="shared" si="376"/>
        <v/>
      </c>
      <c r="FZ47" s="93"/>
      <c r="GA47" s="94" t="str">
        <f t="shared" si="274"/>
        <v/>
      </c>
      <c r="GB47" s="94" t="str">
        <f t="shared" si="377"/>
        <v/>
      </c>
      <c r="GC47" s="93"/>
      <c r="GD47" s="94" t="str">
        <f t="shared" si="275"/>
        <v/>
      </c>
      <c r="GE47" s="94" t="str">
        <f t="shared" si="378"/>
        <v/>
      </c>
      <c r="GF47" s="93"/>
      <c r="GG47" s="94" t="str">
        <f t="shared" si="276"/>
        <v/>
      </c>
      <c r="GH47" s="94" t="str">
        <f t="shared" si="379"/>
        <v/>
      </c>
      <c r="GI47" s="93"/>
      <c r="GJ47" s="94" t="str">
        <f t="shared" si="277"/>
        <v/>
      </c>
      <c r="GK47" s="94" t="str">
        <f t="shared" si="380"/>
        <v/>
      </c>
      <c r="GL47" s="93"/>
      <c r="GM47" s="94" t="str">
        <f t="shared" si="278"/>
        <v/>
      </c>
      <c r="GN47" s="94" t="str">
        <f t="shared" si="381"/>
        <v/>
      </c>
      <c r="GO47" s="93"/>
      <c r="GP47" s="94" t="str">
        <f t="shared" si="279"/>
        <v/>
      </c>
      <c r="GQ47" s="94" t="str">
        <f t="shared" si="382"/>
        <v/>
      </c>
      <c r="GR47" s="93"/>
      <c r="GS47" s="94" t="str">
        <f t="shared" si="280"/>
        <v/>
      </c>
      <c r="GT47" s="94" t="str">
        <f t="shared" si="383"/>
        <v/>
      </c>
      <c r="GU47" s="93"/>
      <c r="GV47" s="94" t="str">
        <f t="shared" si="281"/>
        <v/>
      </c>
      <c r="GW47" s="94" t="str">
        <f t="shared" si="384"/>
        <v/>
      </c>
      <c r="GX47" s="93"/>
      <c r="GY47" s="94" t="str">
        <f t="shared" si="282"/>
        <v/>
      </c>
      <c r="GZ47" s="94" t="str">
        <f t="shared" si="385"/>
        <v/>
      </c>
      <c r="HA47" s="93"/>
      <c r="HB47" s="94" t="str">
        <f t="shared" si="283"/>
        <v/>
      </c>
      <c r="HC47" s="94" t="str">
        <f t="shared" si="386"/>
        <v/>
      </c>
      <c r="HD47" s="93">
        <v>65</v>
      </c>
      <c r="HE47" s="94">
        <f t="shared" si="284"/>
        <v>-1.094777119878388</v>
      </c>
      <c r="HF47" s="94">
        <f t="shared" si="387"/>
        <v>0</v>
      </c>
      <c r="HG47" s="114"/>
      <c r="HH47" s="94" t="str">
        <f t="shared" si="285"/>
        <v/>
      </c>
      <c r="HI47" s="94" t="str">
        <f t="shared" si="388"/>
        <v/>
      </c>
      <c r="HJ47" s="96"/>
      <c r="HK47" s="94" t="str">
        <f t="shared" si="286"/>
        <v/>
      </c>
      <c r="HL47" s="94" t="str">
        <f t="shared" si="389"/>
        <v/>
      </c>
      <c r="HM47" s="93"/>
      <c r="HN47" s="94" t="str">
        <f t="shared" si="287"/>
        <v/>
      </c>
      <c r="HO47" s="94" t="str">
        <f t="shared" si="390"/>
        <v/>
      </c>
      <c r="HP47" s="93"/>
      <c r="HQ47" s="94" t="str">
        <f t="shared" si="288"/>
        <v/>
      </c>
      <c r="HR47" s="94" t="str">
        <f t="shared" si="391"/>
        <v/>
      </c>
      <c r="HS47" s="93"/>
      <c r="HT47" s="94" t="str">
        <f t="shared" si="289"/>
        <v/>
      </c>
      <c r="HU47" s="94" t="str">
        <f t="shared" si="392"/>
        <v/>
      </c>
      <c r="HV47" s="93"/>
      <c r="HW47" s="94" t="str">
        <f t="shared" si="290"/>
        <v/>
      </c>
      <c r="HX47" s="94" t="str">
        <f t="shared" si="393"/>
        <v/>
      </c>
      <c r="HY47" s="93"/>
      <c r="HZ47" s="94" t="str">
        <f t="shared" si="291"/>
        <v/>
      </c>
      <c r="IA47" s="94" t="str">
        <f t="shared" si="394"/>
        <v/>
      </c>
      <c r="IB47" s="93"/>
      <c r="IC47" s="94" t="str">
        <f t="shared" si="292"/>
        <v/>
      </c>
      <c r="ID47" s="94" t="str">
        <f t="shared" si="395"/>
        <v/>
      </c>
      <c r="IE47" s="93"/>
      <c r="IF47" s="94" t="str">
        <f t="shared" si="293"/>
        <v/>
      </c>
      <c r="IG47" s="94" t="str">
        <f t="shared" si="396"/>
        <v/>
      </c>
      <c r="IH47" s="93"/>
      <c r="II47" s="94" t="str">
        <f t="shared" si="294"/>
        <v/>
      </c>
      <c r="IJ47" s="94" t="str">
        <f t="shared" si="397"/>
        <v/>
      </c>
      <c r="IK47" s="93"/>
      <c r="IL47" s="94" t="str">
        <f t="shared" si="295"/>
        <v/>
      </c>
      <c r="IM47" s="94" t="str">
        <f t="shared" si="398"/>
        <v/>
      </c>
      <c r="IN47" s="93"/>
      <c r="IO47" s="94" t="str">
        <f t="shared" si="296"/>
        <v/>
      </c>
      <c r="IP47" s="94" t="str">
        <f t="shared" si="399"/>
        <v/>
      </c>
      <c r="IQ47" s="93"/>
      <c r="IR47" s="94" t="str">
        <f t="shared" si="297"/>
        <v/>
      </c>
      <c r="IS47" s="94" t="str">
        <f t="shared" si="400"/>
        <v/>
      </c>
      <c r="IT47" s="93"/>
      <c r="IU47" s="94" t="str">
        <f t="shared" si="298"/>
        <v/>
      </c>
      <c r="IV47" s="94" t="str">
        <f t="shared" si="401"/>
        <v/>
      </c>
      <c r="IW47" s="93"/>
      <c r="IX47" s="94" t="str">
        <f t="shared" si="299"/>
        <v/>
      </c>
      <c r="IY47" s="94" t="str">
        <f t="shared" si="402"/>
        <v/>
      </c>
      <c r="IZ47" s="93"/>
      <c r="JA47" s="94" t="str">
        <f t="shared" si="300"/>
        <v/>
      </c>
      <c r="JB47" s="94" t="str">
        <f t="shared" si="403"/>
        <v/>
      </c>
      <c r="JC47" s="93"/>
      <c r="JD47" s="94" t="str">
        <f t="shared" si="301"/>
        <v/>
      </c>
      <c r="JE47" s="94" t="str">
        <f t="shared" si="404"/>
        <v/>
      </c>
      <c r="JF47" s="93"/>
      <c r="JG47" s="94" t="str">
        <f t="shared" si="302"/>
        <v/>
      </c>
      <c r="JH47" s="94" t="str">
        <f t="shared" si="405"/>
        <v/>
      </c>
      <c r="JI47" s="93"/>
      <c r="JJ47" s="94" t="str">
        <f t="shared" si="303"/>
        <v/>
      </c>
      <c r="JK47" s="94" t="str">
        <f t="shared" si="406"/>
        <v/>
      </c>
      <c r="JL47" s="93"/>
      <c r="JM47" s="94" t="str">
        <f t="shared" si="304"/>
        <v/>
      </c>
      <c r="JN47" s="94" t="str">
        <f t="shared" si="407"/>
        <v/>
      </c>
      <c r="JO47" s="93"/>
      <c r="JP47" s="94" t="str">
        <f t="shared" si="305"/>
        <v/>
      </c>
      <c r="JQ47" s="94" t="str">
        <f t="shared" si="408"/>
        <v/>
      </c>
      <c r="JR47" s="93"/>
      <c r="JS47" s="94" t="str">
        <f t="shared" si="306"/>
        <v/>
      </c>
      <c r="JT47" s="94" t="str">
        <f t="shared" si="409"/>
        <v/>
      </c>
      <c r="JU47" s="93"/>
      <c r="JV47" s="94" t="str">
        <f t="shared" si="307"/>
        <v/>
      </c>
      <c r="JW47" s="94" t="str">
        <f t="shared" si="410"/>
        <v/>
      </c>
      <c r="JX47" s="93"/>
      <c r="JY47" s="94" t="str">
        <f t="shared" si="308"/>
        <v/>
      </c>
      <c r="JZ47" s="94" t="str">
        <f t="shared" si="411"/>
        <v/>
      </c>
      <c r="KA47" s="93"/>
      <c r="KB47" s="94" t="str">
        <f t="shared" si="309"/>
        <v/>
      </c>
      <c r="KC47" s="94" t="str">
        <f t="shared" si="412"/>
        <v/>
      </c>
      <c r="KD47" s="93"/>
      <c r="KE47" s="94" t="str">
        <f t="shared" si="310"/>
        <v/>
      </c>
      <c r="KF47" s="94" t="str">
        <f t="shared" si="413"/>
        <v/>
      </c>
      <c r="KG47" s="93"/>
      <c r="KH47" s="94" t="str">
        <f t="shared" si="311"/>
        <v/>
      </c>
      <c r="KI47" s="94" t="str">
        <f t="shared" si="414"/>
        <v/>
      </c>
      <c r="KJ47" s="93"/>
      <c r="KK47" s="94" t="str">
        <f t="shared" si="312"/>
        <v/>
      </c>
      <c r="KL47" s="94" t="str">
        <f t="shared" si="415"/>
        <v/>
      </c>
      <c r="KM47" s="93"/>
      <c r="KN47" s="94" t="str">
        <f t="shared" si="313"/>
        <v/>
      </c>
      <c r="KO47" s="94" t="str">
        <f t="shared" si="416"/>
        <v/>
      </c>
      <c r="KP47" s="93"/>
      <c r="KQ47" s="94" t="str">
        <f t="shared" si="314"/>
        <v/>
      </c>
      <c r="KR47" s="94" t="str">
        <f t="shared" si="417"/>
        <v/>
      </c>
      <c r="KS47" s="93"/>
      <c r="KT47" s="94" t="str">
        <f t="shared" si="315"/>
        <v/>
      </c>
      <c r="KU47" s="94" t="str">
        <f t="shared" si="418"/>
        <v/>
      </c>
      <c r="KV47" s="93"/>
      <c r="KW47" s="94" t="str">
        <f t="shared" si="316"/>
        <v/>
      </c>
      <c r="KX47" s="94" t="str">
        <f t="shared" si="419"/>
        <v/>
      </c>
      <c r="KY47" s="96"/>
      <c r="KZ47" s="94" t="str">
        <f t="shared" si="317"/>
        <v/>
      </c>
      <c r="LA47" s="94" t="str">
        <f t="shared" si="420"/>
        <v/>
      </c>
      <c r="LB47" s="65">
        <f t="shared" si="218"/>
        <v>52.4</v>
      </c>
      <c r="LC47" s="115">
        <f t="shared" si="421"/>
        <v>62</v>
      </c>
      <c r="LD47" s="65">
        <f t="shared" si="207"/>
        <v>-1.5905580438515772</v>
      </c>
      <c r="LE47" s="115">
        <f t="shared" si="422"/>
        <v>62</v>
      </c>
      <c r="LF47" s="65">
        <f t="shared" si="208"/>
        <v>0</v>
      </c>
      <c r="LG47" s="115">
        <f t="shared" si="423"/>
        <v>60</v>
      </c>
      <c r="LH47" s="69">
        <f t="shared" si="318"/>
        <v>25</v>
      </c>
      <c r="LI47" s="69">
        <f t="shared" si="319"/>
        <v>25</v>
      </c>
      <c r="LJ47" s="69">
        <f t="shared" si="320"/>
        <v>25</v>
      </c>
      <c r="LK47" s="69">
        <f t="shared" si="424"/>
        <v>25</v>
      </c>
      <c r="LL47" s="71">
        <f t="shared" si="425"/>
        <v>62</v>
      </c>
      <c r="LM47" s="68"/>
      <c r="LN47" s="72">
        <f>IFERROR(RANK(LK47,(LK$47:LK$50),0),"")</f>
        <v>4</v>
      </c>
      <c r="LO47" s="72">
        <f t="shared" si="214"/>
        <v>62</v>
      </c>
      <c r="LP47" s="68"/>
      <c r="LQ47" s="68"/>
      <c r="LR47" s="68"/>
      <c r="LS47" s="74"/>
      <c r="LT47" s="74"/>
      <c r="LU47" s="74"/>
      <c r="LV47" s="74"/>
    </row>
    <row r="48" spans="1:334" s="74" customFormat="1" ht="15" customHeight="1">
      <c r="A48" s="65">
        <f t="shared" si="211"/>
        <v>5</v>
      </c>
      <c r="B48" s="65">
        <f t="shared" si="212"/>
        <v>5</v>
      </c>
      <c r="C48" s="117">
        <v>2</v>
      </c>
      <c r="D48" s="121" t="s">
        <v>244</v>
      </c>
      <c r="E48" s="120" t="s">
        <v>653</v>
      </c>
      <c r="F48" s="120" t="s">
        <v>686</v>
      </c>
      <c r="G48" s="120"/>
      <c r="H48" s="120" t="s">
        <v>173</v>
      </c>
      <c r="I48" s="287" t="s">
        <v>569</v>
      </c>
      <c r="J48" s="120" t="s">
        <v>245</v>
      </c>
      <c r="K48" s="120" t="s">
        <v>6</v>
      </c>
      <c r="L48" s="67" t="s">
        <v>246</v>
      </c>
      <c r="M48" s="120" t="s">
        <v>35</v>
      </c>
      <c r="N48" s="93"/>
      <c r="O48" s="94" t="str">
        <f t="shared" si="219"/>
        <v/>
      </c>
      <c r="P48" s="94" t="str">
        <f t="shared" si="321"/>
        <v/>
      </c>
      <c r="Q48" s="93"/>
      <c r="R48" s="94" t="str">
        <f t="shared" si="220"/>
        <v/>
      </c>
      <c r="S48" s="94" t="str">
        <f t="shared" si="322"/>
        <v/>
      </c>
      <c r="T48" s="114"/>
      <c r="U48" s="94" t="str">
        <f t="shared" si="221"/>
        <v/>
      </c>
      <c r="V48" s="94" t="str">
        <f t="shared" si="323"/>
        <v/>
      </c>
      <c r="W48" s="114"/>
      <c r="X48" s="94" t="str">
        <f t="shared" si="222"/>
        <v/>
      </c>
      <c r="Y48" s="94" t="str">
        <f t="shared" si="324"/>
        <v/>
      </c>
      <c r="Z48" s="93"/>
      <c r="AA48" s="94" t="str">
        <f t="shared" si="223"/>
        <v/>
      </c>
      <c r="AB48" s="94" t="str">
        <f t="shared" si="325"/>
        <v/>
      </c>
      <c r="AC48" s="93"/>
      <c r="AD48" s="94" t="str">
        <f t="shared" si="224"/>
        <v/>
      </c>
      <c r="AE48" s="94" t="str">
        <f t="shared" si="326"/>
        <v/>
      </c>
      <c r="AF48" s="93"/>
      <c r="AG48" s="94" t="str">
        <f t="shared" si="225"/>
        <v/>
      </c>
      <c r="AH48" s="94" t="str">
        <f t="shared" si="327"/>
        <v/>
      </c>
      <c r="AI48" s="93"/>
      <c r="AJ48" s="94" t="str">
        <f t="shared" si="226"/>
        <v/>
      </c>
      <c r="AK48" s="94" t="str">
        <f t="shared" si="328"/>
        <v/>
      </c>
      <c r="AL48" s="93"/>
      <c r="AM48" s="94" t="str">
        <f t="shared" si="227"/>
        <v/>
      </c>
      <c r="AN48" s="94" t="str">
        <f t="shared" si="329"/>
        <v/>
      </c>
      <c r="AO48" s="93"/>
      <c r="AP48" s="94" t="str">
        <f t="shared" si="228"/>
        <v/>
      </c>
      <c r="AQ48" s="94" t="str">
        <f t="shared" si="330"/>
        <v/>
      </c>
      <c r="AR48" s="93">
        <v>100</v>
      </c>
      <c r="AS48" s="94">
        <f t="shared" si="229"/>
        <v>0.8915105359646156</v>
      </c>
      <c r="AT48" s="94">
        <f t="shared" si="331"/>
        <v>1</v>
      </c>
      <c r="AU48" s="93"/>
      <c r="AV48" s="94" t="str">
        <f t="shared" si="230"/>
        <v/>
      </c>
      <c r="AW48" s="94" t="str">
        <f t="shared" si="332"/>
        <v/>
      </c>
      <c r="AX48" s="93"/>
      <c r="AY48" s="94" t="str">
        <f t="shared" si="231"/>
        <v/>
      </c>
      <c r="AZ48" s="94" t="str">
        <f t="shared" si="333"/>
        <v/>
      </c>
      <c r="BA48" s="93"/>
      <c r="BB48" s="94" t="str">
        <f t="shared" si="232"/>
        <v/>
      </c>
      <c r="BC48" s="94" t="str">
        <f t="shared" si="334"/>
        <v/>
      </c>
      <c r="BD48" s="93"/>
      <c r="BE48" s="94" t="str">
        <f t="shared" si="233"/>
        <v/>
      </c>
      <c r="BF48" s="94" t="str">
        <f t="shared" si="335"/>
        <v/>
      </c>
      <c r="BG48" s="93"/>
      <c r="BH48" s="94" t="str">
        <f t="shared" si="234"/>
        <v/>
      </c>
      <c r="BI48" s="94" t="str">
        <f t="shared" si="336"/>
        <v/>
      </c>
      <c r="BJ48" s="93"/>
      <c r="BK48" s="94" t="str">
        <f t="shared" si="235"/>
        <v/>
      </c>
      <c r="BL48" s="94" t="str">
        <f t="shared" si="337"/>
        <v/>
      </c>
      <c r="BM48" s="93"/>
      <c r="BN48" s="94" t="str">
        <f t="shared" si="236"/>
        <v/>
      </c>
      <c r="BO48" s="94" t="str">
        <f t="shared" si="338"/>
        <v/>
      </c>
      <c r="BP48" s="66">
        <v>75</v>
      </c>
      <c r="BQ48" s="94">
        <f t="shared" si="237"/>
        <v>-0.70327506364420556</v>
      </c>
      <c r="BR48" s="94">
        <f t="shared" si="339"/>
        <v>0.16666666666666666</v>
      </c>
      <c r="BS48" s="93"/>
      <c r="BT48" s="94" t="str">
        <f t="shared" si="238"/>
        <v/>
      </c>
      <c r="BU48" s="94" t="str">
        <f t="shared" si="340"/>
        <v/>
      </c>
      <c r="BV48" s="93"/>
      <c r="BW48" s="94" t="str">
        <f t="shared" si="239"/>
        <v/>
      </c>
      <c r="BX48" s="94" t="str">
        <f t="shared" si="341"/>
        <v/>
      </c>
      <c r="BY48" s="93"/>
      <c r="BZ48" s="94" t="str">
        <f t="shared" si="240"/>
        <v/>
      </c>
      <c r="CA48" s="94" t="str">
        <f t="shared" si="342"/>
        <v/>
      </c>
      <c r="CB48" s="93"/>
      <c r="CC48" s="94" t="str">
        <f t="shared" si="241"/>
        <v/>
      </c>
      <c r="CD48" s="94" t="str">
        <f t="shared" si="343"/>
        <v/>
      </c>
      <c r="CE48" s="96"/>
      <c r="CF48" s="94" t="str">
        <f t="shared" si="242"/>
        <v/>
      </c>
      <c r="CG48" s="94" t="str">
        <f t="shared" si="344"/>
        <v/>
      </c>
      <c r="CH48" s="93"/>
      <c r="CI48" s="94" t="str">
        <f t="shared" si="243"/>
        <v/>
      </c>
      <c r="CJ48" s="94" t="str">
        <f t="shared" si="345"/>
        <v/>
      </c>
      <c r="CK48" s="272">
        <v>88</v>
      </c>
      <c r="CL48" s="94">
        <f t="shared" si="244"/>
        <v>0.1336306209562122</v>
      </c>
      <c r="CM48" s="94">
        <f t="shared" si="346"/>
        <v>0.25</v>
      </c>
      <c r="CN48" s="93"/>
      <c r="CO48" s="94" t="str">
        <f t="shared" si="245"/>
        <v/>
      </c>
      <c r="CP48" s="94" t="str">
        <f t="shared" si="347"/>
        <v/>
      </c>
      <c r="CQ48" s="93"/>
      <c r="CR48" s="94" t="str">
        <f t="shared" si="246"/>
        <v/>
      </c>
      <c r="CS48" s="94" t="str">
        <f t="shared" si="348"/>
        <v/>
      </c>
      <c r="CT48" s="114"/>
      <c r="CU48" s="94" t="str">
        <f t="shared" si="247"/>
        <v/>
      </c>
      <c r="CV48" s="94" t="str">
        <f t="shared" si="349"/>
        <v/>
      </c>
      <c r="CW48" s="93"/>
      <c r="CX48" s="94" t="str">
        <f t="shared" si="248"/>
        <v/>
      </c>
      <c r="CY48" s="94" t="str">
        <f t="shared" si="350"/>
        <v/>
      </c>
      <c r="CZ48" s="93">
        <v>79</v>
      </c>
      <c r="DA48" s="94">
        <f t="shared" si="249"/>
        <v>0.13249646692205161</v>
      </c>
      <c r="DB48" s="94">
        <f t="shared" si="351"/>
        <v>0.25</v>
      </c>
      <c r="DC48" s="93"/>
      <c r="DD48" s="94" t="str">
        <f t="shared" si="250"/>
        <v/>
      </c>
      <c r="DE48" s="94" t="str">
        <f t="shared" si="352"/>
        <v/>
      </c>
      <c r="DF48" s="96"/>
      <c r="DG48" s="94"/>
      <c r="DH48" s="94" t="str">
        <f t="shared" si="353"/>
        <v/>
      </c>
      <c r="DI48" s="93"/>
      <c r="DJ48" s="94" t="str">
        <f t="shared" si="251"/>
        <v/>
      </c>
      <c r="DK48" s="94" t="str">
        <f t="shared" si="354"/>
        <v/>
      </c>
      <c r="DL48" s="93"/>
      <c r="DM48" s="94" t="str">
        <f t="shared" si="252"/>
        <v/>
      </c>
      <c r="DN48" s="94" t="str">
        <f t="shared" si="355"/>
        <v/>
      </c>
      <c r="DO48" s="93"/>
      <c r="DP48" s="94" t="str">
        <f t="shared" si="253"/>
        <v/>
      </c>
      <c r="DQ48" s="94" t="str">
        <f t="shared" si="356"/>
        <v/>
      </c>
      <c r="DR48" s="93"/>
      <c r="DS48" s="94" t="str">
        <f t="shared" si="254"/>
        <v/>
      </c>
      <c r="DT48" s="94" t="str">
        <f t="shared" si="357"/>
        <v/>
      </c>
      <c r="DU48" s="93"/>
      <c r="DV48" s="94" t="str">
        <f t="shared" si="255"/>
        <v/>
      </c>
      <c r="DW48" s="94" t="str">
        <f t="shared" si="358"/>
        <v/>
      </c>
      <c r="DX48" s="93"/>
      <c r="DY48" s="94" t="str">
        <f t="shared" si="256"/>
        <v/>
      </c>
      <c r="DZ48" s="94" t="str">
        <f t="shared" si="359"/>
        <v/>
      </c>
      <c r="EA48" s="93"/>
      <c r="EB48" s="94" t="str">
        <f t="shared" si="257"/>
        <v/>
      </c>
      <c r="EC48" s="94" t="str">
        <f t="shared" si="360"/>
        <v/>
      </c>
      <c r="ED48" s="93"/>
      <c r="EE48" s="94" t="str">
        <f t="shared" si="258"/>
        <v/>
      </c>
      <c r="EF48" s="94" t="str">
        <f t="shared" si="361"/>
        <v/>
      </c>
      <c r="EG48" s="93"/>
      <c r="EH48" s="94" t="str">
        <f t="shared" si="259"/>
        <v/>
      </c>
      <c r="EI48" s="94" t="str">
        <f t="shared" si="362"/>
        <v/>
      </c>
      <c r="EJ48" s="93"/>
      <c r="EK48" s="94" t="str">
        <f t="shared" si="260"/>
        <v/>
      </c>
      <c r="EL48" s="94" t="str">
        <f t="shared" si="363"/>
        <v/>
      </c>
      <c r="EM48" s="114"/>
      <c r="EN48" s="94" t="str">
        <f t="shared" si="261"/>
        <v/>
      </c>
      <c r="EO48" s="94" t="str">
        <f t="shared" si="364"/>
        <v/>
      </c>
      <c r="EP48" s="93"/>
      <c r="EQ48" s="94" t="str">
        <f t="shared" si="262"/>
        <v/>
      </c>
      <c r="ER48" s="94" t="str">
        <f t="shared" si="365"/>
        <v/>
      </c>
      <c r="ES48" s="66"/>
      <c r="ET48" s="94" t="str">
        <f t="shared" si="263"/>
        <v/>
      </c>
      <c r="EU48" s="94" t="str">
        <f t="shared" si="366"/>
        <v/>
      </c>
      <c r="EV48" s="93"/>
      <c r="EW48" s="94" t="str">
        <f t="shared" si="264"/>
        <v/>
      </c>
      <c r="EX48" s="94" t="str">
        <f t="shared" si="367"/>
        <v/>
      </c>
      <c r="EY48" s="93"/>
      <c r="EZ48" s="94" t="str">
        <f t="shared" si="265"/>
        <v/>
      </c>
      <c r="FA48" s="94" t="str">
        <f t="shared" si="368"/>
        <v/>
      </c>
      <c r="FB48" s="93"/>
      <c r="FC48" s="94" t="str">
        <f t="shared" si="266"/>
        <v/>
      </c>
      <c r="FD48" s="94" t="str">
        <f t="shared" si="369"/>
        <v/>
      </c>
      <c r="FE48" s="93"/>
      <c r="FF48" s="94" t="str">
        <f t="shared" si="267"/>
        <v/>
      </c>
      <c r="FG48" s="94" t="str">
        <f t="shared" si="370"/>
        <v/>
      </c>
      <c r="FH48" s="93"/>
      <c r="FI48" s="94" t="str">
        <f t="shared" si="268"/>
        <v/>
      </c>
      <c r="FJ48" s="94" t="str">
        <f t="shared" si="371"/>
        <v/>
      </c>
      <c r="FK48" s="93"/>
      <c r="FL48" s="94" t="str">
        <f t="shared" si="269"/>
        <v/>
      </c>
      <c r="FM48" s="94" t="str">
        <f t="shared" si="372"/>
        <v/>
      </c>
      <c r="FN48" s="93"/>
      <c r="FO48" s="94" t="str">
        <f t="shared" si="270"/>
        <v/>
      </c>
      <c r="FP48" s="94" t="str">
        <f t="shared" si="373"/>
        <v/>
      </c>
      <c r="FQ48" s="93"/>
      <c r="FR48" s="94" t="str">
        <f t="shared" si="271"/>
        <v/>
      </c>
      <c r="FS48" s="94" t="str">
        <f t="shared" si="374"/>
        <v/>
      </c>
      <c r="FT48" s="93">
        <v>86</v>
      </c>
      <c r="FU48" s="94">
        <f t="shared" si="272"/>
        <v>0.29640338308827868</v>
      </c>
      <c r="FV48" s="94">
        <f t="shared" si="375"/>
        <v>0.5</v>
      </c>
      <c r="FW48" s="96"/>
      <c r="FX48" s="94" t="str">
        <f t="shared" si="273"/>
        <v/>
      </c>
      <c r="FY48" s="94" t="str">
        <f t="shared" si="376"/>
        <v/>
      </c>
      <c r="FZ48" s="93"/>
      <c r="GA48" s="94" t="str">
        <f t="shared" si="274"/>
        <v/>
      </c>
      <c r="GB48" s="94" t="str">
        <f t="shared" si="377"/>
        <v/>
      </c>
      <c r="GC48" s="93"/>
      <c r="GD48" s="94" t="str">
        <f t="shared" si="275"/>
        <v/>
      </c>
      <c r="GE48" s="94" t="str">
        <f t="shared" si="378"/>
        <v/>
      </c>
      <c r="GF48" s="93"/>
      <c r="GG48" s="94" t="str">
        <f t="shared" si="276"/>
        <v/>
      </c>
      <c r="GH48" s="94" t="str">
        <f t="shared" si="379"/>
        <v/>
      </c>
      <c r="GI48" s="93"/>
      <c r="GJ48" s="94" t="str">
        <f t="shared" si="277"/>
        <v/>
      </c>
      <c r="GK48" s="94" t="str">
        <f t="shared" si="380"/>
        <v/>
      </c>
      <c r="GL48" s="93"/>
      <c r="GM48" s="94" t="str">
        <f t="shared" si="278"/>
        <v/>
      </c>
      <c r="GN48" s="94" t="str">
        <f t="shared" si="381"/>
        <v/>
      </c>
      <c r="GO48" s="93"/>
      <c r="GP48" s="94" t="str">
        <f t="shared" si="279"/>
        <v/>
      </c>
      <c r="GQ48" s="94" t="str">
        <f t="shared" si="382"/>
        <v/>
      </c>
      <c r="GR48" s="114"/>
      <c r="GS48" s="94" t="str">
        <f t="shared" si="280"/>
        <v/>
      </c>
      <c r="GT48" s="94" t="str">
        <f t="shared" si="383"/>
        <v/>
      </c>
      <c r="GU48" s="93"/>
      <c r="GV48" s="94" t="str">
        <f t="shared" si="281"/>
        <v/>
      </c>
      <c r="GW48" s="94" t="str">
        <f t="shared" si="384"/>
        <v/>
      </c>
      <c r="GX48" s="93"/>
      <c r="GY48" s="94" t="str">
        <f t="shared" si="282"/>
        <v/>
      </c>
      <c r="GZ48" s="94" t="str">
        <f t="shared" si="385"/>
        <v/>
      </c>
      <c r="HA48" s="93"/>
      <c r="HB48" s="94" t="str">
        <f t="shared" si="283"/>
        <v/>
      </c>
      <c r="HC48" s="94" t="str">
        <f t="shared" si="386"/>
        <v/>
      </c>
      <c r="HD48" s="93"/>
      <c r="HE48" s="94" t="str">
        <f t="shared" si="284"/>
        <v/>
      </c>
      <c r="HF48" s="94" t="str">
        <f t="shared" si="387"/>
        <v/>
      </c>
      <c r="HG48" s="93"/>
      <c r="HH48" s="94" t="str">
        <f t="shared" si="285"/>
        <v/>
      </c>
      <c r="HI48" s="94" t="str">
        <f t="shared" si="388"/>
        <v/>
      </c>
      <c r="HJ48" s="93"/>
      <c r="HK48" s="94" t="str">
        <f t="shared" si="286"/>
        <v/>
      </c>
      <c r="HL48" s="94" t="str">
        <f t="shared" si="389"/>
        <v/>
      </c>
      <c r="HM48" s="93"/>
      <c r="HN48" s="94" t="str">
        <f t="shared" si="287"/>
        <v/>
      </c>
      <c r="HO48" s="94" t="str">
        <f t="shared" si="390"/>
        <v/>
      </c>
      <c r="HP48" s="96"/>
      <c r="HQ48" s="94" t="str">
        <f t="shared" si="288"/>
        <v/>
      </c>
      <c r="HR48" s="94" t="str">
        <f t="shared" si="391"/>
        <v/>
      </c>
      <c r="HS48" s="93"/>
      <c r="HT48" s="94" t="str">
        <f t="shared" si="289"/>
        <v/>
      </c>
      <c r="HU48" s="94" t="str">
        <f t="shared" si="392"/>
        <v/>
      </c>
      <c r="HV48" s="93"/>
      <c r="HW48" s="94" t="str">
        <f t="shared" si="290"/>
        <v/>
      </c>
      <c r="HX48" s="94" t="str">
        <f t="shared" si="393"/>
        <v/>
      </c>
      <c r="HY48" s="93"/>
      <c r="HZ48" s="94" t="str">
        <f t="shared" si="291"/>
        <v/>
      </c>
      <c r="IA48" s="94" t="str">
        <f t="shared" si="394"/>
        <v/>
      </c>
      <c r="IB48" s="93"/>
      <c r="IC48" s="94" t="str">
        <f t="shared" si="292"/>
        <v/>
      </c>
      <c r="ID48" s="94" t="str">
        <f t="shared" si="395"/>
        <v/>
      </c>
      <c r="IE48" s="93"/>
      <c r="IF48" s="94" t="str">
        <f t="shared" si="293"/>
        <v/>
      </c>
      <c r="IG48" s="94" t="str">
        <f t="shared" si="396"/>
        <v/>
      </c>
      <c r="IH48" s="93"/>
      <c r="II48" s="94" t="str">
        <f t="shared" si="294"/>
        <v/>
      </c>
      <c r="IJ48" s="94" t="str">
        <f t="shared" si="397"/>
        <v/>
      </c>
      <c r="IK48" s="93"/>
      <c r="IL48" s="94" t="str">
        <f t="shared" si="295"/>
        <v/>
      </c>
      <c r="IM48" s="94" t="str">
        <f t="shared" si="398"/>
        <v/>
      </c>
      <c r="IN48" s="93"/>
      <c r="IO48" s="94" t="str">
        <f t="shared" si="296"/>
        <v/>
      </c>
      <c r="IP48" s="94" t="str">
        <f t="shared" si="399"/>
        <v/>
      </c>
      <c r="IQ48" s="93"/>
      <c r="IR48" s="94" t="str">
        <f t="shared" si="297"/>
        <v/>
      </c>
      <c r="IS48" s="94" t="str">
        <f t="shared" si="400"/>
        <v/>
      </c>
      <c r="IT48" s="93"/>
      <c r="IU48" s="94" t="str">
        <f t="shared" si="298"/>
        <v/>
      </c>
      <c r="IV48" s="94" t="str">
        <f t="shared" si="401"/>
        <v/>
      </c>
      <c r="IW48" s="93"/>
      <c r="IX48" s="94" t="str">
        <f t="shared" si="299"/>
        <v/>
      </c>
      <c r="IY48" s="94" t="str">
        <f t="shared" si="402"/>
        <v/>
      </c>
      <c r="IZ48" s="93"/>
      <c r="JA48" s="94" t="str">
        <f t="shared" si="300"/>
        <v/>
      </c>
      <c r="JB48" s="94" t="str">
        <f t="shared" si="403"/>
        <v/>
      </c>
      <c r="JC48" s="93"/>
      <c r="JD48" s="94" t="str">
        <f t="shared" si="301"/>
        <v/>
      </c>
      <c r="JE48" s="94" t="str">
        <f t="shared" si="404"/>
        <v/>
      </c>
      <c r="JF48" s="93"/>
      <c r="JG48" s="94" t="str">
        <f t="shared" si="302"/>
        <v/>
      </c>
      <c r="JH48" s="94" t="str">
        <f t="shared" si="405"/>
        <v/>
      </c>
      <c r="JI48" s="93"/>
      <c r="JJ48" s="94" t="str">
        <f t="shared" si="303"/>
        <v/>
      </c>
      <c r="JK48" s="94" t="str">
        <f t="shared" si="406"/>
        <v/>
      </c>
      <c r="JL48" s="93"/>
      <c r="JM48" s="94" t="str">
        <f t="shared" si="304"/>
        <v/>
      </c>
      <c r="JN48" s="94" t="str">
        <f t="shared" si="407"/>
        <v/>
      </c>
      <c r="JO48" s="93"/>
      <c r="JP48" s="94" t="str">
        <f t="shared" si="305"/>
        <v/>
      </c>
      <c r="JQ48" s="94" t="str">
        <f t="shared" si="408"/>
        <v/>
      </c>
      <c r="JR48" s="93"/>
      <c r="JS48" s="94" t="str">
        <f t="shared" si="306"/>
        <v/>
      </c>
      <c r="JT48" s="94" t="str">
        <f t="shared" si="409"/>
        <v/>
      </c>
      <c r="JU48" s="93"/>
      <c r="JV48" s="94" t="str">
        <f t="shared" si="307"/>
        <v/>
      </c>
      <c r="JW48" s="94" t="str">
        <f t="shared" si="410"/>
        <v/>
      </c>
      <c r="JX48" s="93"/>
      <c r="JY48" s="94" t="str">
        <f t="shared" si="308"/>
        <v/>
      </c>
      <c r="JZ48" s="94" t="str">
        <f t="shared" si="411"/>
        <v/>
      </c>
      <c r="KA48" s="93"/>
      <c r="KB48" s="94" t="str">
        <f t="shared" si="309"/>
        <v/>
      </c>
      <c r="KC48" s="94" t="str">
        <f t="shared" si="412"/>
        <v/>
      </c>
      <c r="KD48" s="93"/>
      <c r="KE48" s="94" t="str">
        <f t="shared" si="310"/>
        <v/>
      </c>
      <c r="KF48" s="94" t="str">
        <f t="shared" si="413"/>
        <v/>
      </c>
      <c r="KG48" s="93"/>
      <c r="KH48" s="94" t="str">
        <f t="shared" si="311"/>
        <v/>
      </c>
      <c r="KI48" s="94" t="str">
        <f t="shared" si="414"/>
        <v/>
      </c>
      <c r="KJ48" s="93"/>
      <c r="KK48" s="94" t="str">
        <f t="shared" si="312"/>
        <v/>
      </c>
      <c r="KL48" s="94" t="str">
        <f t="shared" si="415"/>
        <v/>
      </c>
      <c r="KM48" s="93"/>
      <c r="KN48" s="94" t="str">
        <f t="shared" si="313"/>
        <v/>
      </c>
      <c r="KO48" s="94" t="str">
        <f t="shared" si="416"/>
        <v/>
      </c>
      <c r="KP48" s="93"/>
      <c r="KQ48" s="94" t="str">
        <f t="shared" si="314"/>
        <v/>
      </c>
      <c r="KR48" s="94" t="str">
        <f t="shared" si="417"/>
        <v/>
      </c>
      <c r="KS48" s="93"/>
      <c r="KT48" s="94" t="str">
        <f t="shared" si="315"/>
        <v/>
      </c>
      <c r="KU48" s="94" t="str">
        <f t="shared" si="418"/>
        <v/>
      </c>
      <c r="KV48" s="93"/>
      <c r="KW48" s="94" t="str">
        <f t="shared" si="316"/>
        <v/>
      </c>
      <c r="KX48" s="94" t="str">
        <f t="shared" si="419"/>
        <v/>
      </c>
      <c r="KY48" s="96"/>
      <c r="KZ48" s="94" t="str">
        <f t="shared" si="317"/>
        <v/>
      </c>
      <c r="LA48" s="94" t="str">
        <f t="shared" si="420"/>
        <v/>
      </c>
      <c r="LB48" s="65">
        <f t="shared" si="218"/>
        <v>85.6</v>
      </c>
      <c r="LC48" s="115">
        <f t="shared" si="421"/>
        <v>36</v>
      </c>
      <c r="LD48" s="65">
        <f t="shared" si="207"/>
        <v>0.1501531886573905</v>
      </c>
      <c r="LE48" s="115">
        <f t="shared" si="422"/>
        <v>31</v>
      </c>
      <c r="LF48" s="65">
        <f t="shared" si="208"/>
        <v>0.4333333333333334</v>
      </c>
      <c r="LG48" s="115">
        <f t="shared" si="423"/>
        <v>38</v>
      </c>
      <c r="LH48" s="69">
        <f t="shared" si="318"/>
        <v>43.201754385964911</v>
      </c>
      <c r="LI48" s="69">
        <f t="shared" si="319"/>
        <v>41.250499085734553</v>
      </c>
      <c r="LJ48" s="69">
        <f t="shared" si="320"/>
        <v>35.833333333333336</v>
      </c>
      <c r="LK48" s="69">
        <f t="shared" si="424"/>
        <v>70.285586805032807</v>
      </c>
      <c r="LL48" s="71">
        <f t="shared" si="425"/>
        <v>36</v>
      </c>
      <c r="LM48" s="68"/>
      <c r="LN48" s="72">
        <f t="shared" ref="LN48:LN50" si="426">IFERROR(RANK(LK48,(LK$47:LK$50),0),"")</f>
        <v>2</v>
      </c>
      <c r="LO48" s="72">
        <f t="shared" si="214"/>
        <v>36</v>
      </c>
      <c r="LP48" s="68"/>
      <c r="LQ48" s="68"/>
      <c r="LR48" s="68"/>
    </row>
    <row r="49" spans="1:334" s="74" customFormat="1" ht="15" customHeight="1">
      <c r="A49" s="65">
        <f t="shared" si="211"/>
        <v>5</v>
      </c>
      <c r="B49" s="65">
        <f t="shared" si="212"/>
        <v>5</v>
      </c>
      <c r="C49" s="117">
        <v>31</v>
      </c>
      <c r="D49" s="121" t="s">
        <v>247</v>
      </c>
      <c r="E49" s="120" t="s">
        <v>654</v>
      </c>
      <c r="F49" s="120"/>
      <c r="G49" s="120"/>
      <c r="H49" s="120" t="s">
        <v>13</v>
      </c>
      <c r="I49" s="287" t="s">
        <v>570</v>
      </c>
      <c r="J49" s="120" t="s">
        <v>248</v>
      </c>
      <c r="K49" s="120" t="s">
        <v>6</v>
      </c>
      <c r="L49" s="67" t="s">
        <v>249</v>
      </c>
      <c r="M49" s="120" t="s">
        <v>35</v>
      </c>
      <c r="N49" s="93"/>
      <c r="O49" s="94" t="str">
        <f t="shared" si="219"/>
        <v/>
      </c>
      <c r="P49" s="94" t="str">
        <f t="shared" si="321"/>
        <v/>
      </c>
      <c r="Q49" s="93"/>
      <c r="R49" s="94" t="str">
        <f t="shared" si="220"/>
        <v/>
      </c>
      <c r="S49" s="94" t="str">
        <f t="shared" si="322"/>
        <v/>
      </c>
      <c r="T49" s="114"/>
      <c r="U49" s="94" t="str">
        <f t="shared" si="221"/>
        <v/>
      </c>
      <c r="V49" s="94" t="str">
        <f t="shared" si="323"/>
        <v/>
      </c>
      <c r="W49" s="93"/>
      <c r="X49" s="94" t="str">
        <f t="shared" si="222"/>
        <v/>
      </c>
      <c r="Y49" s="94" t="str">
        <f t="shared" si="324"/>
        <v/>
      </c>
      <c r="Z49" s="96"/>
      <c r="AA49" s="94" t="str">
        <f t="shared" si="223"/>
        <v/>
      </c>
      <c r="AB49" s="94" t="str">
        <f t="shared" si="325"/>
        <v/>
      </c>
      <c r="AC49" s="93"/>
      <c r="AD49" s="94" t="str">
        <f t="shared" si="224"/>
        <v/>
      </c>
      <c r="AE49" s="94" t="str">
        <f t="shared" si="326"/>
        <v/>
      </c>
      <c r="AF49" s="93"/>
      <c r="AG49" s="94" t="str">
        <f t="shared" si="225"/>
        <v/>
      </c>
      <c r="AH49" s="94" t="str">
        <f t="shared" si="327"/>
        <v/>
      </c>
      <c r="AI49" s="93"/>
      <c r="AJ49" s="94" t="str">
        <f t="shared" si="226"/>
        <v/>
      </c>
      <c r="AK49" s="94" t="str">
        <f t="shared" si="328"/>
        <v/>
      </c>
      <c r="AL49" s="93"/>
      <c r="AM49" s="94" t="str">
        <f t="shared" si="227"/>
        <v/>
      </c>
      <c r="AN49" s="94" t="str">
        <f t="shared" si="329"/>
        <v/>
      </c>
      <c r="AO49" s="93"/>
      <c r="AP49" s="94" t="str">
        <f t="shared" si="228"/>
        <v/>
      </c>
      <c r="AQ49" s="94" t="str">
        <f t="shared" si="330"/>
        <v/>
      </c>
      <c r="AR49" s="93">
        <v>94</v>
      </c>
      <c r="AS49" s="94">
        <f t="shared" si="229"/>
        <v>0.56132144857031363</v>
      </c>
      <c r="AT49" s="94">
        <f t="shared" si="331"/>
        <v>0.75</v>
      </c>
      <c r="AU49" s="93"/>
      <c r="AV49" s="94" t="str">
        <f t="shared" si="230"/>
        <v/>
      </c>
      <c r="AW49" s="94" t="str">
        <f t="shared" si="332"/>
        <v/>
      </c>
      <c r="AX49" s="93"/>
      <c r="AY49" s="94" t="str">
        <f t="shared" si="231"/>
        <v/>
      </c>
      <c r="AZ49" s="94" t="str">
        <f t="shared" si="333"/>
        <v/>
      </c>
      <c r="BA49" s="93"/>
      <c r="BB49" s="94" t="str">
        <f t="shared" si="232"/>
        <v/>
      </c>
      <c r="BC49" s="94" t="str">
        <f t="shared" si="334"/>
        <v/>
      </c>
      <c r="BD49" s="93"/>
      <c r="BE49" s="94" t="str">
        <f t="shared" si="233"/>
        <v/>
      </c>
      <c r="BF49" s="94" t="str">
        <f t="shared" si="335"/>
        <v/>
      </c>
      <c r="BG49" s="93"/>
      <c r="BH49" s="94" t="str">
        <f t="shared" si="234"/>
        <v/>
      </c>
      <c r="BI49" s="94" t="str">
        <f t="shared" si="336"/>
        <v/>
      </c>
      <c r="BJ49" s="93"/>
      <c r="BK49" s="94" t="str">
        <f t="shared" si="235"/>
        <v/>
      </c>
      <c r="BL49" s="94" t="str">
        <f t="shared" si="337"/>
        <v/>
      </c>
      <c r="BM49" s="93"/>
      <c r="BN49" s="94" t="str">
        <f t="shared" si="236"/>
        <v/>
      </c>
      <c r="BO49" s="94" t="str">
        <f t="shared" si="338"/>
        <v/>
      </c>
      <c r="BP49" s="66">
        <v>81</v>
      </c>
      <c r="BQ49" s="94">
        <f t="shared" si="237"/>
        <v>-0.30411894644073745</v>
      </c>
      <c r="BR49" s="94">
        <f t="shared" si="339"/>
        <v>0.33333333333333331</v>
      </c>
      <c r="BS49" s="93"/>
      <c r="BT49" s="94" t="str">
        <f t="shared" si="238"/>
        <v/>
      </c>
      <c r="BU49" s="94" t="str">
        <f t="shared" si="340"/>
        <v/>
      </c>
      <c r="BV49" s="93"/>
      <c r="BW49" s="94" t="str">
        <f t="shared" si="239"/>
        <v/>
      </c>
      <c r="BX49" s="94" t="str">
        <f t="shared" si="341"/>
        <v/>
      </c>
      <c r="BY49" s="93"/>
      <c r="BZ49" s="94" t="str">
        <f t="shared" si="240"/>
        <v/>
      </c>
      <c r="CA49" s="94" t="str">
        <f t="shared" si="342"/>
        <v/>
      </c>
      <c r="CB49" s="93"/>
      <c r="CC49" s="94" t="str">
        <f t="shared" si="241"/>
        <v/>
      </c>
      <c r="CD49" s="94" t="str">
        <f t="shared" si="343"/>
        <v/>
      </c>
      <c r="CE49" s="93"/>
      <c r="CF49" s="94" t="str">
        <f t="shared" si="242"/>
        <v/>
      </c>
      <c r="CG49" s="94" t="str">
        <f t="shared" si="344"/>
        <v/>
      </c>
      <c r="CH49" s="114"/>
      <c r="CI49" s="94" t="str">
        <f t="shared" si="243"/>
        <v/>
      </c>
      <c r="CJ49" s="94" t="str">
        <f t="shared" si="345"/>
        <v/>
      </c>
      <c r="CK49" s="272">
        <v>92</v>
      </c>
      <c r="CL49" s="94">
        <f t="shared" si="244"/>
        <v>0.40089186286863659</v>
      </c>
      <c r="CM49" s="94">
        <f t="shared" si="346"/>
        <v>0.75</v>
      </c>
      <c r="CN49" s="93"/>
      <c r="CO49" s="94" t="str">
        <f t="shared" si="245"/>
        <v/>
      </c>
      <c r="CP49" s="94" t="str">
        <f t="shared" si="347"/>
        <v/>
      </c>
      <c r="CQ49" s="93"/>
      <c r="CR49" s="94" t="str">
        <f t="shared" si="246"/>
        <v/>
      </c>
      <c r="CS49" s="94" t="str">
        <f t="shared" si="348"/>
        <v/>
      </c>
      <c r="CT49" s="114"/>
      <c r="CU49" s="94" t="str">
        <f t="shared" si="247"/>
        <v/>
      </c>
      <c r="CV49" s="94" t="str">
        <f t="shared" si="349"/>
        <v/>
      </c>
      <c r="CW49" s="93"/>
      <c r="CX49" s="94" t="str">
        <f t="shared" si="248"/>
        <v/>
      </c>
      <c r="CY49" s="94" t="str">
        <f t="shared" si="350"/>
        <v/>
      </c>
      <c r="CZ49" s="93">
        <v>85</v>
      </c>
      <c r="DA49" s="94">
        <f t="shared" si="249"/>
        <v>0.49385046761855556</v>
      </c>
      <c r="DB49" s="94">
        <f t="shared" si="351"/>
        <v>0.75</v>
      </c>
      <c r="DC49" s="93"/>
      <c r="DD49" s="94" t="str">
        <f t="shared" si="250"/>
        <v/>
      </c>
      <c r="DE49" s="94" t="str">
        <f t="shared" si="352"/>
        <v/>
      </c>
      <c r="DF49" s="93"/>
      <c r="DG49" s="94"/>
      <c r="DH49" s="94" t="str">
        <f t="shared" si="353"/>
        <v/>
      </c>
      <c r="DI49" s="93"/>
      <c r="DJ49" s="94" t="str">
        <f t="shared" si="251"/>
        <v/>
      </c>
      <c r="DK49" s="94" t="str">
        <f t="shared" si="354"/>
        <v/>
      </c>
      <c r="DL49" s="93"/>
      <c r="DM49" s="94" t="str">
        <f t="shared" si="252"/>
        <v/>
      </c>
      <c r="DN49" s="94" t="str">
        <f t="shared" si="355"/>
        <v/>
      </c>
      <c r="DO49" s="93"/>
      <c r="DP49" s="94" t="str">
        <f t="shared" si="253"/>
        <v/>
      </c>
      <c r="DQ49" s="94" t="str">
        <f t="shared" si="356"/>
        <v/>
      </c>
      <c r="DR49" s="93"/>
      <c r="DS49" s="94" t="str">
        <f t="shared" si="254"/>
        <v/>
      </c>
      <c r="DT49" s="94" t="str">
        <f t="shared" si="357"/>
        <v/>
      </c>
      <c r="DU49" s="93"/>
      <c r="DV49" s="94" t="str">
        <f t="shared" si="255"/>
        <v/>
      </c>
      <c r="DW49" s="94" t="str">
        <f t="shared" si="358"/>
        <v/>
      </c>
      <c r="DX49" s="93"/>
      <c r="DY49" s="94" t="str">
        <f t="shared" si="256"/>
        <v/>
      </c>
      <c r="DZ49" s="94" t="str">
        <f t="shared" si="359"/>
        <v/>
      </c>
      <c r="EA49" s="93"/>
      <c r="EB49" s="94" t="str">
        <f t="shared" si="257"/>
        <v/>
      </c>
      <c r="EC49" s="94" t="str">
        <f t="shared" si="360"/>
        <v/>
      </c>
      <c r="ED49" s="93"/>
      <c r="EE49" s="94" t="str">
        <f t="shared" si="258"/>
        <v/>
      </c>
      <c r="EF49" s="94" t="str">
        <f t="shared" si="361"/>
        <v/>
      </c>
      <c r="EG49" s="93"/>
      <c r="EH49" s="94" t="str">
        <f t="shared" si="259"/>
        <v/>
      </c>
      <c r="EI49" s="94" t="str">
        <f t="shared" si="362"/>
        <v/>
      </c>
      <c r="EJ49" s="93"/>
      <c r="EK49" s="94" t="str">
        <f t="shared" si="260"/>
        <v/>
      </c>
      <c r="EL49" s="94" t="str">
        <f t="shared" si="363"/>
        <v/>
      </c>
      <c r="EM49" s="93"/>
      <c r="EN49" s="94" t="str">
        <f t="shared" si="261"/>
        <v/>
      </c>
      <c r="EO49" s="94" t="str">
        <f t="shared" si="364"/>
        <v/>
      </c>
      <c r="EP49" s="93"/>
      <c r="EQ49" s="94" t="str">
        <f t="shared" si="262"/>
        <v/>
      </c>
      <c r="ER49" s="94" t="str">
        <f t="shared" si="365"/>
        <v/>
      </c>
      <c r="ES49" s="66"/>
      <c r="ET49" s="94" t="str">
        <f t="shared" si="263"/>
        <v/>
      </c>
      <c r="EU49" s="94" t="str">
        <f t="shared" si="366"/>
        <v/>
      </c>
      <c r="EV49" s="93"/>
      <c r="EW49" s="94" t="str">
        <f t="shared" si="264"/>
        <v/>
      </c>
      <c r="EX49" s="94" t="str">
        <f t="shared" si="367"/>
        <v/>
      </c>
      <c r="EY49" s="93"/>
      <c r="EZ49" s="94" t="str">
        <f t="shared" si="265"/>
        <v/>
      </c>
      <c r="FA49" s="94" t="str">
        <f t="shared" si="368"/>
        <v/>
      </c>
      <c r="FB49" s="93"/>
      <c r="FC49" s="94" t="str">
        <f t="shared" si="266"/>
        <v/>
      </c>
      <c r="FD49" s="94" t="str">
        <f t="shared" si="369"/>
        <v/>
      </c>
      <c r="FE49" s="93"/>
      <c r="FF49" s="94" t="str">
        <f t="shared" si="267"/>
        <v/>
      </c>
      <c r="FG49" s="94" t="str">
        <f t="shared" si="370"/>
        <v/>
      </c>
      <c r="FH49" s="93"/>
      <c r="FI49" s="94" t="str">
        <f t="shared" si="268"/>
        <v/>
      </c>
      <c r="FJ49" s="94" t="str">
        <f t="shared" si="371"/>
        <v/>
      </c>
      <c r="FK49" s="93"/>
      <c r="FL49" s="94" t="str">
        <f t="shared" si="269"/>
        <v/>
      </c>
      <c r="FM49" s="94" t="str">
        <f t="shared" si="372"/>
        <v/>
      </c>
      <c r="FN49" s="93"/>
      <c r="FO49" s="94" t="str">
        <f t="shared" si="270"/>
        <v/>
      </c>
      <c r="FP49" s="94" t="str">
        <f t="shared" si="373"/>
        <v/>
      </c>
      <c r="FQ49" s="93"/>
      <c r="FR49" s="94" t="str">
        <f t="shared" si="271"/>
        <v/>
      </c>
      <c r="FS49" s="94" t="str">
        <f t="shared" si="374"/>
        <v/>
      </c>
      <c r="FT49" s="93"/>
      <c r="FU49" s="94" t="str">
        <f t="shared" si="272"/>
        <v/>
      </c>
      <c r="FV49" s="94" t="str">
        <f t="shared" si="375"/>
        <v/>
      </c>
      <c r="FW49" s="96"/>
      <c r="FX49" s="94" t="str">
        <f t="shared" si="273"/>
        <v/>
      </c>
      <c r="FY49" s="94" t="str">
        <f t="shared" si="376"/>
        <v/>
      </c>
      <c r="FZ49" s="93"/>
      <c r="GA49" s="94" t="str">
        <f t="shared" si="274"/>
        <v/>
      </c>
      <c r="GB49" s="94" t="str">
        <f t="shared" si="377"/>
        <v/>
      </c>
      <c r="GC49" s="93"/>
      <c r="GD49" s="94" t="str">
        <f t="shared" si="275"/>
        <v/>
      </c>
      <c r="GE49" s="94" t="str">
        <f t="shared" si="378"/>
        <v/>
      </c>
      <c r="GF49" s="93"/>
      <c r="GG49" s="94" t="str">
        <f t="shared" si="276"/>
        <v/>
      </c>
      <c r="GH49" s="94" t="str">
        <f t="shared" si="379"/>
        <v/>
      </c>
      <c r="GI49" s="93"/>
      <c r="GJ49" s="94" t="str">
        <f t="shared" si="277"/>
        <v/>
      </c>
      <c r="GK49" s="94" t="str">
        <f t="shared" si="380"/>
        <v/>
      </c>
      <c r="GL49" s="93"/>
      <c r="GM49" s="94" t="str">
        <f t="shared" si="278"/>
        <v/>
      </c>
      <c r="GN49" s="94" t="str">
        <f t="shared" si="381"/>
        <v/>
      </c>
      <c r="GO49" s="114"/>
      <c r="GP49" s="94" t="str">
        <f t="shared" si="279"/>
        <v/>
      </c>
      <c r="GQ49" s="94" t="str">
        <f t="shared" si="382"/>
        <v/>
      </c>
      <c r="GR49" s="93"/>
      <c r="GS49" s="94" t="str">
        <f t="shared" si="280"/>
        <v/>
      </c>
      <c r="GT49" s="94" t="str">
        <f t="shared" si="383"/>
        <v/>
      </c>
      <c r="GU49" s="93"/>
      <c r="GV49" s="94" t="str">
        <f t="shared" si="281"/>
        <v/>
      </c>
      <c r="GW49" s="94" t="str">
        <f t="shared" si="384"/>
        <v/>
      </c>
      <c r="GX49" s="93"/>
      <c r="GY49" s="94" t="str">
        <f t="shared" si="282"/>
        <v/>
      </c>
      <c r="GZ49" s="94" t="str">
        <f t="shared" si="385"/>
        <v/>
      </c>
      <c r="HA49" s="93"/>
      <c r="HB49" s="94" t="str">
        <f t="shared" si="283"/>
        <v/>
      </c>
      <c r="HC49" s="94" t="str">
        <f t="shared" si="386"/>
        <v/>
      </c>
      <c r="HD49" s="93">
        <v>93</v>
      </c>
      <c r="HE49" s="94">
        <f t="shared" si="284"/>
        <v>1.3000478298555862</v>
      </c>
      <c r="HF49" s="94">
        <f t="shared" si="387"/>
        <v>1</v>
      </c>
      <c r="HG49" s="93"/>
      <c r="HH49" s="94" t="str">
        <f t="shared" si="285"/>
        <v/>
      </c>
      <c r="HI49" s="94" t="str">
        <f t="shared" si="388"/>
        <v/>
      </c>
      <c r="HJ49" s="93"/>
      <c r="HK49" s="94" t="str">
        <f t="shared" si="286"/>
        <v/>
      </c>
      <c r="HL49" s="94" t="str">
        <f t="shared" si="389"/>
        <v/>
      </c>
      <c r="HM49" s="114"/>
      <c r="HN49" s="94" t="str">
        <f t="shared" si="287"/>
        <v/>
      </c>
      <c r="HO49" s="94" t="str">
        <f t="shared" si="390"/>
        <v/>
      </c>
      <c r="HP49" s="96"/>
      <c r="HQ49" s="94" t="str">
        <f t="shared" si="288"/>
        <v/>
      </c>
      <c r="HR49" s="94" t="str">
        <f t="shared" si="391"/>
        <v/>
      </c>
      <c r="HS49" s="93"/>
      <c r="HT49" s="94" t="str">
        <f t="shared" si="289"/>
        <v/>
      </c>
      <c r="HU49" s="94" t="str">
        <f t="shared" si="392"/>
        <v/>
      </c>
      <c r="HV49" s="93"/>
      <c r="HW49" s="94" t="str">
        <f t="shared" si="290"/>
        <v/>
      </c>
      <c r="HX49" s="94" t="str">
        <f t="shared" si="393"/>
        <v/>
      </c>
      <c r="HY49" s="93"/>
      <c r="HZ49" s="94" t="str">
        <f t="shared" si="291"/>
        <v/>
      </c>
      <c r="IA49" s="94" t="str">
        <f t="shared" si="394"/>
        <v/>
      </c>
      <c r="IB49" s="93"/>
      <c r="IC49" s="94" t="str">
        <f t="shared" si="292"/>
        <v/>
      </c>
      <c r="ID49" s="94" t="str">
        <f t="shared" si="395"/>
        <v/>
      </c>
      <c r="IE49" s="93"/>
      <c r="IF49" s="94" t="str">
        <f t="shared" si="293"/>
        <v/>
      </c>
      <c r="IG49" s="94" t="str">
        <f t="shared" si="396"/>
        <v/>
      </c>
      <c r="IH49" s="93"/>
      <c r="II49" s="94" t="str">
        <f t="shared" si="294"/>
        <v/>
      </c>
      <c r="IJ49" s="94" t="str">
        <f t="shared" si="397"/>
        <v/>
      </c>
      <c r="IK49" s="93"/>
      <c r="IL49" s="94" t="str">
        <f t="shared" si="295"/>
        <v/>
      </c>
      <c r="IM49" s="94" t="str">
        <f t="shared" si="398"/>
        <v/>
      </c>
      <c r="IN49" s="93"/>
      <c r="IO49" s="94" t="str">
        <f t="shared" si="296"/>
        <v/>
      </c>
      <c r="IP49" s="94" t="str">
        <f t="shared" si="399"/>
        <v/>
      </c>
      <c r="IQ49" s="93"/>
      <c r="IR49" s="94" t="str">
        <f t="shared" si="297"/>
        <v/>
      </c>
      <c r="IS49" s="94" t="str">
        <f t="shared" si="400"/>
        <v/>
      </c>
      <c r="IT49" s="93"/>
      <c r="IU49" s="94" t="str">
        <f t="shared" si="298"/>
        <v/>
      </c>
      <c r="IV49" s="94" t="str">
        <f t="shared" si="401"/>
        <v/>
      </c>
      <c r="IW49" s="93"/>
      <c r="IX49" s="94" t="str">
        <f t="shared" si="299"/>
        <v/>
      </c>
      <c r="IY49" s="94" t="str">
        <f t="shared" si="402"/>
        <v/>
      </c>
      <c r="IZ49" s="93"/>
      <c r="JA49" s="94" t="str">
        <f t="shared" si="300"/>
        <v/>
      </c>
      <c r="JB49" s="94" t="str">
        <f t="shared" si="403"/>
        <v/>
      </c>
      <c r="JC49" s="93"/>
      <c r="JD49" s="94" t="str">
        <f t="shared" si="301"/>
        <v/>
      </c>
      <c r="JE49" s="94" t="str">
        <f t="shared" si="404"/>
        <v/>
      </c>
      <c r="JF49" s="93"/>
      <c r="JG49" s="94" t="str">
        <f t="shared" si="302"/>
        <v/>
      </c>
      <c r="JH49" s="94" t="str">
        <f t="shared" si="405"/>
        <v/>
      </c>
      <c r="JI49" s="93"/>
      <c r="JJ49" s="94" t="str">
        <f t="shared" si="303"/>
        <v/>
      </c>
      <c r="JK49" s="94" t="str">
        <f t="shared" si="406"/>
        <v/>
      </c>
      <c r="JL49" s="93"/>
      <c r="JM49" s="94" t="str">
        <f t="shared" si="304"/>
        <v/>
      </c>
      <c r="JN49" s="94" t="str">
        <f t="shared" si="407"/>
        <v/>
      </c>
      <c r="JO49" s="93"/>
      <c r="JP49" s="94" t="str">
        <f t="shared" si="305"/>
        <v/>
      </c>
      <c r="JQ49" s="94" t="str">
        <f t="shared" si="408"/>
        <v/>
      </c>
      <c r="JR49" s="93"/>
      <c r="JS49" s="94" t="str">
        <f t="shared" si="306"/>
        <v/>
      </c>
      <c r="JT49" s="94" t="str">
        <f t="shared" si="409"/>
        <v/>
      </c>
      <c r="JU49" s="93"/>
      <c r="JV49" s="94" t="str">
        <f t="shared" si="307"/>
        <v/>
      </c>
      <c r="JW49" s="94" t="str">
        <f t="shared" si="410"/>
        <v/>
      </c>
      <c r="JX49" s="93"/>
      <c r="JY49" s="94" t="str">
        <f t="shared" si="308"/>
        <v/>
      </c>
      <c r="JZ49" s="94" t="str">
        <f t="shared" si="411"/>
        <v/>
      </c>
      <c r="KA49" s="93"/>
      <c r="KB49" s="94" t="str">
        <f t="shared" si="309"/>
        <v/>
      </c>
      <c r="KC49" s="94" t="str">
        <f t="shared" si="412"/>
        <v/>
      </c>
      <c r="KD49" s="93"/>
      <c r="KE49" s="94" t="str">
        <f t="shared" si="310"/>
        <v/>
      </c>
      <c r="KF49" s="94" t="str">
        <f t="shared" si="413"/>
        <v/>
      </c>
      <c r="KG49" s="93"/>
      <c r="KH49" s="94" t="str">
        <f t="shared" si="311"/>
        <v/>
      </c>
      <c r="KI49" s="94" t="str">
        <f t="shared" si="414"/>
        <v/>
      </c>
      <c r="KJ49" s="93"/>
      <c r="KK49" s="94" t="str">
        <f t="shared" si="312"/>
        <v/>
      </c>
      <c r="KL49" s="94" t="str">
        <f t="shared" si="415"/>
        <v/>
      </c>
      <c r="KM49" s="93"/>
      <c r="KN49" s="94" t="str">
        <f t="shared" si="313"/>
        <v/>
      </c>
      <c r="KO49" s="94" t="str">
        <f t="shared" si="416"/>
        <v/>
      </c>
      <c r="KP49" s="93"/>
      <c r="KQ49" s="94" t="str">
        <f t="shared" si="314"/>
        <v/>
      </c>
      <c r="KR49" s="94" t="str">
        <f t="shared" si="417"/>
        <v/>
      </c>
      <c r="KS49" s="93"/>
      <c r="KT49" s="94" t="str">
        <f t="shared" si="315"/>
        <v/>
      </c>
      <c r="KU49" s="94" t="str">
        <f t="shared" si="418"/>
        <v/>
      </c>
      <c r="KV49" s="93"/>
      <c r="KW49" s="94" t="str">
        <f t="shared" si="316"/>
        <v/>
      </c>
      <c r="KX49" s="94" t="str">
        <f t="shared" si="419"/>
        <v/>
      </c>
      <c r="KY49" s="96"/>
      <c r="KZ49" s="94" t="str">
        <f t="shared" si="317"/>
        <v/>
      </c>
      <c r="LA49" s="94" t="str">
        <f t="shared" si="420"/>
        <v/>
      </c>
      <c r="LB49" s="65">
        <f t="shared" si="218"/>
        <v>89</v>
      </c>
      <c r="LC49" s="115">
        <f t="shared" si="421"/>
        <v>19</v>
      </c>
      <c r="LD49" s="65">
        <f t="shared" si="207"/>
        <v>0.49039853249447091</v>
      </c>
      <c r="LE49" s="115">
        <f t="shared" si="422"/>
        <v>19</v>
      </c>
      <c r="LF49" s="65">
        <f t="shared" si="208"/>
        <v>0.71666666666666656</v>
      </c>
      <c r="LG49" s="115">
        <f t="shared" si="423"/>
        <v>17</v>
      </c>
      <c r="LH49" s="69">
        <f t="shared" si="318"/>
        <v>45.065789473684212</v>
      </c>
      <c r="LI49" s="69">
        <f t="shared" si="319"/>
        <v>44.426876962598421</v>
      </c>
      <c r="LJ49" s="69">
        <f t="shared" si="320"/>
        <v>42.916666666666664</v>
      </c>
      <c r="LK49" s="69">
        <f t="shared" si="424"/>
        <v>82.40933310294929</v>
      </c>
      <c r="LL49" s="71">
        <f t="shared" si="425"/>
        <v>17</v>
      </c>
      <c r="LM49" s="68"/>
      <c r="LN49" s="72">
        <f t="shared" si="426"/>
        <v>1</v>
      </c>
      <c r="LO49" s="72">
        <f t="shared" si="214"/>
        <v>17</v>
      </c>
      <c r="LP49" s="68"/>
      <c r="LQ49" s="68"/>
      <c r="LR49" s="68"/>
    </row>
    <row r="50" spans="1:334" s="74" customFormat="1" ht="15" customHeight="1">
      <c r="A50" s="65">
        <f t="shared" si="211"/>
        <v>5</v>
      </c>
      <c r="B50" s="65">
        <f t="shared" si="212"/>
        <v>5</v>
      </c>
      <c r="C50" s="117">
        <v>25</v>
      </c>
      <c r="D50" s="121" t="s">
        <v>250</v>
      </c>
      <c r="E50" s="120" t="s">
        <v>655</v>
      </c>
      <c r="F50" s="120"/>
      <c r="G50" s="120"/>
      <c r="H50" s="120" t="s">
        <v>11</v>
      </c>
      <c r="I50" s="287" t="s">
        <v>571</v>
      </c>
      <c r="J50" s="120" t="s">
        <v>251</v>
      </c>
      <c r="K50" s="120" t="s">
        <v>6</v>
      </c>
      <c r="L50" s="67" t="s">
        <v>252</v>
      </c>
      <c r="M50" s="120" t="s">
        <v>35</v>
      </c>
      <c r="N50" s="93"/>
      <c r="O50" s="94" t="str">
        <f t="shared" si="219"/>
        <v/>
      </c>
      <c r="P50" s="94" t="str">
        <f t="shared" si="321"/>
        <v/>
      </c>
      <c r="Q50" s="93"/>
      <c r="R50" s="94" t="str">
        <f t="shared" si="220"/>
        <v/>
      </c>
      <c r="S50" s="94" t="str">
        <f t="shared" si="322"/>
        <v/>
      </c>
      <c r="T50" s="93"/>
      <c r="U50" s="94" t="str">
        <f t="shared" si="221"/>
        <v/>
      </c>
      <c r="V50" s="94" t="str">
        <f t="shared" si="323"/>
        <v/>
      </c>
      <c r="W50" s="93"/>
      <c r="X50" s="94" t="str">
        <f t="shared" si="222"/>
        <v/>
      </c>
      <c r="Y50" s="94" t="str">
        <f t="shared" si="324"/>
        <v/>
      </c>
      <c r="Z50" s="93"/>
      <c r="AA50" s="94" t="str">
        <f t="shared" si="223"/>
        <v/>
      </c>
      <c r="AB50" s="94" t="str">
        <f t="shared" si="325"/>
        <v/>
      </c>
      <c r="AC50" s="93"/>
      <c r="AD50" s="94" t="str">
        <f t="shared" si="224"/>
        <v/>
      </c>
      <c r="AE50" s="94" t="str">
        <f t="shared" si="326"/>
        <v/>
      </c>
      <c r="AF50" s="93"/>
      <c r="AG50" s="94" t="str">
        <f t="shared" si="225"/>
        <v/>
      </c>
      <c r="AH50" s="94" t="str">
        <f t="shared" si="327"/>
        <v/>
      </c>
      <c r="AI50" s="93"/>
      <c r="AJ50" s="94" t="str">
        <f t="shared" si="226"/>
        <v/>
      </c>
      <c r="AK50" s="94" t="str">
        <f t="shared" si="328"/>
        <v/>
      </c>
      <c r="AL50" s="93"/>
      <c r="AM50" s="94" t="str">
        <f t="shared" si="227"/>
        <v/>
      </c>
      <c r="AN50" s="94" t="str">
        <f t="shared" si="329"/>
        <v/>
      </c>
      <c r="AO50" s="114"/>
      <c r="AP50" s="94" t="str">
        <f t="shared" si="228"/>
        <v/>
      </c>
      <c r="AQ50" s="94" t="str">
        <f t="shared" si="330"/>
        <v/>
      </c>
      <c r="AR50" s="93">
        <v>80</v>
      </c>
      <c r="AS50" s="94">
        <f t="shared" si="229"/>
        <v>-0.20911975534972446</v>
      </c>
      <c r="AT50" s="94">
        <f t="shared" si="331"/>
        <v>0.25</v>
      </c>
      <c r="AU50" s="93"/>
      <c r="AV50" s="94" t="str">
        <f t="shared" si="230"/>
        <v/>
      </c>
      <c r="AW50" s="94" t="str">
        <f t="shared" si="332"/>
        <v/>
      </c>
      <c r="AX50" s="93"/>
      <c r="AY50" s="94" t="str">
        <f t="shared" si="231"/>
        <v/>
      </c>
      <c r="AZ50" s="94" t="str">
        <f t="shared" si="333"/>
        <v/>
      </c>
      <c r="BA50" s="93"/>
      <c r="BB50" s="94" t="str">
        <f t="shared" si="232"/>
        <v/>
      </c>
      <c r="BC50" s="94" t="str">
        <f t="shared" si="334"/>
        <v/>
      </c>
      <c r="BD50" s="93"/>
      <c r="BE50" s="94" t="str">
        <f t="shared" si="233"/>
        <v/>
      </c>
      <c r="BF50" s="94" t="str">
        <f t="shared" si="335"/>
        <v/>
      </c>
      <c r="BG50" s="93"/>
      <c r="BH50" s="94" t="str">
        <f t="shared" si="234"/>
        <v/>
      </c>
      <c r="BI50" s="94" t="str">
        <f t="shared" si="336"/>
        <v/>
      </c>
      <c r="BJ50" s="93"/>
      <c r="BK50" s="94" t="str">
        <f t="shared" si="235"/>
        <v/>
      </c>
      <c r="BL50" s="94" t="str">
        <f t="shared" si="337"/>
        <v/>
      </c>
      <c r="BM50" s="93"/>
      <c r="BN50" s="94" t="str">
        <f t="shared" si="236"/>
        <v/>
      </c>
      <c r="BO50" s="94" t="str">
        <f t="shared" si="338"/>
        <v/>
      </c>
      <c r="BP50" s="66">
        <v>59</v>
      </c>
      <c r="BQ50" s="94">
        <f t="shared" si="237"/>
        <v>-1.767691376186787</v>
      </c>
      <c r="BR50" s="94">
        <f t="shared" si="339"/>
        <v>0</v>
      </c>
      <c r="BS50" s="93"/>
      <c r="BT50" s="94" t="str">
        <f t="shared" si="238"/>
        <v/>
      </c>
      <c r="BU50" s="94" t="str">
        <f t="shared" si="340"/>
        <v/>
      </c>
      <c r="BV50" s="93"/>
      <c r="BW50" s="94" t="str">
        <f t="shared" si="239"/>
        <v/>
      </c>
      <c r="BX50" s="94" t="str">
        <f t="shared" si="341"/>
        <v/>
      </c>
      <c r="BY50" s="93"/>
      <c r="BZ50" s="94" t="str">
        <f t="shared" si="240"/>
        <v/>
      </c>
      <c r="CA50" s="94" t="str">
        <f t="shared" si="342"/>
        <v/>
      </c>
      <c r="CB50" s="93"/>
      <c r="CC50" s="94" t="str">
        <f t="shared" si="241"/>
        <v/>
      </c>
      <c r="CD50" s="94" t="str">
        <f t="shared" si="343"/>
        <v/>
      </c>
      <c r="CE50" s="93"/>
      <c r="CF50" s="94" t="str">
        <f t="shared" si="242"/>
        <v/>
      </c>
      <c r="CG50" s="94" t="str">
        <f t="shared" si="344"/>
        <v/>
      </c>
      <c r="CH50" s="114"/>
      <c r="CI50" s="94" t="str">
        <f t="shared" si="243"/>
        <v/>
      </c>
      <c r="CJ50" s="94" t="str">
        <f t="shared" si="345"/>
        <v/>
      </c>
      <c r="CK50" s="93"/>
      <c r="CL50" s="94" t="str">
        <f t="shared" si="244"/>
        <v/>
      </c>
      <c r="CM50" s="94" t="str">
        <f t="shared" si="346"/>
        <v/>
      </c>
      <c r="CN50" s="93"/>
      <c r="CO50" s="94" t="str">
        <f t="shared" si="245"/>
        <v/>
      </c>
      <c r="CP50" s="94" t="str">
        <f t="shared" si="347"/>
        <v/>
      </c>
      <c r="CQ50" s="93"/>
      <c r="CR50" s="94" t="str">
        <f t="shared" si="246"/>
        <v/>
      </c>
      <c r="CS50" s="94" t="str">
        <f t="shared" si="348"/>
        <v/>
      </c>
      <c r="CT50" s="114"/>
      <c r="CU50" s="94" t="str">
        <f t="shared" si="247"/>
        <v/>
      </c>
      <c r="CV50" s="94" t="str">
        <f t="shared" si="349"/>
        <v/>
      </c>
      <c r="CW50" s="93"/>
      <c r="CX50" s="94" t="str">
        <f t="shared" si="248"/>
        <v/>
      </c>
      <c r="CY50" s="94" t="str">
        <f t="shared" si="350"/>
        <v/>
      </c>
      <c r="CZ50" s="93">
        <v>90</v>
      </c>
      <c r="DA50" s="94">
        <f t="shared" si="249"/>
        <v>0.79497880153230882</v>
      </c>
      <c r="DB50" s="94">
        <f t="shared" si="351"/>
        <v>1</v>
      </c>
      <c r="DC50" s="93"/>
      <c r="DD50" s="94" t="str">
        <f t="shared" si="250"/>
        <v/>
      </c>
      <c r="DE50" s="94" t="str">
        <f t="shared" si="352"/>
        <v/>
      </c>
      <c r="DF50" s="93"/>
      <c r="DG50" s="94"/>
      <c r="DH50" s="94" t="str">
        <f t="shared" si="353"/>
        <v/>
      </c>
      <c r="DI50" s="93"/>
      <c r="DJ50" s="94" t="str">
        <f t="shared" si="251"/>
        <v/>
      </c>
      <c r="DK50" s="94" t="str">
        <f t="shared" si="354"/>
        <v/>
      </c>
      <c r="DL50" s="93"/>
      <c r="DM50" s="94" t="str">
        <f t="shared" si="252"/>
        <v/>
      </c>
      <c r="DN50" s="94" t="str">
        <f t="shared" si="355"/>
        <v/>
      </c>
      <c r="DO50" s="93"/>
      <c r="DP50" s="94" t="str">
        <f t="shared" si="253"/>
        <v/>
      </c>
      <c r="DQ50" s="94" t="str">
        <f t="shared" si="356"/>
        <v/>
      </c>
      <c r="DR50" s="93"/>
      <c r="DS50" s="94" t="str">
        <f t="shared" si="254"/>
        <v/>
      </c>
      <c r="DT50" s="94" t="str">
        <f t="shared" si="357"/>
        <v/>
      </c>
      <c r="DU50" s="93"/>
      <c r="DV50" s="94" t="str">
        <f t="shared" si="255"/>
        <v/>
      </c>
      <c r="DW50" s="94" t="str">
        <f t="shared" si="358"/>
        <v/>
      </c>
      <c r="DX50" s="93"/>
      <c r="DY50" s="94" t="str">
        <f t="shared" si="256"/>
        <v/>
      </c>
      <c r="DZ50" s="94" t="str">
        <f t="shared" si="359"/>
        <v/>
      </c>
      <c r="EA50" s="93"/>
      <c r="EB50" s="94" t="str">
        <f t="shared" si="257"/>
        <v/>
      </c>
      <c r="EC50" s="94" t="str">
        <f t="shared" si="360"/>
        <v/>
      </c>
      <c r="ED50" s="93"/>
      <c r="EE50" s="94" t="str">
        <f t="shared" si="258"/>
        <v/>
      </c>
      <c r="EF50" s="94" t="str">
        <f t="shared" si="361"/>
        <v/>
      </c>
      <c r="EG50" s="93"/>
      <c r="EH50" s="94" t="str">
        <f t="shared" si="259"/>
        <v/>
      </c>
      <c r="EI50" s="94" t="str">
        <f t="shared" si="362"/>
        <v/>
      </c>
      <c r="EJ50" s="93"/>
      <c r="EK50" s="94" t="str">
        <f t="shared" si="260"/>
        <v/>
      </c>
      <c r="EL50" s="94" t="str">
        <f t="shared" si="363"/>
        <v/>
      </c>
      <c r="EM50" s="93"/>
      <c r="EN50" s="94" t="str">
        <f t="shared" si="261"/>
        <v/>
      </c>
      <c r="EO50" s="94" t="str">
        <f t="shared" si="364"/>
        <v/>
      </c>
      <c r="EP50" s="93"/>
      <c r="EQ50" s="94" t="str">
        <f t="shared" si="262"/>
        <v/>
      </c>
      <c r="ER50" s="94" t="str">
        <f t="shared" si="365"/>
        <v/>
      </c>
      <c r="ES50" s="66"/>
      <c r="ET50" s="94" t="str">
        <f t="shared" si="263"/>
        <v/>
      </c>
      <c r="EU50" s="94" t="str">
        <f t="shared" si="366"/>
        <v/>
      </c>
      <c r="EV50" s="93"/>
      <c r="EW50" s="94" t="str">
        <f t="shared" si="264"/>
        <v/>
      </c>
      <c r="EX50" s="94" t="str">
        <f t="shared" si="367"/>
        <v/>
      </c>
      <c r="EY50" s="93"/>
      <c r="EZ50" s="94" t="str">
        <f t="shared" si="265"/>
        <v/>
      </c>
      <c r="FA50" s="94" t="str">
        <f t="shared" si="368"/>
        <v/>
      </c>
      <c r="FB50" s="93"/>
      <c r="FC50" s="94" t="str">
        <f t="shared" si="266"/>
        <v/>
      </c>
      <c r="FD50" s="94" t="str">
        <f t="shared" si="369"/>
        <v/>
      </c>
      <c r="FE50" s="93"/>
      <c r="FF50" s="94" t="str">
        <f t="shared" si="267"/>
        <v/>
      </c>
      <c r="FG50" s="94" t="str">
        <f t="shared" si="370"/>
        <v/>
      </c>
      <c r="FH50" s="96"/>
      <c r="FI50" s="94" t="str">
        <f t="shared" si="268"/>
        <v/>
      </c>
      <c r="FJ50" s="94" t="str">
        <f t="shared" si="371"/>
        <v/>
      </c>
      <c r="FK50" s="93"/>
      <c r="FL50" s="94" t="str">
        <f t="shared" si="269"/>
        <v/>
      </c>
      <c r="FM50" s="94" t="str">
        <f t="shared" si="372"/>
        <v/>
      </c>
      <c r="FN50" s="93"/>
      <c r="FO50" s="94" t="str">
        <f t="shared" si="270"/>
        <v/>
      </c>
      <c r="FP50" s="94" t="str">
        <f t="shared" si="373"/>
        <v/>
      </c>
      <c r="FQ50" s="93"/>
      <c r="FR50" s="94" t="str">
        <f t="shared" si="271"/>
        <v/>
      </c>
      <c r="FS50" s="94" t="str">
        <f t="shared" si="374"/>
        <v/>
      </c>
      <c r="FT50" s="93">
        <v>83</v>
      </c>
      <c r="FU50" s="94">
        <f t="shared" si="272"/>
        <v>0.17623984940384149</v>
      </c>
      <c r="FV50" s="94">
        <f t="shared" si="375"/>
        <v>0.25</v>
      </c>
      <c r="FW50" s="114"/>
      <c r="FX50" s="94" t="str">
        <f t="shared" si="273"/>
        <v/>
      </c>
      <c r="FY50" s="94" t="str">
        <f t="shared" si="376"/>
        <v/>
      </c>
      <c r="FZ50" s="93"/>
      <c r="GA50" s="94" t="str">
        <f t="shared" si="274"/>
        <v/>
      </c>
      <c r="GB50" s="94" t="str">
        <f t="shared" si="377"/>
        <v/>
      </c>
      <c r="GC50" s="93"/>
      <c r="GD50" s="94" t="str">
        <f t="shared" si="275"/>
        <v/>
      </c>
      <c r="GE50" s="94" t="str">
        <f t="shared" si="378"/>
        <v/>
      </c>
      <c r="GF50" s="93"/>
      <c r="GG50" s="94" t="str">
        <f t="shared" si="276"/>
        <v/>
      </c>
      <c r="GH50" s="94" t="str">
        <f t="shared" si="379"/>
        <v/>
      </c>
      <c r="GI50" s="93"/>
      <c r="GJ50" s="94" t="str">
        <f t="shared" si="277"/>
        <v/>
      </c>
      <c r="GK50" s="94" t="str">
        <f t="shared" si="380"/>
        <v/>
      </c>
      <c r="GL50" s="93"/>
      <c r="GM50" s="94" t="str">
        <f t="shared" si="278"/>
        <v/>
      </c>
      <c r="GN50" s="94" t="str">
        <f t="shared" si="381"/>
        <v/>
      </c>
      <c r="GO50" s="93"/>
      <c r="GP50" s="94" t="str">
        <f t="shared" si="279"/>
        <v/>
      </c>
      <c r="GQ50" s="94" t="str">
        <f t="shared" si="382"/>
        <v/>
      </c>
      <c r="GR50" s="93"/>
      <c r="GS50" s="94" t="str">
        <f t="shared" si="280"/>
        <v/>
      </c>
      <c r="GT50" s="94" t="str">
        <f t="shared" si="383"/>
        <v/>
      </c>
      <c r="GU50" s="96"/>
      <c r="GV50" s="94" t="str">
        <f t="shared" si="281"/>
        <v/>
      </c>
      <c r="GW50" s="94" t="str">
        <f t="shared" si="384"/>
        <v/>
      </c>
      <c r="GX50" s="93"/>
      <c r="GY50" s="94" t="str">
        <f t="shared" si="282"/>
        <v/>
      </c>
      <c r="GZ50" s="94" t="str">
        <f t="shared" si="385"/>
        <v/>
      </c>
      <c r="HA50" s="93"/>
      <c r="HB50" s="94" t="str">
        <f t="shared" si="283"/>
        <v/>
      </c>
      <c r="HC50" s="94" t="str">
        <f t="shared" si="386"/>
        <v/>
      </c>
      <c r="HD50" s="93">
        <v>72</v>
      </c>
      <c r="HE50" s="94">
        <f t="shared" si="284"/>
        <v>-0.49607088244489439</v>
      </c>
      <c r="HF50" s="94">
        <f t="shared" si="387"/>
        <v>0.5</v>
      </c>
      <c r="HG50" s="114"/>
      <c r="HH50" s="94" t="str">
        <f t="shared" si="285"/>
        <v/>
      </c>
      <c r="HI50" s="94" t="str">
        <f t="shared" si="388"/>
        <v/>
      </c>
      <c r="HJ50" s="93"/>
      <c r="HK50" s="94" t="str">
        <f t="shared" si="286"/>
        <v/>
      </c>
      <c r="HL50" s="94" t="str">
        <f t="shared" si="389"/>
        <v/>
      </c>
      <c r="HM50" s="93"/>
      <c r="HN50" s="94" t="str">
        <f t="shared" si="287"/>
        <v/>
      </c>
      <c r="HO50" s="94" t="str">
        <f t="shared" si="390"/>
        <v/>
      </c>
      <c r="HP50" s="93"/>
      <c r="HQ50" s="94" t="str">
        <f t="shared" si="288"/>
        <v/>
      </c>
      <c r="HR50" s="94" t="str">
        <f t="shared" si="391"/>
        <v/>
      </c>
      <c r="HS50" s="93"/>
      <c r="HT50" s="94" t="str">
        <f t="shared" si="289"/>
        <v/>
      </c>
      <c r="HU50" s="94" t="str">
        <f t="shared" si="392"/>
        <v/>
      </c>
      <c r="HV50" s="93"/>
      <c r="HW50" s="94" t="str">
        <f t="shared" si="290"/>
        <v/>
      </c>
      <c r="HX50" s="94" t="str">
        <f t="shared" si="393"/>
        <v/>
      </c>
      <c r="HY50" s="93"/>
      <c r="HZ50" s="94" t="str">
        <f t="shared" si="291"/>
        <v/>
      </c>
      <c r="IA50" s="94" t="str">
        <f t="shared" si="394"/>
        <v/>
      </c>
      <c r="IB50" s="93"/>
      <c r="IC50" s="94" t="str">
        <f t="shared" si="292"/>
        <v/>
      </c>
      <c r="ID50" s="94" t="str">
        <f t="shared" si="395"/>
        <v/>
      </c>
      <c r="IE50" s="93"/>
      <c r="IF50" s="94" t="str">
        <f t="shared" si="293"/>
        <v/>
      </c>
      <c r="IG50" s="94" t="str">
        <f t="shared" si="396"/>
        <v/>
      </c>
      <c r="IH50" s="93"/>
      <c r="II50" s="94" t="str">
        <f t="shared" si="294"/>
        <v/>
      </c>
      <c r="IJ50" s="94" t="str">
        <f t="shared" si="397"/>
        <v/>
      </c>
      <c r="IK50" s="93"/>
      <c r="IL50" s="94" t="str">
        <f t="shared" si="295"/>
        <v/>
      </c>
      <c r="IM50" s="94" t="str">
        <f t="shared" si="398"/>
        <v/>
      </c>
      <c r="IN50" s="93"/>
      <c r="IO50" s="94" t="str">
        <f t="shared" si="296"/>
        <v/>
      </c>
      <c r="IP50" s="94" t="str">
        <f t="shared" si="399"/>
        <v/>
      </c>
      <c r="IQ50" s="93"/>
      <c r="IR50" s="94" t="str">
        <f t="shared" si="297"/>
        <v/>
      </c>
      <c r="IS50" s="94" t="str">
        <f t="shared" si="400"/>
        <v/>
      </c>
      <c r="IT50" s="93"/>
      <c r="IU50" s="94" t="str">
        <f t="shared" si="298"/>
        <v/>
      </c>
      <c r="IV50" s="94" t="str">
        <f t="shared" si="401"/>
        <v/>
      </c>
      <c r="IW50" s="93"/>
      <c r="IX50" s="94" t="str">
        <f t="shared" si="299"/>
        <v/>
      </c>
      <c r="IY50" s="94" t="str">
        <f t="shared" si="402"/>
        <v/>
      </c>
      <c r="IZ50" s="93"/>
      <c r="JA50" s="94" t="str">
        <f t="shared" si="300"/>
        <v/>
      </c>
      <c r="JB50" s="94" t="str">
        <f t="shared" si="403"/>
        <v/>
      </c>
      <c r="JC50" s="93"/>
      <c r="JD50" s="94" t="str">
        <f t="shared" si="301"/>
        <v/>
      </c>
      <c r="JE50" s="94" t="str">
        <f t="shared" si="404"/>
        <v/>
      </c>
      <c r="JF50" s="93"/>
      <c r="JG50" s="94" t="str">
        <f t="shared" si="302"/>
        <v/>
      </c>
      <c r="JH50" s="94" t="str">
        <f t="shared" si="405"/>
        <v/>
      </c>
      <c r="JI50" s="93"/>
      <c r="JJ50" s="94" t="str">
        <f t="shared" si="303"/>
        <v/>
      </c>
      <c r="JK50" s="94" t="str">
        <f t="shared" si="406"/>
        <v/>
      </c>
      <c r="JL50" s="93"/>
      <c r="JM50" s="94" t="str">
        <f t="shared" si="304"/>
        <v/>
      </c>
      <c r="JN50" s="94" t="str">
        <f t="shared" si="407"/>
        <v/>
      </c>
      <c r="JO50" s="93"/>
      <c r="JP50" s="94" t="str">
        <f t="shared" si="305"/>
        <v/>
      </c>
      <c r="JQ50" s="94" t="str">
        <f t="shared" si="408"/>
        <v/>
      </c>
      <c r="JR50" s="93"/>
      <c r="JS50" s="94" t="str">
        <f t="shared" si="306"/>
        <v/>
      </c>
      <c r="JT50" s="94" t="str">
        <f t="shared" si="409"/>
        <v/>
      </c>
      <c r="JU50" s="93"/>
      <c r="JV50" s="94" t="str">
        <f t="shared" si="307"/>
        <v/>
      </c>
      <c r="JW50" s="94" t="str">
        <f t="shared" si="410"/>
        <v/>
      </c>
      <c r="JX50" s="93"/>
      <c r="JY50" s="94" t="str">
        <f t="shared" si="308"/>
        <v/>
      </c>
      <c r="JZ50" s="94" t="str">
        <f t="shared" si="411"/>
        <v/>
      </c>
      <c r="KA50" s="93"/>
      <c r="KB50" s="94" t="str">
        <f t="shared" si="309"/>
        <v/>
      </c>
      <c r="KC50" s="94" t="str">
        <f t="shared" si="412"/>
        <v/>
      </c>
      <c r="KD50" s="93"/>
      <c r="KE50" s="94" t="str">
        <f t="shared" si="310"/>
        <v/>
      </c>
      <c r="KF50" s="94" t="str">
        <f t="shared" si="413"/>
        <v/>
      </c>
      <c r="KG50" s="93"/>
      <c r="KH50" s="94" t="str">
        <f t="shared" si="311"/>
        <v/>
      </c>
      <c r="KI50" s="94" t="str">
        <f t="shared" si="414"/>
        <v/>
      </c>
      <c r="KJ50" s="93"/>
      <c r="KK50" s="94" t="str">
        <f t="shared" si="312"/>
        <v/>
      </c>
      <c r="KL50" s="94" t="str">
        <f t="shared" si="415"/>
        <v/>
      </c>
      <c r="KM50" s="93"/>
      <c r="KN50" s="94" t="str">
        <f t="shared" si="313"/>
        <v/>
      </c>
      <c r="KO50" s="94" t="str">
        <f t="shared" si="416"/>
        <v/>
      </c>
      <c r="KP50" s="93"/>
      <c r="KQ50" s="94" t="str">
        <f t="shared" si="314"/>
        <v/>
      </c>
      <c r="KR50" s="94" t="str">
        <f t="shared" si="417"/>
        <v/>
      </c>
      <c r="KS50" s="93"/>
      <c r="KT50" s="94" t="str">
        <f t="shared" si="315"/>
        <v/>
      </c>
      <c r="KU50" s="94" t="str">
        <f t="shared" si="418"/>
        <v/>
      </c>
      <c r="KV50" s="93"/>
      <c r="KW50" s="94" t="str">
        <f t="shared" si="316"/>
        <v/>
      </c>
      <c r="KX50" s="94" t="str">
        <f t="shared" si="419"/>
        <v/>
      </c>
      <c r="KY50" s="96"/>
      <c r="KZ50" s="94" t="str">
        <f t="shared" si="317"/>
        <v/>
      </c>
      <c r="LA50" s="94" t="str">
        <f t="shared" si="420"/>
        <v/>
      </c>
      <c r="LB50" s="65">
        <f t="shared" si="218"/>
        <v>76.8</v>
      </c>
      <c r="LC50" s="115">
        <f t="shared" si="421"/>
        <v>49</v>
      </c>
      <c r="LD50" s="65">
        <f t="shared" si="207"/>
        <v>-0.30033267260905105</v>
      </c>
      <c r="LE50" s="115">
        <f t="shared" si="422"/>
        <v>42</v>
      </c>
      <c r="LF50" s="65">
        <f t="shared" si="208"/>
        <v>0.4</v>
      </c>
      <c r="LG50" s="115">
        <f t="shared" si="423"/>
        <v>42</v>
      </c>
      <c r="LH50" s="69">
        <f t="shared" si="318"/>
        <v>38.377192982456137</v>
      </c>
      <c r="LI50" s="69">
        <f t="shared" si="319"/>
        <v>37.04496519824702</v>
      </c>
      <c r="LJ50" s="69">
        <f t="shared" si="320"/>
        <v>35</v>
      </c>
      <c r="LK50" s="69">
        <f t="shared" si="424"/>
        <v>60.42215818070315</v>
      </c>
      <c r="LL50" s="71">
        <f t="shared" si="425"/>
        <v>42</v>
      </c>
      <c r="LM50" s="68"/>
      <c r="LN50" s="72">
        <f t="shared" si="426"/>
        <v>3</v>
      </c>
      <c r="LO50" s="72">
        <f t="shared" si="214"/>
        <v>42</v>
      </c>
      <c r="LP50" s="68"/>
      <c r="LQ50" s="68"/>
      <c r="LR50" s="68"/>
    </row>
    <row r="51" spans="1:334" s="74" customFormat="1" ht="15" customHeight="1">
      <c r="A51" s="50">
        <f t="shared" si="211"/>
        <v>5</v>
      </c>
      <c r="B51" s="50">
        <f t="shared" si="212"/>
        <v>5</v>
      </c>
      <c r="C51" s="117">
        <v>61</v>
      </c>
      <c r="D51" s="118" t="s">
        <v>253</v>
      </c>
      <c r="E51" s="286" t="s">
        <v>656</v>
      </c>
      <c r="F51" s="76"/>
      <c r="G51" s="76"/>
      <c r="H51" s="119" t="s">
        <v>11</v>
      </c>
      <c r="I51" s="286" t="s">
        <v>572</v>
      </c>
      <c r="J51" s="119" t="s">
        <v>254</v>
      </c>
      <c r="K51" s="119" t="s">
        <v>255</v>
      </c>
      <c r="L51" s="53" t="s">
        <v>256</v>
      </c>
      <c r="M51" s="292" t="s">
        <v>35</v>
      </c>
      <c r="N51" s="86"/>
      <c r="O51" s="91" t="str">
        <f t="shared" si="219"/>
        <v/>
      </c>
      <c r="P51" s="85" t="str">
        <f t="shared" si="321"/>
        <v/>
      </c>
      <c r="Q51" s="86"/>
      <c r="R51" s="91" t="str">
        <f t="shared" si="220"/>
        <v/>
      </c>
      <c r="S51" s="85" t="str">
        <f t="shared" si="322"/>
        <v/>
      </c>
      <c r="T51" s="86"/>
      <c r="U51" s="91" t="str">
        <f t="shared" si="221"/>
        <v/>
      </c>
      <c r="V51" s="85" t="str">
        <f t="shared" si="323"/>
        <v/>
      </c>
      <c r="W51" s="86"/>
      <c r="X51" s="91" t="str">
        <f t="shared" si="222"/>
        <v/>
      </c>
      <c r="Y51" s="85" t="str">
        <f t="shared" si="324"/>
        <v/>
      </c>
      <c r="Z51" s="86"/>
      <c r="AA51" s="91" t="str">
        <f t="shared" si="223"/>
        <v/>
      </c>
      <c r="AB51" s="85" t="str">
        <f t="shared" si="325"/>
        <v/>
      </c>
      <c r="AC51" s="86"/>
      <c r="AD51" s="91" t="str">
        <f t="shared" si="224"/>
        <v/>
      </c>
      <c r="AE51" s="85" t="str">
        <f t="shared" si="326"/>
        <v/>
      </c>
      <c r="AF51" s="86"/>
      <c r="AG51" s="91" t="str">
        <f t="shared" si="225"/>
        <v/>
      </c>
      <c r="AH51" s="85" t="str">
        <f t="shared" si="327"/>
        <v/>
      </c>
      <c r="AI51" s="86"/>
      <c r="AJ51" s="91" t="str">
        <f t="shared" si="226"/>
        <v/>
      </c>
      <c r="AK51" s="85" t="str">
        <f t="shared" si="328"/>
        <v/>
      </c>
      <c r="AL51" s="86"/>
      <c r="AM51" s="91" t="str">
        <f t="shared" si="227"/>
        <v/>
      </c>
      <c r="AN51" s="85" t="str">
        <f t="shared" si="329"/>
        <v/>
      </c>
      <c r="AO51" s="86"/>
      <c r="AP51" s="91" t="str">
        <f t="shared" si="228"/>
        <v/>
      </c>
      <c r="AQ51" s="85" t="str">
        <f t="shared" si="330"/>
        <v/>
      </c>
      <c r="AR51" s="86"/>
      <c r="AS51" s="91" t="str">
        <f t="shared" si="229"/>
        <v/>
      </c>
      <c r="AT51" s="85" t="str">
        <f t="shared" si="331"/>
        <v/>
      </c>
      <c r="AU51" s="56"/>
      <c r="AV51" s="91" t="str">
        <f t="shared" si="230"/>
        <v/>
      </c>
      <c r="AW51" s="85" t="str">
        <f t="shared" si="332"/>
        <v/>
      </c>
      <c r="AX51" s="86"/>
      <c r="AY51" s="91" t="str">
        <f t="shared" si="231"/>
        <v/>
      </c>
      <c r="AZ51" s="85" t="str">
        <f t="shared" si="333"/>
        <v/>
      </c>
      <c r="BA51" s="86"/>
      <c r="BB51" s="91" t="str">
        <f t="shared" si="232"/>
        <v/>
      </c>
      <c r="BC51" s="85" t="str">
        <f t="shared" si="334"/>
        <v/>
      </c>
      <c r="BD51" s="86"/>
      <c r="BE51" s="91" t="str">
        <f t="shared" si="233"/>
        <v/>
      </c>
      <c r="BF51" s="85" t="str">
        <f t="shared" si="335"/>
        <v/>
      </c>
      <c r="BG51" s="86"/>
      <c r="BH51" s="91" t="str">
        <f t="shared" si="234"/>
        <v/>
      </c>
      <c r="BI51" s="85" t="str">
        <f t="shared" si="336"/>
        <v/>
      </c>
      <c r="BJ51" s="86"/>
      <c r="BK51" s="91" t="str">
        <f t="shared" si="235"/>
        <v/>
      </c>
      <c r="BL51" s="85" t="str">
        <f t="shared" si="337"/>
        <v/>
      </c>
      <c r="BM51" s="86">
        <v>96</v>
      </c>
      <c r="BN51" s="91">
        <f t="shared" si="236"/>
        <v>0.39562828403747313</v>
      </c>
      <c r="BO51" s="85">
        <f t="shared" si="338"/>
        <v>0.75</v>
      </c>
      <c r="BP51" s="51"/>
      <c r="BQ51" s="91" t="str">
        <f t="shared" si="237"/>
        <v/>
      </c>
      <c r="BR51" s="85" t="str">
        <f t="shared" si="339"/>
        <v/>
      </c>
      <c r="BS51" s="86"/>
      <c r="BT51" s="91" t="str">
        <f t="shared" si="238"/>
        <v/>
      </c>
      <c r="BU51" s="85" t="str">
        <f t="shared" si="340"/>
        <v/>
      </c>
      <c r="BV51" s="92"/>
      <c r="BW51" s="91" t="str">
        <f t="shared" si="239"/>
        <v/>
      </c>
      <c r="BX51" s="85" t="str">
        <f t="shared" si="341"/>
        <v/>
      </c>
      <c r="BY51" s="86"/>
      <c r="BZ51" s="91" t="str">
        <f t="shared" si="240"/>
        <v/>
      </c>
      <c r="CA51" s="85" t="str">
        <f t="shared" si="342"/>
        <v/>
      </c>
      <c r="CB51" s="86"/>
      <c r="CC51" s="91" t="str">
        <f t="shared" si="241"/>
        <v/>
      </c>
      <c r="CD51" s="85" t="str">
        <f t="shared" si="343"/>
        <v/>
      </c>
      <c r="CE51" s="86"/>
      <c r="CF51" s="91" t="str">
        <f t="shared" si="242"/>
        <v/>
      </c>
      <c r="CG51" s="85" t="str">
        <f t="shared" si="344"/>
        <v/>
      </c>
      <c r="CH51" s="56"/>
      <c r="CI51" s="91" t="str">
        <f t="shared" si="243"/>
        <v/>
      </c>
      <c r="CJ51" s="85" t="str">
        <f t="shared" si="345"/>
        <v/>
      </c>
      <c r="CK51" s="86">
        <v>98</v>
      </c>
      <c r="CL51" s="91">
        <f t="shared" si="244"/>
        <v>0.80178372573727319</v>
      </c>
      <c r="CM51" s="85">
        <f t="shared" si="346"/>
        <v>1</v>
      </c>
      <c r="CN51" s="86"/>
      <c r="CO51" s="91" t="str">
        <f t="shared" si="245"/>
        <v/>
      </c>
      <c r="CP51" s="85" t="str">
        <f t="shared" si="347"/>
        <v/>
      </c>
      <c r="CQ51" s="86">
        <v>100</v>
      </c>
      <c r="CR51" s="91">
        <f t="shared" si="246"/>
        <v>0.77067463558845317</v>
      </c>
      <c r="CS51" s="85">
        <f t="shared" si="348"/>
        <v>1</v>
      </c>
      <c r="CT51" s="86"/>
      <c r="CU51" s="91" t="str">
        <f t="shared" si="247"/>
        <v/>
      </c>
      <c r="CV51" s="85" t="str">
        <f t="shared" si="349"/>
        <v/>
      </c>
      <c r="CW51" s="86"/>
      <c r="CX51" s="91" t="str">
        <f t="shared" si="248"/>
        <v/>
      </c>
      <c r="CY51" s="85" t="str">
        <f t="shared" si="350"/>
        <v/>
      </c>
      <c r="CZ51" s="86"/>
      <c r="DA51" s="91" t="str">
        <f t="shared" si="249"/>
        <v/>
      </c>
      <c r="DB51" s="85" t="str">
        <f t="shared" si="351"/>
        <v/>
      </c>
      <c r="DC51" s="86"/>
      <c r="DD51" s="91" t="str">
        <f t="shared" si="250"/>
        <v/>
      </c>
      <c r="DE51" s="85" t="str">
        <f t="shared" si="352"/>
        <v/>
      </c>
      <c r="DF51" s="86"/>
      <c r="DG51" s="91"/>
      <c r="DH51" s="85" t="str">
        <f t="shared" si="353"/>
        <v/>
      </c>
      <c r="DI51" s="86"/>
      <c r="DJ51" s="91" t="str">
        <f t="shared" si="251"/>
        <v/>
      </c>
      <c r="DK51" s="85" t="str">
        <f t="shared" si="354"/>
        <v/>
      </c>
      <c r="DL51" s="86"/>
      <c r="DM51" s="91" t="str">
        <f t="shared" si="252"/>
        <v/>
      </c>
      <c r="DN51" s="85" t="str">
        <f t="shared" si="355"/>
        <v/>
      </c>
      <c r="DO51" s="86"/>
      <c r="DP51" s="91" t="str">
        <f t="shared" si="253"/>
        <v/>
      </c>
      <c r="DQ51" s="85" t="str">
        <f t="shared" si="356"/>
        <v/>
      </c>
      <c r="DR51" s="86"/>
      <c r="DS51" s="91" t="str">
        <f t="shared" si="254"/>
        <v/>
      </c>
      <c r="DT51" s="85" t="str">
        <f t="shared" si="357"/>
        <v/>
      </c>
      <c r="DU51" s="86"/>
      <c r="DV51" s="91" t="str">
        <f t="shared" si="255"/>
        <v/>
      </c>
      <c r="DW51" s="85" t="str">
        <f t="shared" si="358"/>
        <v/>
      </c>
      <c r="DX51" s="86"/>
      <c r="DY51" s="91" t="str">
        <f t="shared" si="256"/>
        <v/>
      </c>
      <c r="DZ51" s="85" t="str">
        <f t="shared" si="359"/>
        <v/>
      </c>
      <c r="EA51" s="86"/>
      <c r="EB51" s="91" t="str">
        <f t="shared" si="257"/>
        <v/>
      </c>
      <c r="EC51" s="85" t="str">
        <f t="shared" si="360"/>
        <v/>
      </c>
      <c r="ED51" s="86"/>
      <c r="EE51" s="91" t="str">
        <f t="shared" si="258"/>
        <v/>
      </c>
      <c r="EF51" s="85" t="str">
        <f t="shared" si="361"/>
        <v/>
      </c>
      <c r="EG51" s="86"/>
      <c r="EH51" s="91" t="str">
        <f t="shared" si="259"/>
        <v/>
      </c>
      <c r="EI51" s="85" t="str">
        <f t="shared" si="362"/>
        <v/>
      </c>
      <c r="EJ51" s="86"/>
      <c r="EK51" s="91" t="str">
        <f t="shared" si="260"/>
        <v/>
      </c>
      <c r="EL51" s="85" t="str">
        <f t="shared" si="363"/>
        <v/>
      </c>
      <c r="EM51" s="56"/>
      <c r="EN51" s="91" t="str">
        <f t="shared" si="261"/>
        <v/>
      </c>
      <c r="EO51" s="85" t="str">
        <f t="shared" si="364"/>
        <v/>
      </c>
      <c r="EP51" s="86"/>
      <c r="EQ51" s="91" t="str">
        <f t="shared" si="262"/>
        <v/>
      </c>
      <c r="ER51" s="85" t="str">
        <f t="shared" si="365"/>
        <v/>
      </c>
      <c r="ES51" s="51"/>
      <c r="ET51" s="91" t="str">
        <f t="shared" si="263"/>
        <v/>
      </c>
      <c r="EU51" s="85" t="str">
        <f t="shared" si="366"/>
        <v/>
      </c>
      <c r="EV51" s="86"/>
      <c r="EW51" s="91" t="str">
        <f t="shared" si="264"/>
        <v/>
      </c>
      <c r="EX51" s="85" t="str">
        <f t="shared" si="367"/>
        <v/>
      </c>
      <c r="EY51" s="86"/>
      <c r="EZ51" s="91" t="str">
        <f t="shared" si="265"/>
        <v/>
      </c>
      <c r="FA51" s="85" t="str">
        <f t="shared" si="368"/>
        <v/>
      </c>
      <c r="FB51" s="86"/>
      <c r="FC51" s="91" t="str">
        <f t="shared" si="266"/>
        <v/>
      </c>
      <c r="FD51" s="85" t="str">
        <f t="shared" si="369"/>
        <v/>
      </c>
      <c r="FE51" s="86"/>
      <c r="FF51" s="91" t="str">
        <f t="shared" si="267"/>
        <v/>
      </c>
      <c r="FG51" s="85" t="str">
        <f t="shared" si="370"/>
        <v/>
      </c>
      <c r="FH51" s="86"/>
      <c r="FI51" s="91" t="str">
        <f t="shared" si="268"/>
        <v/>
      </c>
      <c r="FJ51" s="85" t="str">
        <f t="shared" si="371"/>
        <v/>
      </c>
      <c r="FK51" s="86"/>
      <c r="FL51" s="91" t="str">
        <f t="shared" si="269"/>
        <v/>
      </c>
      <c r="FM51" s="85" t="str">
        <f t="shared" si="372"/>
        <v/>
      </c>
      <c r="FN51" s="86"/>
      <c r="FO51" s="91" t="str">
        <f t="shared" si="270"/>
        <v/>
      </c>
      <c r="FP51" s="85" t="str">
        <f t="shared" si="373"/>
        <v/>
      </c>
      <c r="FQ51" s="86"/>
      <c r="FR51" s="91" t="str">
        <f t="shared" si="271"/>
        <v/>
      </c>
      <c r="FS51" s="85" t="str">
        <f t="shared" si="374"/>
        <v/>
      </c>
      <c r="FT51" s="86"/>
      <c r="FU51" s="91" t="str">
        <f t="shared" si="272"/>
        <v/>
      </c>
      <c r="FV51" s="85" t="str">
        <f t="shared" si="375"/>
        <v/>
      </c>
      <c r="FW51" s="92"/>
      <c r="FX51" s="91" t="str">
        <f t="shared" si="273"/>
        <v/>
      </c>
      <c r="FY51" s="85" t="str">
        <f t="shared" si="376"/>
        <v/>
      </c>
      <c r="FZ51" s="86"/>
      <c r="GA51" s="91" t="str">
        <f t="shared" si="274"/>
        <v/>
      </c>
      <c r="GB51" s="85" t="str">
        <f t="shared" si="377"/>
        <v/>
      </c>
      <c r="GC51" s="86">
        <v>98</v>
      </c>
      <c r="GD51" s="91">
        <f t="shared" si="275"/>
        <v>0.76827332534653692</v>
      </c>
      <c r="GE51" s="85">
        <f t="shared" si="378"/>
        <v>0.75</v>
      </c>
      <c r="GF51" s="86"/>
      <c r="GG51" s="91" t="str">
        <f t="shared" si="276"/>
        <v/>
      </c>
      <c r="GH51" s="85" t="str">
        <f t="shared" si="379"/>
        <v/>
      </c>
      <c r="GI51" s="86">
        <v>98</v>
      </c>
      <c r="GJ51" s="91">
        <f t="shared" si="277"/>
        <v>1.1147728228665883</v>
      </c>
      <c r="GK51" s="85">
        <f t="shared" si="380"/>
        <v>1</v>
      </c>
      <c r="GL51" s="86"/>
      <c r="GM51" s="91" t="str">
        <f t="shared" si="278"/>
        <v/>
      </c>
      <c r="GN51" s="85" t="str">
        <f t="shared" si="381"/>
        <v/>
      </c>
      <c r="GO51" s="86"/>
      <c r="GP51" s="91" t="str">
        <f t="shared" si="279"/>
        <v/>
      </c>
      <c r="GQ51" s="85" t="str">
        <f t="shared" si="382"/>
        <v/>
      </c>
      <c r="GR51" s="56"/>
      <c r="GS51" s="91" t="str">
        <f t="shared" si="280"/>
        <v/>
      </c>
      <c r="GT51" s="85" t="str">
        <f t="shared" si="383"/>
        <v/>
      </c>
      <c r="GU51" s="92"/>
      <c r="GV51" s="91" t="str">
        <f t="shared" si="281"/>
        <v/>
      </c>
      <c r="GW51" s="85" t="str">
        <f t="shared" si="384"/>
        <v/>
      </c>
      <c r="GX51" s="86"/>
      <c r="GY51" s="91" t="str">
        <f t="shared" si="282"/>
        <v/>
      </c>
      <c r="GZ51" s="85" t="str">
        <f t="shared" si="385"/>
        <v/>
      </c>
      <c r="HA51" s="86"/>
      <c r="HB51" s="91" t="str">
        <f t="shared" si="283"/>
        <v/>
      </c>
      <c r="HC51" s="85" t="str">
        <f t="shared" si="386"/>
        <v/>
      </c>
      <c r="HD51" s="86"/>
      <c r="HE51" s="91" t="str">
        <f t="shared" si="284"/>
        <v/>
      </c>
      <c r="HF51" s="85" t="str">
        <f t="shared" si="387"/>
        <v/>
      </c>
      <c r="HG51" s="86"/>
      <c r="HH51" s="91" t="str">
        <f t="shared" si="285"/>
        <v/>
      </c>
      <c r="HI51" s="85" t="str">
        <f t="shared" si="388"/>
        <v/>
      </c>
      <c r="HJ51" s="86"/>
      <c r="HK51" s="91" t="str">
        <f t="shared" si="286"/>
        <v/>
      </c>
      <c r="HL51" s="85" t="str">
        <f t="shared" si="389"/>
        <v/>
      </c>
      <c r="HM51" s="86"/>
      <c r="HN51" s="91" t="str">
        <f t="shared" si="287"/>
        <v/>
      </c>
      <c r="HO51" s="85" t="str">
        <f t="shared" si="390"/>
        <v/>
      </c>
      <c r="HP51" s="56"/>
      <c r="HQ51" s="91" t="str">
        <f t="shared" si="288"/>
        <v/>
      </c>
      <c r="HR51" s="85" t="str">
        <f t="shared" si="391"/>
        <v/>
      </c>
      <c r="HS51" s="86"/>
      <c r="HT51" s="91" t="str">
        <f t="shared" si="289"/>
        <v/>
      </c>
      <c r="HU51" s="85" t="str">
        <f t="shared" si="392"/>
        <v/>
      </c>
      <c r="HV51" s="86"/>
      <c r="HW51" s="91" t="str">
        <f t="shared" si="290"/>
        <v/>
      </c>
      <c r="HX51" s="85" t="str">
        <f t="shared" si="393"/>
        <v/>
      </c>
      <c r="HY51" s="86"/>
      <c r="HZ51" s="91" t="str">
        <f t="shared" si="291"/>
        <v/>
      </c>
      <c r="IA51" s="85" t="str">
        <f t="shared" si="394"/>
        <v/>
      </c>
      <c r="IB51" s="86"/>
      <c r="IC51" s="91" t="str">
        <f t="shared" si="292"/>
        <v/>
      </c>
      <c r="ID51" s="85" t="str">
        <f t="shared" si="395"/>
        <v/>
      </c>
      <c r="IE51" s="86"/>
      <c r="IF51" s="91" t="str">
        <f t="shared" si="293"/>
        <v/>
      </c>
      <c r="IG51" s="85" t="str">
        <f t="shared" si="396"/>
        <v/>
      </c>
      <c r="IH51" s="86"/>
      <c r="II51" s="91" t="str">
        <f t="shared" si="294"/>
        <v/>
      </c>
      <c r="IJ51" s="85" t="str">
        <f t="shared" si="397"/>
        <v/>
      </c>
      <c r="IK51" s="86"/>
      <c r="IL51" s="91" t="str">
        <f t="shared" si="295"/>
        <v/>
      </c>
      <c r="IM51" s="85" t="str">
        <f t="shared" si="398"/>
        <v/>
      </c>
      <c r="IN51" s="86"/>
      <c r="IO51" s="91" t="str">
        <f t="shared" si="296"/>
        <v/>
      </c>
      <c r="IP51" s="85" t="str">
        <f t="shared" si="399"/>
        <v/>
      </c>
      <c r="IQ51" s="86"/>
      <c r="IR51" s="91" t="str">
        <f t="shared" si="297"/>
        <v/>
      </c>
      <c r="IS51" s="85" t="str">
        <f t="shared" si="400"/>
        <v/>
      </c>
      <c r="IT51" s="86"/>
      <c r="IU51" s="91" t="str">
        <f t="shared" si="298"/>
        <v/>
      </c>
      <c r="IV51" s="85" t="str">
        <f t="shared" si="401"/>
        <v/>
      </c>
      <c r="IW51" s="86"/>
      <c r="IX51" s="91" t="str">
        <f t="shared" si="299"/>
        <v/>
      </c>
      <c r="IY51" s="85" t="str">
        <f t="shared" si="402"/>
        <v/>
      </c>
      <c r="IZ51" s="86"/>
      <c r="JA51" s="91" t="str">
        <f t="shared" si="300"/>
        <v/>
      </c>
      <c r="JB51" s="85" t="str">
        <f t="shared" si="403"/>
        <v/>
      </c>
      <c r="JC51" s="86"/>
      <c r="JD51" s="91" t="str">
        <f t="shared" si="301"/>
        <v/>
      </c>
      <c r="JE51" s="85" t="str">
        <f t="shared" si="404"/>
        <v/>
      </c>
      <c r="JF51" s="86"/>
      <c r="JG51" s="91" t="str">
        <f t="shared" si="302"/>
        <v/>
      </c>
      <c r="JH51" s="85" t="str">
        <f t="shared" si="405"/>
        <v/>
      </c>
      <c r="JI51" s="86"/>
      <c r="JJ51" s="91" t="str">
        <f t="shared" si="303"/>
        <v/>
      </c>
      <c r="JK51" s="85" t="str">
        <f t="shared" si="406"/>
        <v/>
      </c>
      <c r="JL51" s="86"/>
      <c r="JM51" s="91" t="str">
        <f t="shared" si="304"/>
        <v/>
      </c>
      <c r="JN51" s="85" t="str">
        <f t="shared" si="407"/>
        <v/>
      </c>
      <c r="JO51" s="86"/>
      <c r="JP51" s="91" t="str">
        <f t="shared" si="305"/>
        <v/>
      </c>
      <c r="JQ51" s="85" t="str">
        <f t="shared" si="408"/>
        <v/>
      </c>
      <c r="JR51" s="86"/>
      <c r="JS51" s="91" t="str">
        <f t="shared" si="306"/>
        <v/>
      </c>
      <c r="JT51" s="85" t="str">
        <f t="shared" si="409"/>
        <v/>
      </c>
      <c r="JU51" s="86"/>
      <c r="JV51" s="91" t="str">
        <f t="shared" si="307"/>
        <v/>
      </c>
      <c r="JW51" s="85" t="str">
        <f t="shared" si="410"/>
        <v/>
      </c>
      <c r="JX51" s="86"/>
      <c r="JY51" s="91" t="str">
        <f t="shared" si="308"/>
        <v/>
      </c>
      <c r="JZ51" s="85" t="str">
        <f t="shared" si="411"/>
        <v/>
      </c>
      <c r="KA51" s="86"/>
      <c r="KB51" s="91" t="str">
        <f t="shared" si="309"/>
        <v/>
      </c>
      <c r="KC51" s="85" t="str">
        <f t="shared" si="412"/>
        <v/>
      </c>
      <c r="KD51" s="86"/>
      <c r="KE51" s="91" t="str">
        <f t="shared" si="310"/>
        <v/>
      </c>
      <c r="KF51" s="85" t="str">
        <f t="shared" si="413"/>
        <v/>
      </c>
      <c r="KG51" s="86"/>
      <c r="KH51" s="91" t="str">
        <f t="shared" si="311"/>
        <v/>
      </c>
      <c r="KI51" s="85" t="str">
        <f t="shared" si="414"/>
        <v/>
      </c>
      <c r="KJ51" s="86"/>
      <c r="KK51" s="91" t="str">
        <f t="shared" si="312"/>
        <v/>
      </c>
      <c r="KL51" s="85" t="str">
        <f t="shared" si="415"/>
        <v/>
      </c>
      <c r="KM51" s="86"/>
      <c r="KN51" s="91" t="str">
        <f t="shared" si="313"/>
        <v/>
      </c>
      <c r="KO51" s="85" t="str">
        <f t="shared" si="416"/>
        <v/>
      </c>
      <c r="KP51" s="86"/>
      <c r="KQ51" s="91" t="str">
        <f t="shared" si="314"/>
        <v/>
      </c>
      <c r="KR51" s="85" t="str">
        <f t="shared" si="417"/>
        <v/>
      </c>
      <c r="KS51" s="86"/>
      <c r="KT51" s="91" t="str">
        <f t="shared" si="315"/>
        <v/>
      </c>
      <c r="KU51" s="85" t="str">
        <f t="shared" si="418"/>
        <v/>
      </c>
      <c r="KV51" s="86"/>
      <c r="KW51" s="91" t="str">
        <f t="shared" si="316"/>
        <v/>
      </c>
      <c r="KX51" s="85" t="str">
        <f t="shared" si="419"/>
        <v/>
      </c>
      <c r="KY51" s="92"/>
      <c r="KZ51" s="91" t="str">
        <f t="shared" si="317"/>
        <v/>
      </c>
      <c r="LA51" s="85" t="str">
        <f t="shared" si="420"/>
        <v/>
      </c>
      <c r="LB51" s="50">
        <f t="shared" si="218"/>
        <v>98</v>
      </c>
      <c r="LC51" s="57">
        <f t="shared" si="421"/>
        <v>1</v>
      </c>
      <c r="LD51" s="50">
        <f t="shared" si="207"/>
        <v>0.77022655871526491</v>
      </c>
      <c r="LE51" s="57">
        <f t="shared" si="422"/>
        <v>8</v>
      </c>
      <c r="LF51" s="50">
        <f t="shared" si="208"/>
        <v>0.9</v>
      </c>
      <c r="LG51" s="57">
        <f t="shared" si="423"/>
        <v>5</v>
      </c>
      <c r="LH51" s="58">
        <f t="shared" si="318"/>
        <v>50</v>
      </c>
      <c r="LI51" s="58">
        <f t="shared" si="319"/>
        <v>47.039225868803626</v>
      </c>
      <c r="LJ51" s="58">
        <f t="shared" si="320"/>
        <v>47.5</v>
      </c>
      <c r="LK51" s="58">
        <f t="shared" si="424"/>
        <v>94.539225868803612</v>
      </c>
      <c r="LL51" s="60">
        <f t="shared" si="425"/>
        <v>5</v>
      </c>
      <c r="LM51" s="55"/>
      <c r="LN51" s="61">
        <f>IFERROR(RANK(LK51,(LK$51:LK$51),0),"")</f>
        <v>1</v>
      </c>
      <c r="LO51" s="61">
        <f t="shared" si="214"/>
        <v>5</v>
      </c>
      <c r="LP51" s="64"/>
      <c r="LQ51" s="64"/>
      <c r="LR51" s="64"/>
      <c r="LS51" s="62"/>
      <c r="LT51" s="62"/>
      <c r="LU51" s="63"/>
      <c r="LV51" s="63"/>
    </row>
    <row r="52" spans="1:334" s="63" customFormat="1" ht="15" customHeight="1">
      <c r="A52" s="65">
        <f t="shared" si="211"/>
        <v>5</v>
      </c>
      <c r="B52" s="65">
        <f t="shared" si="212"/>
        <v>5</v>
      </c>
      <c r="C52" s="117">
        <v>58</v>
      </c>
      <c r="D52" s="121" t="s">
        <v>257</v>
      </c>
      <c r="E52" s="120" t="s">
        <v>657</v>
      </c>
      <c r="F52" s="120"/>
      <c r="G52" s="120"/>
      <c r="H52" s="120" t="s">
        <v>94</v>
      </c>
      <c r="I52" s="287" t="s">
        <v>573</v>
      </c>
      <c r="J52" s="120" t="s">
        <v>258</v>
      </c>
      <c r="K52" s="120" t="s">
        <v>3</v>
      </c>
      <c r="L52" s="67" t="s">
        <v>259</v>
      </c>
      <c r="M52" s="120" t="s">
        <v>35</v>
      </c>
      <c r="N52" s="93"/>
      <c r="O52" s="94" t="str">
        <f t="shared" si="219"/>
        <v/>
      </c>
      <c r="P52" s="94" t="str">
        <f t="shared" si="321"/>
        <v/>
      </c>
      <c r="Q52" s="93"/>
      <c r="R52" s="94" t="str">
        <f t="shared" si="220"/>
        <v/>
      </c>
      <c r="S52" s="94" t="str">
        <f t="shared" si="322"/>
        <v/>
      </c>
      <c r="T52" s="93"/>
      <c r="U52" s="94" t="str">
        <f t="shared" si="221"/>
        <v/>
      </c>
      <c r="V52" s="94" t="str">
        <f t="shared" si="323"/>
        <v/>
      </c>
      <c r="W52" s="114"/>
      <c r="X52" s="94" t="str">
        <f t="shared" si="222"/>
        <v/>
      </c>
      <c r="Y52" s="94" t="str">
        <f t="shared" si="324"/>
        <v/>
      </c>
      <c r="Z52" s="93"/>
      <c r="AA52" s="94" t="str">
        <f t="shared" si="223"/>
        <v/>
      </c>
      <c r="AB52" s="94" t="str">
        <f t="shared" si="325"/>
        <v/>
      </c>
      <c r="AC52" s="93"/>
      <c r="AD52" s="94" t="str">
        <f t="shared" si="224"/>
        <v/>
      </c>
      <c r="AE52" s="94" t="str">
        <f t="shared" si="326"/>
        <v/>
      </c>
      <c r="AF52" s="93"/>
      <c r="AG52" s="94" t="str">
        <f t="shared" si="225"/>
        <v/>
      </c>
      <c r="AH52" s="94" t="str">
        <f t="shared" si="327"/>
        <v/>
      </c>
      <c r="AI52" s="93">
        <v>88</v>
      </c>
      <c r="AJ52" s="94">
        <f t="shared" si="226"/>
        <v>-1.2046735616310666</v>
      </c>
      <c r="AK52" s="94">
        <f t="shared" si="328"/>
        <v>0</v>
      </c>
      <c r="AL52" s="93"/>
      <c r="AM52" s="94" t="str">
        <f t="shared" si="227"/>
        <v/>
      </c>
      <c r="AN52" s="94" t="str">
        <f t="shared" si="329"/>
        <v/>
      </c>
      <c r="AO52" s="93"/>
      <c r="AP52" s="94" t="str">
        <f t="shared" si="228"/>
        <v/>
      </c>
      <c r="AQ52" s="94" t="str">
        <f t="shared" si="330"/>
        <v/>
      </c>
      <c r="AR52" s="93"/>
      <c r="AS52" s="94" t="str">
        <f t="shared" si="229"/>
        <v/>
      </c>
      <c r="AT52" s="94" t="str">
        <f t="shared" si="331"/>
        <v/>
      </c>
      <c r="AU52" s="93"/>
      <c r="AV52" s="94" t="str">
        <f t="shared" si="230"/>
        <v/>
      </c>
      <c r="AW52" s="94" t="str">
        <f t="shared" si="332"/>
        <v/>
      </c>
      <c r="AX52" s="93"/>
      <c r="AY52" s="94" t="str">
        <f t="shared" si="231"/>
        <v/>
      </c>
      <c r="AZ52" s="94" t="str">
        <f t="shared" si="333"/>
        <v/>
      </c>
      <c r="BA52" s="114"/>
      <c r="BB52" s="94" t="str">
        <f t="shared" si="232"/>
        <v/>
      </c>
      <c r="BC52" s="94" t="str">
        <f t="shared" si="334"/>
        <v/>
      </c>
      <c r="BD52" s="93">
        <v>63</v>
      </c>
      <c r="BE52" s="94">
        <f t="shared" si="233"/>
        <v>-0.77155189783671041</v>
      </c>
      <c r="BF52" s="94">
        <f t="shared" si="335"/>
        <v>0</v>
      </c>
      <c r="BG52" s="93"/>
      <c r="BH52" s="94" t="str">
        <f t="shared" si="234"/>
        <v/>
      </c>
      <c r="BI52" s="94" t="str">
        <f t="shared" si="336"/>
        <v/>
      </c>
      <c r="BJ52" s="93"/>
      <c r="BK52" s="94" t="str">
        <f t="shared" si="235"/>
        <v/>
      </c>
      <c r="BL52" s="94" t="str">
        <f t="shared" si="337"/>
        <v/>
      </c>
      <c r="BM52" s="114"/>
      <c r="BN52" s="94" t="str">
        <f t="shared" si="236"/>
        <v/>
      </c>
      <c r="BO52" s="94" t="str">
        <f t="shared" si="338"/>
        <v/>
      </c>
      <c r="BP52" s="66"/>
      <c r="BQ52" s="94" t="str">
        <f t="shared" si="237"/>
        <v/>
      </c>
      <c r="BR52" s="94" t="str">
        <f t="shared" si="339"/>
        <v/>
      </c>
      <c r="BS52" s="93"/>
      <c r="BT52" s="94" t="str">
        <f t="shared" si="238"/>
        <v/>
      </c>
      <c r="BU52" s="94" t="str">
        <f t="shared" si="340"/>
        <v/>
      </c>
      <c r="BV52" s="93"/>
      <c r="BW52" s="94" t="str">
        <f t="shared" si="239"/>
        <v/>
      </c>
      <c r="BX52" s="94" t="str">
        <f t="shared" si="341"/>
        <v/>
      </c>
      <c r="BY52" s="93"/>
      <c r="BZ52" s="94" t="str">
        <f t="shared" si="240"/>
        <v/>
      </c>
      <c r="CA52" s="94" t="str">
        <f t="shared" si="342"/>
        <v/>
      </c>
      <c r="CB52" s="93"/>
      <c r="CC52" s="94" t="str">
        <f t="shared" si="241"/>
        <v/>
      </c>
      <c r="CD52" s="94" t="str">
        <f t="shared" si="343"/>
        <v/>
      </c>
      <c r="CE52" s="93"/>
      <c r="CF52" s="94" t="str">
        <f t="shared" si="242"/>
        <v/>
      </c>
      <c r="CG52" s="94" t="str">
        <f t="shared" si="344"/>
        <v/>
      </c>
      <c r="CH52" s="93"/>
      <c r="CI52" s="94" t="str">
        <f t="shared" si="243"/>
        <v/>
      </c>
      <c r="CJ52" s="94" t="str">
        <f t="shared" si="345"/>
        <v/>
      </c>
      <c r="CK52" s="93"/>
      <c r="CL52" s="94" t="str">
        <f t="shared" si="244"/>
        <v/>
      </c>
      <c r="CM52" s="94" t="str">
        <f t="shared" si="346"/>
        <v/>
      </c>
      <c r="CN52" s="93"/>
      <c r="CO52" s="94" t="str">
        <f t="shared" si="245"/>
        <v/>
      </c>
      <c r="CP52" s="94" t="str">
        <f t="shared" si="347"/>
        <v/>
      </c>
      <c r="CQ52" s="93"/>
      <c r="CR52" s="94" t="str">
        <f t="shared" si="246"/>
        <v/>
      </c>
      <c r="CS52" s="94" t="str">
        <f t="shared" si="348"/>
        <v/>
      </c>
      <c r="CT52" s="93"/>
      <c r="CU52" s="94" t="str">
        <f t="shared" si="247"/>
        <v/>
      </c>
      <c r="CV52" s="94" t="str">
        <f t="shared" si="349"/>
        <v/>
      </c>
      <c r="CW52" s="93"/>
      <c r="CX52" s="94" t="str">
        <f t="shared" si="248"/>
        <v/>
      </c>
      <c r="CY52" s="94" t="str">
        <f t="shared" si="350"/>
        <v/>
      </c>
      <c r="CZ52" s="93"/>
      <c r="DA52" s="94" t="str">
        <f t="shared" si="249"/>
        <v/>
      </c>
      <c r="DB52" s="94" t="str">
        <f t="shared" si="351"/>
        <v/>
      </c>
      <c r="DC52" s="93">
        <v>67</v>
      </c>
      <c r="DD52" s="94">
        <f t="shared" si="250"/>
        <v>-1.3567460819605786</v>
      </c>
      <c r="DE52" s="94">
        <f t="shared" si="352"/>
        <v>0</v>
      </c>
      <c r="DF52" s="93"/>
      <c r="DG52" s="94"/>
      <c r="DH52" s="94" t="str">
        <f t="shared" si="353"/>
        <v/>
      </c>
      <c r="DI52" s="93"/>
      <c r="DJ52" s="94" t="str">
        <f t="shared" si="251"/>
        <v/>
      </c>
      <c r="DK52" s="94" t="str">
        <f t="shared" si="354"/>
        <v/>
      </c>
      <c r="DL52" s="93"/>
      <c r="DM52" s="94" t="str">
        <f t="shared" si="252"/>
        <v/>
      </c>
      <c r="DN52" s="94" t="str">
        <f t="shared" si="355"/>
        <v/>
      </c>
      <c r="DO52" s="93"/>
      <c r="DP52" s="94" t="str">
        <f t="shared" si="253"/>
        <v/>
      </c>
      <c r="DQ52" s="94" t="str">
        <f t="shared" si="356"/>
        <v/>
      </c>
      <c r="DR52" s="93"/>
      <c r="DS52" s="94" t="str">
        <f t="shared" si="254"/>
        <v/>
      </c>
      <c r="DT52" s="94" t="str">
        <f t="shared" si="357"/>
        <v/>
      </c>
      <c r="DU52" s="93"/>
      <c r="DV52" s="94" t="str">
        <f t="shared" si="255"/>
        <v/>
      </c>
      <c r="DW52" s="94" t="str">
        <f t="shared" si="358"/>
        <v/>
      </c>
      <c r="DX52" s="114"/>
      <c r="DY52" s="94" t="str">
        <f t="shared" si="256"/>
        <v/>
      </c>
      <c r="DZ52" s="94" t="str">
        <f t="shared" si="359"/>
        <v/>
      </c>
      <c r="EA52" s="93"/>
      <c r="EB52" s="94" t="str">
        <f t="shared" si="257"/>
        <v/>
      </c>
      <c r="EC52" s="94" t="str">
        <f t="shared" si="360"/>
        <v/>
      </c>
      <c r="ED52" s="93"/>
      <c r="EE52" s="94" t="str">
        <f t="shared" si="258"/>
        <v/>
      </c>
      <c r="EF52" s="94" t="str">
        <f t="shared" si="361"/>
        <v/>
      </c>
      <c r="EG52" s="93"/>
      <c r="EH52" s="94" t="str">
        <f t="shared" si="259"/>
        <v/>
      </c>
      <c r="EI52" s="94" t="str">
        <f t="shared" si="362"/>
        <v/>
      </c>
      <c r="EJ52" s="93"/>
      <c r="EK52" s="94" t="str">
        <f t="shared" si="260"/>
        <v/>
      </c>
      <c r="EL52" s="94" t="str">
        <f t="shared" si="363"/>
        <v/>
      </c>
      <c r="EM52" s="93"/>
      <c r="EN52" s="94" t="str">
        <f t="shared" si="261"/>
        <v/>
      </c>
      <c r="EO52" s="94" t="str">
        <f t="shared" si="364"/>
        <v/>
      </c>
      <c r="EP52" s="93"/>
      <c r="EQ52" s="94" t="str">
        <f t="shared" si="262"/>
        <v/>
      </c>
      <c r="ER52" s="94" t="str">
        <f t="shared" si="365"/>
        <v/>
      </c>
      <c r="ES52" s="66"/>
      <c r="ET52" s="94" t="str">
        <f t="shared" si="263"/>
        <v/>
      </c>
      <c r="EU52" s="94" t="str">
        <f t="shared" si="366"/>
        <v/>
      </c>
      <c r="EV52" s="93"/>
      <c r="EW52" s="94" t="str">
        <f t="shared" si="264"/>
        <v/>
      </c>
      <c r="EX52" s="94" t="str">
        <f t="shared" si="367"/>
        <v/>
      </c>
      <c r="EY52" s="93"/>
      <c r="EZ52" s="94" t="str">
        <f t="shared" si="265"/>
        <v/>
      </c>
      <c r="FA52" s="94" t="str">
        <f t="shared" si="368"/>
        <v/>
      </c>
      <c r="FB52" s="114"/>
      <c r="FC52" s="94" t="str">
        <f t="shared" si="266"/>
        <v/>
      </c>
      <c r="FD52" s="94" t="str">
        <f t="shared" si="369"/>
        <v/>
      </c>
      <c r="FE52" s="93"/>
      <c r="FF52" s="94" t="str">
        <f t="shared" si="267"/>
        <v/>
      </c>
      <c r="FG52" s="94" t="str">
        <f t="shared" si="370"/>
        <v/>
      </c>
      <c r="FH52" s="93"/>
      <c r="FI52" s="94" t="str">
        <f t="shared" si="268"/>
        <v/>
      </c>
      <c r="FJ52" s="94" t="str">
        <f t="shared" si="371"/>
        <v/>
      </c>
      <c r="FK52" s="93"/>
      <c r="FL52" s="94" t="str">
        <f t="shared" si="269"/>
        <v/>
      </c>
      <c r="FM52" s="94" t="str">
        <f t="shared" si="372"/>
        <v/>
      </c>
      <c r="FN52" s="93"/>
      <c r="FO52" s="94" t="str">
        <f t="shared" si="270"/>
        <v/>
      </c>
      <c r="FP52" s="94" t="str">
        <f t="shared" si="373"/>
        <v/>
      </c>
      <c r="FQ52" s="93"/>
      <c r="FR52" s="94" t="str">
        <f t="shared" si="271"/>
        <v/>
      </c>
      <c r="FS52" s="94" t="str">
        <f t="shared" si="374"/>
        <v/>
      </c>
      <c r="FT52" s="93"/>
      <c r="FU52" s="94" t="str">
        <f t="shared" si="272"/>
        <v/>
      </c>
      <c r="FV52" s="94" t="str">
        <f t="shared" si="375"/>
        <v/>
      </c>
      <c r="FW52" s="96"/>
      <c r="FX52" s="94" t="str">
        <f t="shared" si="273"/>
        <v/>
      </c>
      <c r="FY52" s="94" t="str">
        <f t="shared" si="376"/>
        <v/>
      </c>
      <c r="FZ52" s="93"/>
      <c r="GA52" s="94" t="str">
        <f t="shared" si="274"/>
        <v/>
      </c>
      <c r="GB52" s="94" t="str">
        <f t="shared" si="377"/>
        <v/>
      </c>
      <c r="GC52" s="93">
        <v>85</v>
      </c>
      <c r="GD52" s="94">
        <f t="shared" si="275"/>
        <v>-1.501625135904592</v>
      </c>
      <c r="GE52" s="94">
        <f t="shared" si="378"/>
        <v>0</v>
      </c>
      <c r="GF52" s="93"/>
      <c r="GG52" s="94" t="str">
        <f t="shared" si="276"/>
        <v/>
      </c>
      <c r="GH52" s="94" t="str">
        <f t="shared" si="379"/>
        <v/>
      </c>
      <c r="GI52" s="93"/>
      <c r="GJ52" s="94" t="str">
        <f t="shared" si="277"/>
        <v/>
      </c>
      <c r="GK52" s="94" t="str">
        <f t="shared" si="380"/>
        <v/>
      </c>
      <c r="GL52" s="93"/>
      <c r="GM52" s="94" t="str">
        <f t="shared" si="278"/>
        <v/>
      </c>
      <c r="GN52" s="94" t="str">
        <f t="shared" si="381"/>
        <v/>
      </c>
      <c r="GO52" s="93"/>
      <c r="GP52" s="94" t="str">
        <f t="shared" si="279"/>
        <v/>
      </c>
      <c r="GQ52" s="94" t="str">
        <f t="shared" si="382"/>
        <v/>
      </c>
      <c r="GR52" s="93"/>
      <c r="GS52" s="94" t="str">
        <f t="shared" si="280"/>
        <v/>
      </c>
      <c r="GT52" s="94" t="str">
        <f t="shared" si="383"/>
        <v/>
      </c>
      <c r="GU52" s="93"/>
      <c r="GV52" s="94" t="str">
        <f t="shared" si="281"/>
        <v/>
      </c>
      <c r="GW52" s="94" t="str">
        <f t="shared" si="384"/>
        <v/>
      </c>
      <c r="GX52" s="93"/>
      <c r="GY52" s="94" t="str">
        <f t="shared" si="282"/>
        <v/>
      </c>
      <c r="GZ52" s="94" t="str">
        <f t="shared" si="385"/>
        <v/>
      </c>
      <c r="HA52" s="93">
        <v>73</v>
      </c>
      <c r="HB52" s="94">
        <f t="shared" si="283"/>
        <v>-1.3389110974330103</v>
      </c>
      <c r="HC52" s="94">
        <f t="shared" si="386"/>
        <v>0</v>
      </c>
      <c r="HD52" s="93"/>
      <c r="HE52" s="94" t="str">
        <f t="shared" si="284"/>
        <v/>
      </c>
      <c r="HF52" s="94" t="str">
        <f t="shared" si="387"/>
        <v/>
      </c>
      <c r="HG52" s="114"/>
      <c r="HH52" s="94" t="str">
        <f t="shared" si="285"/>
        <v/>
      </c>
      <c r="HI52" s="94" t="str">
        <f t="shared" si="388"/>
        <v/>
      </c>
      <c r="HJ52" s="93"/>
      <c r="HK52" s="94" t="str">
        <f t="shared" si="286"/>
        <v/>
      </c>
      <c r="HL52" s="94" t="str">
        <f t="shared" si="389"/>
        <v/>
      </c>
      <c r="HM52" s="93"/>
      <c r="HN52" s="94" t="str">
        <f t="shared" si="287"/>
        <v/>
      </c>
      <c r="HO52" s="94" t="str">
        <f t="shared" si="390"/>
        <v/>
      </c>
      <c r="HP52" s="96"/>
      <c r="HQ52" s="94" t="str">
        <f t="shared" si="288"/>
        <v/>
      </c>
      <c r="HR52" s="94" t="str">
        <f t="shared" si="391"/>
        <v/>
      </c>
      <c r="HS52" s="93"/>
      <c r="HT52" s="94" t="str">
        <f t="shared" si="289"/>
        <v/>
      </c>
      <c r="HU52" s="94" t="str">
        <f t="shared" si="392"/>
        <v/>
      </c>
      <c r="HV52" s="93"/>
      <c r="HW52" s="94" t="str">
        <f t="shared" si="290"/>
        <v/>
      </c>
      <c r="HX52" s="94" t="str">
        <f t="shared" si="393"/>
        <v/>
      </c>
      <c r="HY52" s="93"/>
      <c r="HZ52" s="94" t="str">
        <f t="shared" si="291"/>
        <v/>
      </c>
      <c r="IA52" s="94" t="str">
        <f t="shared" si="394"/>
        <v/>
      </c>
      <c r="IB52" s="93"/>
      <c r="IC52" s="94" t="str">
        <f t="shared" si="292"/>
        <v/>
      </c>
      <c r="ID52" s="94" t="str">
        <f t="shared" si="395"/>
        <v/>
      </c>
      <c r="IE52" s="93"/>
      <c r="IF52" s="94" t="str">
        <f t="shared" si="293"/>
        <v/>
      </c>
      <c r="IG52" s="94" t="str">
        <f t="shared" si="396"/>
        <v/>
      </c>
      <c r="IH52" s="93"/>
      <c r="II52" s="94" t="str">
        <f t="shared" si="294"/>
        <v/>
      </c>
      <c r="IJ52" s="94" t="str">
        <f t="shared" si="397"/>
        <v/>
      </c>
      <c r="IK52" s="93"/>
      <c r="IL52" s="94" t="str">
        <f t="shared" si="295"/>
        <v/>
      </c>
      <c r="IM52" s="94" t="str">
        <f t="shared" si="398"/>
        <v/>
      </c>
      <c r="IN52" s="93"/>
      <c r="IO52" s="94" t="str">
        <f t="shared" si="296"/>
        <v/>
      </c>
      <c r="IP52" s="94" t="str">
        <f t="shared" si="399"/>
        <v/>
      </c>
      <c r="IQ52" s="93"/>
      <c r="IR52" s="94" t="str">
        <f t="shared" si="297"/>
        <v/>
      </c>
      <c r="IS52" s="94" t="str">
        <f t="shared" si="400"/>
        <v/>
      </c>
      <c r="IT52" s="93"/>
      <c r="IU52" s="94" t="str">
        <f t="shared" si="298"/>
        <v/>
      </c>
      <c r="IV52" s="94" t="str">
        <f t="shared" si="401"/>
        <v/>
      </c>
      <c r="IW52" s="93"/>
      <c r="IX52" s="94" t="str">
        <f t="shared" si="299"/>
        <v/>
      </c>
      <c r="IY52" s="94" t="str">
        <f t="shared" si="402"/>
        <v/>
      </c>
      <c r="IZ52" s="93"/>
      <c r="JA52" s="94" t="str">
        <f t="shared" si="300"/>
        <v/>
      </c>
      <c r="JB52" s="94" t="str">
        <f t="shared" si="403"/>
        <v/>
      </c>
      <c r="JC52" s="93"/>
      <c r="JD52" s="94" t="str">
        <f t="shared" si="301"/>
        <v/>
      </c>
      <c r="JE52" s="94" t="str">
        <f t="shared" si="404"/>
        <v/>
      </c>
      <c r="JF52" s="93"/>
      <c r="JG52" s="94" t="str">
        <f t="shared" si="302"/>
        <v/>
      </c>
      <c r="JH52" s="94" t="str">
        <f t="shared" si="405"/>
        <v/>
      </c>
      <c r="JI52" s="93"/>
      <c r="JJ52" s="94" t="str">
        <f t="shared" si="303"/>
        <v/>
      </c>
      <c r="JK52" s="94" t="str">
        <f t="shared" si="406"/>
        <v/>
      </c>
      <c r="JL52" s="93"/>
      <c r="JM52" s="94" t="str">
        <f t="shared" si="304"/>
        <v/>
      </c>
      <c r="JN52" s="94" t="str">
        <f t="shared" si="407"/>
        <v/>
      </c>
      <c r="JO52" s="93"/>
      <c r="JP52" s="94" t="str">
        <f t="shared" si="305"/>
        <v/>
      </c>
      <c r="JQ52" s="94" t="str">
        <f t="shared" si="408"/>
        <v/>
      </c>
      <c r="JR52" s="93"/>
      <c r="JS52" s="94" t="str">
        <f t="shared" si="306"/>
        <v/>
      </c>
      <c r="JT52" s="94" t="str">
        <f t="shared" si="409"/>
        <v/>
      </c>
      <c r="JU52" s="93"/>
      <c r="JV52" s="94" t="str">
        <f t="shared" si="307"/>
        <v/>
      </c>
      <c r="JW52" s="94" t="str">
        <f t="shared" si="410"/>
        <v/>
      </c>
      <c r="JX52" s="93"/>
      <c r="JY52" s="94" t="str">
        <f t="shared" si="308"/>
        <v/>
      </c>
      <c r="JZ52" s="94" t="str">
        <f t="shared" si="411"/>
        <v/>
      </c>
      <c r="KA52" s="93"/>
      <c r="KB52" s="94" t="str">
        <f t="shared" si="309"/>
        <v/>
      </c>
      <c r="KC52" s="94" t="str">
        <f t="shared" si="412"/>
        <v/>
      </c>
      <c r="KD52" s="93"/>
      <c r="KE52" s="94" t="str">
        <f t="shared" si="310"/>
        <v/>
      </c>
      <c r="KF52" s="94" t="str">
        <f t="shared" si="413"/>
        <v/>
      </c>
      <c r="KG52" s="93"/>
      <c r="KH52" s="94" t="str">
        <f t="shared" si="311"/>
        <v/>
      </c>
      <c r="KI52" s="94" t="str">
        <f t="shared" si="414"/>
        <v/>
      </c>
      <c r="KJ52" s="93"/>
      <c r="KK52" s="94" t="str">
        <f t="shared" si="312"/>
        <v/>
      </c>
      <c r="KL52" s="94" t="str">
        <f t="shared" si="415"/>
        <v/>
      </c>
      <c r="KM52" s="93"/>
      <c r="KN52" s="94" t="str">
        <f t="shared" si="313"/>
        <v/>
      </c>
      <c r="KO52" s="94" t="str">
        <f t="shared" si="416"/>
        <v/>
      </c>
      <c r="KP52" s="93"/>
      <c r="KQ52" s="94" t="str">
        <f t="shared" si="314"/>
        <v/>
      </c>
      <c r="KR52" s="94" t="str">
        <f t="shared" si="417"/>
        <v/>
      </c>
      <c r="KS52" s="93"/>
      <c r="KT52" s="94" t="str">
        <f t="shared" si="315"/>
        <v/>
      </c>
      <c r="KU52" s="94" t="str">
        <f t="shared" si="418"/>
        <v/>
      </c>
      <c r="KV52" s="93"/>
      <c r="KW52" s="94" t="str">
        <f t="shared" si="316"/>
        <v/>
      </c>
      <c r="KX52" s="94" t="str">
        <f t="shared" si="419"/>
        <v/>
      </c>
      <c r="KY52" s="96"/>
      <c r="KZ52" s="94" t="str">
        <f t="shared" si="317"/>
        <v/>
      </c>
      <c r="LA52" s="94" t="str">
        <f t="shared" si="420"/>
        <v/>
      </c>
      <c r="LB52" s="65">
        <f t="shared" si="218"/>
        <v>75.2</v>
      </c>
      <c r="LC52" s="115">
        <f t="shared" si="421"/>
        <v>52</v>
      </c>
      <c r="LD52" s="65">
        <f t="shared" si="207"/>
        <v>-1.2347015549531917</v>
      </c>
      <c r="LE52" s="115">
        <f t="shared" si="422"/>
        <v>59</v>
      </c>
      <c r="LF52" s="65">
        <f t="shared" si="208"/>
        <v>0</v>
      </c>
      <c r="LG52" s="115">
        <f t="shared" si="423"/>
        <v>60</v>
      </c>
      <c r="LH52" s="69">
        <f t="shared" si="318"/>
        <v>37.5</v>
      </c>
      <c r="LI52" s="69">
        <f t="shared" si="319"/>
        <v>28.322116523118449</v>
      </c>
      <c r="LJ52" s="69">
        <f t="shared" si="320"/>
        <v>25</v>
      </c>
      <c r="LK52" s="69">
        <f t="shared" si="424"/>
        <v>40.822116523118453</v>
      </c>
      <c r="LL52" s="71">
        <f t="shared" si="425"/>
        <v>59</v>
      </c>
      <c r="LM52" s="68"/>
      <c r="LN52" s="72">
        <f>IFERROR(RANK(LK52,(LK$52:LK$53),0),"")</f>
        <v>2</v>
      </c>
      <c r="LO52" s="72">
        <f t="shared" si="214"/>
        <v>59</v>
      </c>
      <c r="LP52" s="68"/>
      <c r="LQ52" s="68"/>
      <c r="LR52" s="68"/>
      <c r="LS52" s="74"/>
      <c r="LT52" s="74"/>
      <c r="LU52" s="74"/>
      <c r="LV52" s="74"/>
    </row>
    <row r="53" spans="1:334" s="74" customFormat="1" ht="15" customHeight="1">
      <c r="A53" s="65">
        <f t="shared" si="211"/>
        <v>5</v>
      </c>
      <c r="B53" s="65">
        <f t="shared" si="212"/>
        <v>5</v>
      </c>
      <c r="C53" s="117">
        <v>71</v>
      </c>
      <c r="D53" s="121" t="s">
        <v>260</v>
      </c>
      <c r="E53" s="120" t="s">
        <v>658</v>
      </c>
      <c r="F53" s="120"/>
      <c r="G53" s="120"/>
      <c r="H53" s="120" t="s">
        <v>7</v>
      </c>
      <c r="I53" s="287" t="s">
        <v>574</v>
      </c>
      <c r="J53" s="120" t="s">
        <v>261</v>
      </c>
      <c r="K53" s="120" t="s">
        <v>3</v>
      </c>
      <c r="L53" s="67" t="s">
        <v>262</v>
      </c>
      <c r="M53" s="120" t="s">
        <v>35</v>
      </c>
      <c r="N53" s="116"/>
      <c r="O53" s="94" t="str">
        <f t="shared" si="219"/>
        <v/>
      </c>
      <c r="P53" s="94" t="str">
        <f t="shared" si="321"/>
        <v/>
      </c>
      <c r="Q53" s="93"/>
      <c r="R53" s="94" t="str">
        <f t="shared" si="220"/>
        <v/>
      </c>
      <c r="S53" s="94" t="str">
        <f t="shared" si="322"/>
        <v/>
      </c>
      <c r="T53" s="93"/>
      <c r="U53" s="94" t="str">
        <f t="shared" si="221"/>
        <v/>
      </c>
      <c r="V53" s="94" t="str">
        <f t="shared" si="323"/>
        <v/>
      </c>
      <c r="W53" s="93"/>
      <c r="X53" s="94" t="str">
        <f t="shared" si="222"/>
        <v/>
      </c>
      <c r="Y53" s="94" t="str">
        <f t="shared" si="324"/>
        <v/>
      </c>
      <c r="Z53" s="93"/>
      <c r="AA53" s="94" t="str">
        <f t="shared" si="223"/>
        <v/>
      </c>
      <c r="AB53" s="94" t="str">
        <f t="shared" si="325"/>
        <v/>
      </c>
      <c r="AC53" s="93"/>
      <c r="AD53" s="94" t="str">
        <f t="shared" si="224"/>
        <v/>
      </c>
      <c r="AE53" s="94" t="str">
        <f t="shared" si="326"/>
        <v/>
      </c>
      <c r="AF53" s="93"/>
      <c r="AG53" s="94" t="str">
        <f t="shared" si="225"/>
        <v/>
      </c>
      <c r="AH53" s="94" t="str">
        <f t="shared" si="327"/>
        <v/>
      </c>
      <c r="AI53" s="93">
        <v>99</v>
      </c>
      <c r="AJ53" s="94">
        <f t="shared" si="226"/>
        <v>0.91555190683961063</v>
      </c>
      <c r="AK53" s="94">
        <f t="shared" si="328"/>
        <v>1</v>
      </c>
      <c r="AL53" s="93"/>
      <c r="AM53" s="94" t="str">
        <f t="shared" si="227"/>
        <v/>
      </c>
      <c r="AN53" s="94" t="str">
        <f t="shared" si="329"/>
        <v/>
      </c>
      <c r="AO53" s="93"/>
      <c r="AP53" s="94" t="str">
        <f t="shared" si="228"/>
        <v/>
      </c>
      <c r="AQ53" s="94" t="str">
        <f t="shared" si="330"/>
        <v/>
      </c>
      <c r="AR53" s="93"/>
      <c r="AS53" s="94" t="str">
        <f t="shared" si="229"/>
        <v/>
      </c>
      <c r="AT53" s="94" t="str">
        <f t="shared" si="331"/>
        <v/>
      </c>
      <c r="AU53" s="93"/>
      <c r="AV53" s="94" t="str">
        <f t="shared" si="230"/>
        <v/>
      </c>
      <c r="AW53" s="94" t="str">
        <f t="shared" si="332"/>
        <v/>
      </c>
      <c r="AX53" s="93"/>
      <c r="AY53" s="94" t="str">
        <f t="shared" si="231"/>
        <v/>
      </c>
      <c r="AZ53" s="94" t="str">
        <f t="shared" si="333"/>
        <v/>
      </c>
      <c r="BA53" s="93"/>
      <c r="BB53" s="94" t="str">
        <f t="shared" si="232"/>
        <v/>
      </c>
      <c r="BC53" s="94" t="str">
        <f t="shared" si="334"/>
        <v/>
      </c>
      <c r="BD53" s="93"/>
      <c r="BE53" s="94" t="str">
        <f t="shared" si="233"/>
        <v/>
      </c>
      <c r="BF53" s="94" t="str">
        <f t="shared" si="335"/>
        <v/>
      </c>
      <c r="BG53" s="93"/>
      <c r="BH53" s="94" t="str">
        <f t="shared" si="234"/>
        <v/>
      </c>
      <c r="BI53" s="94" t="str">
        <f t="shared" si="336"/>
        <v/>
      </c>
      <c r="BJ53" s="93"/>
      <c r="BK53" s="94" t="str">
        <f t="shared" si="235"/>
        <v/>
      </c>
      <c r="BL53" s="94" t="str">
        <f t="shared" si="337"/>
        <v/>
      </c>
      <c r="BM53" s="93"/>
      <c r="BN53" s="94" t="str">
        <f t="shared" si="236"/>
        <v/>
      </c>
      <c r="BO53" s="94" t="str">
        <f t="shared" si="338"/>
        <v/>
      </c>
      <c r="BP53" s="66"/>
      <c r="BQ53" s="94" t="str">
        <f t="shared" si="237"/>
        <v/>
      </c>
      <c r="BR53" s="94" t="str">
        <f t="shared" si="339"/>
        <v/>
      </c>
      <c r="BS53" s="93"/>
      <c r="BT53" s="94" t="str">
        <f t="shared" si="238"/>
        <v/>
      </c>
      <c r="BU53" s="94" t="str">
        <f t="shared" si="340"/>
        <v/>
      </c>
      <c r="BV53" s="93"/>
      <c r="BW53" s="94" t="str">
        <f t="shared" si="239"/>
        <v/>
      </c>
      <c r="BX53" s="94" t="str">
        <f t="shared" si="341"/>
        <v/>
      </c>
      <c r="BY53" s="93"/>
      <c r="BZ53" s="94" t="str">
        <f t="shared" si="240"/>
        <v/>
      </c>
      <c r="CA53" s="94" t="str">
        <f t="shared" si="342"/>
        <v/>
      </c>
      <c r="CB53" s="93"/>
      <c r="CC53" s="94" t="str">
        <f t="shared" si="241"/>
        <v/>
      </c>
      <c r="CD53" s="94" t="str">
        <f t="shared" si="343"/>
        <v/>
      </c>
      <c r="CE53" s="93"/>
      <c r="CF53" s="94" t="str">
        <f t="shared" si="242"/>
        <v/>
      </c>
      <c r="CG53" s="94" t="str">
        <f t="shared" si="344"/>
        <v/>
      </c>
      <c r="CH53" s="93"/>
      <c r="CI53" s="94" t="str">
        <f t="shared" si="243"/>
        <v/>
      </c>
      <c r="CJ53" s="94" t="str">
        <f t="shared" si="345"/>
        <v/>
      </c>
      <c r="CK53" s="93"/>
      <c r="CL53" s="94" t="str">
        <f t="shared" si="244"/>
        <v/>
      </c>
      <c r="CM53" s="94" t="str">
        <f t="shared" si="346"/>
        <v/>
      </c>
      <c r="CN53" s="93"/>
      <c r="CO53" s="94" t="str">
        <f t="shared" si="245"/>
        <v/>
      </c>
      <c r="CP53" s="94" t="str">
        <f t="shared" si="347"/>
        <v/>
      </c>
      <c r="CQ53" s="114"/>
      <c r="CR53" s="94" t="str">
        <f t="shared" si="246"/>
        <v/>
      </c>
      <c r="CS53" s="94" t="str">
        <f t="shared" si="348"/>
        <v/>
      </c>
      <c r="CT53" s="93"/>
      <c r="CU53" s="94" t="str">
        <f t="shared" si="247"/>
        <v/>
      </c>
      <c r="CV53" s="94" t="str">
        <f t="shared" si="349"/>
        <v/>
      </c>
      <c r="CW53" s="93"/>
      <c r="CX53" s="94" t="str">
        <f t="shared" si="248"/>
        <v/>
      </c>
      <c r="CY53" s="94" t="str">
        <f t="shared" si="350"/>
        <v/>
      </c>
      <c r="CZ53" s="93"/>
      <c r="DA53" s="94" t="str">
        <f t="shared" si="249"/>
        <v/>
      </c>
      <c r="DB53" s="94" t="str">
        <f t="shared" si="351"/>
        <v/>
      </c>
      <c r="DC53" s="93">
        <v>91</v>
      </c>
      <c r="DD53" s="94">
        <f t="shared" si="250"/>
        <v>0.8735214500294145</v>
      </c>
      <c r="DE53" s="94">
        <f t="shared" si="352"/>
        <v>0.75</v>
      </c>
      <c r="DF53" s="93"/>
      <c r="DG53" s="94"/>
      <c r="DH53" s="94" t="str">
        <f t="shared" si="353"/>
        <v/>
      </c>
      <c r="DI53" s="93"/>
      <c r="DJ53" s="94" t="str">
        <f t="shared" si="251"/>
        <v/>
      </c>
      <c r="DK53" s="94" t="str">
        <f t="shared" si="354"/>
        <v/>
      </c>
      <c r="DL53" s="93"/>
      <c r="DM53" s="94" t="str">
        <f t="shared" si="252"/>
        <v/>
      </c>
      <c r="DN53" s="94" t="str">
        <f t="shared" si="355"/>
        <v/>
      </c>
      <c r="DO53" s="93"/>
      <c r="DP53" s="94" t="str">
        <f t="shared" si="253"/>
        <v/>
      </c>
      <c r="DQ53" s="94" t="str">
        <f t="shared" si="356"/>
        <v/>
      </c>
      <c r="DR53" s="93"/>
      <c r="DS53" s="94" t="str">
        <f t="shared" si="254"/>
        <v/>
      </c>
      <c r="DT53" s="94" t="str">
        <f t="shared" si="357"/>
        <v/>
      </c>
      <c r="DU53" s="93"/>
      <c r="DV53" s="94" t="str">
        <f t="shared" si="255"/>
        <v/>
      </c>
      <c r="DW53" s="94" t="str">
        <f t="shared" si="358"/>
        <v/>
      </c>
      <c r="DX53" s="93"/>
      <c r="DY53" s="94" t="str">
        <f t="shared" si="256"/>
        <v/>
      </c>
      <c r="DZ53" s="94" t="str">
        <f t="shared" si="359"/>
        <v/>
      </c>
      <c r="EA53" s="93"/>
      <c r="EB53" s="94" t="str">
        <f t="shared" si="257"/>
        <v/>
      </c>
      <c r="EC53" s="94" t="str">
        <f t="shared" si="360"/>
        <v/>
      </c>
      <c r="ED53" s="93"/>
      <c r="EE53" s="94" t="str">
        <f t="shared" si="258"/>
        <v/>
      </c>
      <c r="EF53" s="94" t="str">
        <f t="shared" si="361"/>
        <v/>
      </c>
      <c r="EG53" s="93"/>
      <c r="EH53" s="94" t="str">
        <f t="shared" si="259"/>
        <v/>
      </c>
      <c r="EI53" s="94" t="str">
        <f t="shared" si="362"/>
        <v/>
      </c>
      <c r="EJ53" s="114"/>
      <c r="EK53" s="94" t="str">
        <f t="shared" si="260"/>
        <v/>
      </c>
      <c r="EL53" s="94" t="str">
        <f t="shared" si="363"/>
        <v/>
      </c>
      <c r="EM53" s="93"/>
      <c r="EN53" s="94" t="str">
        <f t="shared" si="261"/>
        <v/>
      </c>
      <c r="EO53" s="94" t="str">
        <f t="shared" si="364"/>
        <v/>
      </c>
      <c r="EP53" s="93"/>
      <c r="EQ53" s="94" t="str">
        <f t="shared" si="262"/>
        <v/>
      </c>
      <c r="ER53" s="94" t="str">
        <f t="shared" si="365"/>
        <v/>
      </c>
      <c r="ES53" s="66"/>
      <c r="ET53" s="94" t="str">
        <f t="shared" si="263"/>
        <v/>
      </c>
      <c r="EU53" s="94" t="str">
        <f t="shared" si="366"/>
        <v/>
      </c>
      <c r="EV53" s="93"/>
      <c r="EW53" s="94" t="str">
        <f t="shared" si="264"/>
        <v/>
      </c>
      <c r="EX53" s="94" t="str">
        <f t="shared" si="367"/>
        <v/>
      </c>
      <c r="EY53" s="93"/>
      <c r="EZ53" s="94" t="str">
        <f t="shared" si="265"/>
        <v/>
      </c>
      <c r="FA53" s="94" t="str">
        <f t="shared" si="368"/>
        <v/>
      </c>
      <c r="FB53" s="93"/>
      <c r="FC53" s="94" t="str">
        <f t="shared" si="266"/>
        <v/>
      </c>
      <c r="FD53" s="94" t="str">
        <f t="shared" si="369"/>
        <v/>
      </c>
      <c r="FE53" s="93"/>
      <c r="FF53" s="94" t="str">
        <f t="shared" si="267"/>
        <v/>
      </c>
      <c r="FG53" s="94" t="str">
        <f t="shared" si="370"/>
        <v/>
      </c>
      <c r="FH53" s="93"/>
      <c r="FI53" s="94" t="str">
        <f t="shared" si="268"/>
        <v/>
      </c>
      <c r="FJ53" s="94" t="str">
        <f t="shared" si="371"/>
        <v/>
      </c>
      <c r="FK53" s="93"/>
      <c r="FL53" s="94" t="str">
        <f t="shared" si="269"/>
        <v/>
      </c>
      <c r="FM53" s="94" t="str">
        <f t="shared" si="372"/>
        <v/>
      </c>
      <c r="FN53" s="93"/>
      <c r="FO53" s="94" t="str">
        <f t="shared" si="270"/>
        <v/>
      </c>
      <c r="FP53" s="94" t="str">
        <f t="shared" si="373"/>
        <v/>
      </c>
      <c r="FQ53" s="96"/>
      <c r="FR53" s="94" t="str">
        <f t="shared" si="271"/>
        <v/>
      </c>
      <c r="FS53" s="94" t="str">
        <f t="shared" si="374"/>
        <v/>
      </c>
      <c r="FT53" s="93"/>
      <c r="FU53" s="94" t="str">
        <f t="shared" si="272"/>
        <v/>
      </c>
      <c r="FV53" s="94" t="str">
        <f t="shared" si="375"/>
        <v/>
      </c>
      <c r="FW53" s="96"/>
      <c r="FX53" s="94" t="str">
        <f t="shared" si="273"/>
        <v/>
      </c>
      <c r="FY53" s="94" t="str">
        <f t="shared" si="376"/>
        <v/>
      </c>
      <c r="FZ53" s="114"/>
      <c r="GA53" s="94" t="str">
        <f t="shared" si="274"/>
        <v/>
      </c>
      <c r="GB53" s="94" t="str">
        <f t="shared" si="377"/>
        <v/>
      </c>
      <c r="GC53" s="93">
        <v>95</v>
      </c>
      <c r="GD53" s="94">
        <f t="shared" si="275"/>
        <v>0.24445060351935333</v>
      </c>
      <c r="GE53" s="94">
        <f t="shared" si="378"/>
        <v>0.5</v>
      </c>
      <c r="GF53" s="93">
        <v>87</v>
      </c>
      <c r="GG53" s="94">
        <f t="shared" si="276"/>
        <v>0.11322770341445956</v>
      </c>
      <c r="GH53" s="94">
        <f t="shared" si="379"/>
        <v>0.66666666666666663</v>
      </c>
      <c r="GI53" s="93"/>
      <c r="GJ53" s="94" t="str">
        <f t="shared" si="277"/>
        <v/>
      </c>
      <c r="GK53" s="94" t="str">
        <f t="shared" si="380"/>
        <v/>
      </c>
      <c r="GL53" s="93"/>
      <c r="GM53" s="94" t="str">
        <f t="shared" si="278"/>
        <v/>
      </c>
      <c r="GN53" s="94" t="str">
        <f t="shared" si="381"/>
        <v/>
      </c>
      <c r="GO53" s="93"/>
      <c r="GP53" s="94" t="str">
        <f t="shared" si="279"/>
        <v/>
      </c>
      <c r="GQ53" s="94" t="str">
        <f t="shared" si="382"/>
        <v/>
      </c>
      <c r="GR53" s="93"/>
      <c r="GS53" s="94" t="str">
        <f t="shared" si="280"/>
        <v/>
      </c>
      <c r="GT53" s="94" t="str">
        <f t="shared" si="383"/>
        <v/>
      </c>
      <c r="GU53" s="93"/>
      <c r="GV53" s="94" t="str">
        <f t="shared" si="281"/>
        <v/>
      </c>
      <c r="GW53" s="94" t="str">
        <f t="shared" si="384"/>
        <v/>
      </c>
      <c r="GX53" s="93"/>
      <c r="GY53" s="94" t="str">
        <f t="shared" si="282"/>
        <v/>
      </c>
      <c r="GZ53" s="94" t="str">
        <f t="shared" si="385"/>
        <v/>
      </c>
      <c r="HA53" s="93">
        <v>85</v>
      </c>
      <c r="HB53" s="94">
        <f t="shared" si="283"/>
        <v>-0.19127301391900148</v>
      </c>
      <c r="HC53" s="94">
        <f t="shared" si="386"/>
        <v>0.33333333333333331</v>
      </c>
      <c r="HD53" s="93"/>
      <c r="HE53" s="94" t="str">
        <f t="shared" si="284"/>
        <v/>
      </c>
      <c r="HF53" s="94" t="str">
        <f t="shared" si="387"/>
        <v/>
      </c>
      <c r="HG53" s="93"/>
      <c r="HH53" s="94" t="str">
        <f t="shared" si="285"/>
        <v/>
      </c>
      <c r="HI53" s="94" t="str">
        <f t="shared" si="388"/>
        <v/>
      </c>
      <c r="HJ53" s="96"/>
      <c r="HK53" s="94" t="str">
        <f t="shared" si="286"/>
        <v/>
      </c>
      <c r="HL53" s="94" t="str">
        <f t="shared" si="389"/>
        <v/>
      </c>
      <c r="HM53" s="114"/>
      <c r="HN53" s="94" t="str">
        <f t="shared" si="287"/>
        <v/>
      </c>
      <c r="HO53" s="94" t="str">
        <f t="shared" si="390"/>
        <v/>
      </c>
      <c r="HP53" s="93"/>
      <c r="HQ53" s="94" t="str">
        <f t="shared" si="288"/>
        <v/>
      </c>
      <c r="HR53" s="94" t="str">
        <f t="shared" si="391"/>
        <v/>
      </c>
      <c r="HS53" s="93"/>
      <c r="HT53" s="94" t="str">
        <f t="shared" si="289"/>
        <v/>
      </c>
      <c r="HU53" s="94" t="str">
        <f t="shared" si="392"/>
        <v/>
      </c>
      <c r="HV53" s="93"/>
      <c r="HW53" s="94" t="str">
        <f t="shared" si="290"/>
        <v/>
      </c>
      <c r="HX53" s="94" t="str">
        <f t="shared" si="393"/>
        <v/>
      </c>
      <c r="HY53" s="93"/>
      <c r="HZ53" s="94" t="str">
        <f t="shared" si="291"/>
        <v/>
      </c>
      <c r="IA53" s="94" t="str">
        <f t="shared" si="394"/>
        <v/>
      </c>
      <c r="IB53" s="93"/>
      <c r="IC53" s="94" t="str">
        <f t="shared" si="292"/>
        <v/>
      </c>
      <c r="ID53" s="94" t="str">
        <f t="shared" si="395"/>
        <v/>
      </c>
      <c r="IE53" s="93"/>
      <c r="IF53" s="94" t="str">
        <f t="shared" si="293"/>
        <v/>
      </c>
      <c r="IG53" s="94" t="str">
        <f t="shared" si="396"/>
        <v/>
      </c>
      <c r="IH53" s="93"/>
      <c r="II53" s="94" t="str">
        <f t="shared" si="294"/>
        <v/>
      </c>
      <c r="IJ53" s="94" t="str">
        <f t="shared" si="397"/>
        <v/>
      </c>
      <c r="IK53" s="93"/>
      <c r="IL53" s="94" t="str">
        <f t="shared" si="295"/>
        <v/>
      </c>
      <c r="IM53" s="94" t="str">
        <f t="shared" si="398"/>
        <v/>
      </c>
      <c r="IN53" s="93"/>
      <c r="IO53" s="94" t="str">
        <f t="shared" si="296"/>
        <v/>
      </c>
      <c r="IP53" s="94" t="str">
        <f t="shared" si="399"/>
        <v/>
      </c>
      <c r="IQ53" s="93"/>
      <c r="IR53" s="94" t="str">
        <f t="shared" si="297"/>
        <v/>
      </c>
      <c r="IS53" s="94" t="str">
        <f t="shared" si="400"/>
        <v/>
      </c>
      <c r="IT53" s="93"/>
      <c r="IU53" s="94" t="str">
        <f t="shared" si="298"/>
        <v/>
      </c>
      <c r="IV53" s="94" t="str">
        <f t="shared" si="401"/>
        <v/>
      </c>
      <c r="IW53" s="93"/>
      <c r="IX53" s="94" t="str">
        <f t="shared" si="299"/>
        <v/>
      </c>
      <c r="IY53" s="94" t="str">
        <f t="shared" si="402"/>
        <v/>
      </c>
      <c r="IZ53" s="93"/>
      <c r="JA53" s="94" t="str">
        <f t="shared" si="300"/>
        <v/>
      </c>
      <c r="JB53" s="94" t="str">
        <f t="shared" si="403"/>
        <v/>
      </c>
      <c r="JC53" s="93"/>
      <c r="JD53" s="94" t="str">
        <f t="shared" si="301"/>
        <v/>
      </c>
      <c r="JE53" s="94" t="str">
        <f t="shared" si="404"/>
        <v/>
      </c>
      <c r="JF53" s="93"/>
      <c r="JG53" s="94" t="str">
        <f t="shared" si="302"/>
        <v/>
      </c>
      <c r="JH53" s="94" t="str">
        <f t="shared" si="405"/>
        <v/>
      </c>
      <c r="JI53" s="93"/>
      <c r="JJ53" s="94" t="str">
        <f t="shared" si="303"/>
        <v/>
      </c>
      <c r="JK53" s="94" t="str">
        <f t="shared" si="406"/>
        <v/>
      </c>
      <c r="JL53" s="93"/>
      <c r="JM53" s="94" t="str">
        <f t="shared" si="304"/>
        <v/>
      </c>
      <c r="JN53" s="94" t="str">
        <f t="shared" si="407"/>
        <v/>
      </c>
      <c r="JO53" s="93"/>
      <c r="JP53" s="94" t="str">
        <f t="shared" si="305"/>
        <v/>
      </c>
      <c r="JQ53" s="94" t="str">
        <f t="shared" si="408"/>
        <v/>
      </c>
      <c r="JR53" s="93"/>
      <c r="JS53" s="94" t="str">
        <f t="shared" si="306"/>
        <v/>
      </c>
      <c r="JT53" s="94" t="str">
        <f t="shared" si="409"/>
        <v/>
      </c>
      <c r="JU53" s="93"/>
      <c r="JV53" s="94" t="str">
        <f t="shared" si="307"/>
        <v/>
      </c>
      <c r="JW53" s="94" t="str">
        <f t="shared" si="410"/>
        <v/>
      </c>
      <c r="JX53" s="93"/>
      <c r="JY53" s="94" t="str">
        <f t="shared" si="308"/>
        <v/>
      </c>
      <c r="JZ53" s="94" t="str">
        <f t="shared" si="411"/>
        <v/>
      </c>
      <c r="KA53" s="93"/>
      <c r="KB53" s="94" t="str">
        <f t="shared" si="309"/>
        <v/>
      </c>
      <c r="KC53" s="94" t="str">
        <f t="shared" si="412"/>
        <v/>
      </c>
      <c r="KD53" s="93"/>
      <c r="KE53" s="94" t="str">
        <f t="shared" si="310"/>
        <v/>
      </c>
      <c r="KF53" s="94" t="str">
        <f t="shared" si="413"/>
        <v/>
      </c>
      <c r="KG53" s="93"/>
      <c r="KH53" s="94" t="str">
        <f t="shared" si="311"/>
        <v/>
      </c>
      <c r="KI53" s="94" t="str">
        <f t="shared" si="414"/>
        <v/>
      </c>
      <c r="KJ53" s="93"/>
      <c r="KK53" s="94" t="str">
        <f t="shared" si="312"/>
        <v/>
      </c>
      <c r="KL53" s="94" t="str">
        <f t="shared" si="415"/>
        <v/>
      </c>
      <c r="KM53" s="93"/>
      <c r="KN53" s="94" t="str">
        <f t="shared" si="313"/>
        <v/>
      </c>
      <c r="KO53" s="94" t="str">
        <f t="shared" si="416"/>
        <v/>
      </c>
      <c r="KP53" s="93"/>
      <c r="KQ53" s="94" t="str">
        <f t="shared" si="314"/>
        <v/>
      </c>
      <c r="KR53" s="94" t="str">
        <f t="shared" si="417"/>
        <v/>
      </c>
      <c r="KS53" s="93"/>
      <c r="KT53" s="94" t="str">
        <f t="shared" si="315"/>
        <v/>
      </c>
      <c r="KU53" s="94" t="str">
        <f t="shared" si="418"/>
        <v/>
      </c>
      <c r="KV53" s="93"/>
      <c r="KW53" s="94" t="str">
        <f t="shared" si="316"/>
        <v/>
      </c>
      <c r="KX53" s="94" t="str">
        <f t="shared" si="419"/>
        <v/>
      </c>
      <c r="KY53" s="96"/>
      <c r="KZ53" s="94" t="str">
        <f t="shared" si="317"/>
        <v/>
      </c>
      <c r="LA53" s="94" t="str">
        <f t="shared" si="420"/>
        <v/>
      </c>
      <c r="LB53" s="65">
        <f t="shared" si="218"/>
        <v>91.4</v>
      </c>
      <c r="LC53" s="115">
        <f t="shared" si="421"/>
        <v>13</v>
      </c>
      <c r="LD53" s="65">
        <f t="shared" si="207"/>
        <v>0.39109572997676734</v>
      </c>
      <c r="LE53" s="115">
        <f t="shared" si="422"/>
        <v>21</v>
      </c>
      <c r="LF53" s="65">
        <f t="shared" si="208"/>
        <v>0.65</v>
      </c>
      <c r="LG53" s="115">
        <f t="shared" si="423"/>
        <v>25</v>
      </c>
      <c r="LH53" s="69">
        <f t="shared" si="318"/>
        <v>46.381578947368425</v>
      </c>
      <c r="LI53" s="69">
        <f t="shared" si="319"/>
        <v>43.499830551115863</v>
      </c>
      <c r="LJ53" s="69">
        <f t="shared" si="320"/>
        <v>41.25</v>
      </c>
      <c r="LK53" s="69">
        <f t="shared" si="424"/>
        <v>81.131409498484288</v>
      </c>
      <c r="LL53" s="71">
        <f t="shared" si="425"/>
        <v>21</v>
      </c>
      <c r="LM53" s="68"/>
      <c r="LN53" s="72">
        <f>IFERROR(RANK(LK53,(LK$52:LK$53),0),"")</f>
        <v>1</v>
      </c>
      <c r="LO53" s="72">
        <f t="shared" si="214"/>
        <v>21</v>
      </c>
      <c r="LP53" s="68"/>
      <c r="LQ53" s="68"/>
      <c r="LR53" s="68"/>
    </row>
    <row r="54" spans="1:334" s="74" customFormat="1" ht="15" customHeight="1">
      <c r="A54" s="50">
        <f t="shared" si="211"/>
        <v>6</v>
      </c>
      <c r="B54" s="50">
        <f t="shared" si="212"/>
        <v>5</v>
      </c>
      <c r="C54" s="117">
        <v>6</v>
      </c>
      <c r="D54" s="118" t="s">
        <v>263</v>
      </c>
      <c r="E54" s="286" t="s">
        <v>659</v>
      </c>
      <c r="F54" s="76"/>
      <c r="G54" s="76"/>
      <c r="H54" s="119" t="s">
        <v>5</v>
      </c>
      <c r="I54" s="286" t="s">
        <v>575</v>
      </c>
      <c r="J54" s="119" t="s">
        <v>264</v>
      </c>
      <c r="K54" s="119" t="s">
        <v>8</v>
      </c>
      <c r="L54" s="53" t="s">
        <v>265</v>
      </c>
      <c r="M54" s="292" t="s">
        <v>35</v>
      </c>
      <c r="N54" s="86"/>
      <c r="O54" s="91" t="str">
        <f t="shared" si="219"/>
        <v/>
      </c>
      <c r="P54" s="85" t="str">
        <f t="shared" si="321"/>
        <v/>
      </c>
      <c r="Q54" s="86"/>
      <c r="R54" s="91" t="str">
        <f t="shared" si="220"/>
        <v/>
      </c>
      <c r="S54" s="85" t="str">
        <f t="shared" si="322"/>
        <v/>
      </c>
      <c r="T54" s="86"/>
      <c r="U54" s="91" t="str">
        <f t="shared" si="221"/>
        <v/>
      </c>
      <c r="V54" s="85" t="str">
        <f t="shared" si="323"/>
        <v/>
      </c>
      <c r="W54" s="86"/>
      <c r="X54" s="91" t="str">
        <f t="shared" si="222"/>
        <v/>
      </c>
      <c r="Y54" s="85" t="str">
        <f t="shared" si="324"/>
        <v/>
      </c>
      <c r="Z54" s="86"/>
      <c r="AA54" s="91" t="str">
        <f t="shared" si="223"/>
        <v/>
      </c>
      <c r="AB54" s="85" t="str">
        <f t="shared" si="325"/>
        <v/>
      </c>
      <c r="AC54" s="86"/>
      <c r="AD54" s="91" t="str">
        <f t="shared" si="224"/>
        <v/>
      </c>
      <c r="AE54" s="85" t="str">
        <f t="shared" si="326"/>
        <v/>
      </c>
      <c r="AF54" s="86"/>
      <c r="AG54" s="91" t="str">
        <f t="shared" si="225"/>
        <v/>
      </c>
      <c r="AH54" s="85" t="str">
        <f t="shared" si="327"/>
        <v/>
      </c>
      <c r="AI54" s="86"/>
      <c r="AJ54" s="91" t="str">
        <f t="shared" si="226"/>
        <v/>
      </c>
      <c r="AK54" s="85" t="str">
        <f t="shared" si="328"/>
        <v/>
      </c>
      <c r="AL54" s="86" t="s">
        <v>50</v>
      </c>
      <c r="AM54" s="91" t="str">
        <f t="shared" si="227"/>
        <v/>
      </c>
      <c r="AN54" s="85" t="str">
        <f t="shared" si="329"/>
        <v/>
      </c>
      <c r="AO54" s="86"/>
      <c r="AP54" s="91" t="str">
        <f t="shared" si="228"/>
        <v/>
      </c>
      <c r="AQ54" s="85" t="str">
        <f t="shared" si="330"/>
        <v/>
      </c>
      <c r="AR54" s="86"/>
      <c r="AS54" s="91" t="str">
        <f t="shared" si="229"/>
        <v/>
      </c>
      <c r="AT54" s="85" t="str">
        <f t="shared" si="331"/>
        <v/>
      </c>
      <c r="AU54" s="86"/>
      <c r="AV54" s="91" t="str">
        <f t="shared" si="230"/>
        <v/>
      </c>
      <c r="AW54" s="85" t="str">
        <f t="shared" si="332"/>
        <v/>
      </c>
      <c r="AX54" s="86"/>
      <c r="AY54" s="91" t="str">
        <f t="shared" si="231"/>
        <v/>
      </c>
      <c r="AZ54" s="85" t="str">
        <f t="shared" si="333"/>
        <v/>
      </c>
      <c r="BA54" s="86"/>
      <c r="BB54" s="91" t="str">
        <f t="shared" si="232"/>
        <v/>
      </c>
      <c r="BC54" s="85" t="str">
        <f t="shared" si="334"/>
        <v/>
      </c>
      <c r="BD54" s="56"/>
      <c r="BE54" s="91" t="str">
        <f t="shared" si="233"/>
        <v/>
      </c>
      <c r="BF54" s="85" t="str">
        <f t="shared" si="335"/>
        <v/>
      </c>
      <c r="BG54" s="86"/>
      <c r="BH54" s="91" t="str">
        <f t="shared" si="234"/>
        <v/>
      </c>
      <c r="BI54" s="85" t="str">
        <f t="shared" si="336"/>
        <v/>
      </c>
      <c r="BJ54" s="56"/>
      <c r="BK54" s="91" t="str">
        <f t="shared" si="235"/>
        <v/>
      </c>
      <c r="BL54" s="85" t="str">
        <f t="shared" si="337"/>
        <v/>
      </c>
      <c r="BM54" s="86"/>
      <c r="BN54" s="91" t="str">
        <f t="shared" si="236"/>
        <v/>
      </c>
      <c r="BO54" s="85" t="str">
        <f t="shared" si="338"/>
        <v/>
      </c>
      <c r="BP54" s="51"/>
      <c r="BQ54" s="91" t="str">
        <f t="shared" si="237"/>
        <v/>
      </c>
      <c r="BR54" s="85" t="str">
        <f t="shared" si="339"/>
        <v/>
      </c>
      <c r="BS54" s="86"/>
      <c r="BT54" s="91" t="str">
        <f t="shared" si="238"/>
        <v/>
      </c>
      <c r="BU54" s="85" t="str">
        <f t="shared" si="340"/>
        <v/>
      </c>
      <c r="BV54" s="86"/>
      <c r="BW54" s="91" t="str">
        <f t="shared" si="239"/>
        <v/>
      </c>
      <c r="BX54" s="85" t="str">
        <f t="shared" si="341"/>
        <v/>
      </c>
      <c r="BY54" s="86"/>
      <c r="BZ54" s="91" t="str">
        <f t="shared" si="240"/>
        <v/>
      </c>
      <c r="CA54" s="85" t="str">
        <f t="shared" si="342"/>
        <v/>
      </c>
      <c r="CB54" s="86">
        <v>84</v>
      </c>
      <c r="CC54" s="91">
        <f t="shared" si="241"/>
        <v>-6.1186276233600317E-2</v>
      </c>
      <c r="CD54" s="85">
        <f t="shared" si="343"/>
        <v>0.33333333333333331</v>
      </c>
      <c r="CE54" s="86"/>
      <c r="CF54" s="91" t="str">
        <f t="shared" si="242"/>
        <v/>
      </c>
      <c r="CG54" s="85" t="str">
        <f t="shared" si="344"/>
        <v/>
      </c>
      <c r="CH54" s="86"/>
      <c r="CI54" s="91" t="str">
        <f t="shared" si="243"/>
        <v/>
      </c>
      <c r="CJ54" s="85" t="str">
        <f t="shared" si="345"/>
        <v/>
      </c>
      <c r="CK54" s="86"/>
      <c r="CL54" s="91" t="str">
        <f t="shared" si="244"/>
        <v/>
      </c>
      <c r="CM54" s="85" t="str">
        <f t="shared" si="346"/>
        <v/>
      </c>
      <c r="CN54" s="86">
        <v>84</v>
      </c>
      <c r="CO54" s="91">
        <f t="shared" si="245"/>
        <v>-0.328090402331294</v>
      </c>
      <c r="CP54" s="85">
        <f t="shared" si="347"/>
        <v>0.5</v>
      </c>
      <c r="CQ54" s="86"/>
      <c r="CR54" s="91" t="str">
        <f t="shared" si="246"/>
        <v/>
      </c>
      <c r="CS54" s="85" t="str">
        <f t="shared" si="348"/>
        <v/>
      </c>
      <c r="CT54" s="86"/>
      <c r="CU54" s="91" t="str">
        <f t="shared" si="247"/>
        <v/>
      </c>
      <c r="CV54" s="85" t="str">
        <f t="shared" si="349"/>
        <v/>
      </c>
      <c r="CW54" s="86"/>
      <c r="CX54" s="91" t="str">
        <f t="shared" si="248"/>
        <v/>
      </c>
      <c r="CY54" s="85" t="str">
        <f t="shared" si="350"/>
        <v/>
      </c>
      <c r="CZ54" s="56"/>
      <c r="DA54" s="91" t="str">
        <f t="shared" si="249"/>
        <v/>
      </c>
      <c r="DB54" s="85" t="str">
        <f t="shared" si="351"/>
        <v/>
      </c>
      <c r="DC54" s="86"/>
      <c r="DD54" s="91" t="str">
        <f t="shared" si="250"/>
        <v/>
      </c>
      <c r="DE54" s="85" t="str">
        <f t="shared" si="352"/>
        <v/>
      </c>
      <c r="DF54" s="92"/>
      <c r="DG54" s="91"/>
      <c r="DH54" s="85" t="str">
        <f t="shared" si="353"/>
        <v/>
      </c>
      <c r="DI54" s="86"/>
      <c r="DJ54" s="91" t="str">
        <f t="shared" si="251"/>
        <v/>
      </c>
      <c r="DK54" s="85" t="str">
        <f t="shared" si="354"/>
        <v/>
      </c>
      <c r="DL54" s="86"/>
      <c r="DM54" s="91" t="str">
        <f t="shared" si="252"/>
        <v/>
      </c>
      <c r="DN54" s="85" t="str">
        <f t="shared" si="355"/>
        <v/>
      </c>
      <c r="DO54" s="86"/>
      <c r="DP54" s="91" t="str">
        <f t="shared" si="253"/>
        <v/>
      </c>
      <c r="DQ54" s="85" t="str">
        <f t="shared" si="356"/>
        <v/>
      </c>
      <c r="DR54" s="86"/>
      <c r="DS54" s="91" t="str">
        <f t="shared" si="254"/>
        <v/>
      </c>
      <c r="DT54" s="85" t="str">
        <f t="shared" si="357"/>
        <v/>
      </c>
      <c r="DU54" s="86"/>
      <c r="DV54" s="91" t="str">
        <f t="shared" si="255"/>
        <v/>
      </c>
      <c r="DW54" s="85" t="str">
        <f t="shared" si="358"/>
        <v/>
      </c>
      <c r="DX54" s="86"/>
      <c r="DY54" s="91" t="str">
        <f t="shared" si="256"/>
        <v/>
      </c>
      <c r="DZ54" s="85" t="str">
        <f t="shared" si="359"/>
        <v/>
      </c>
      <c r="EA54" s="56"/>
      <c r="EB54" s="91" t="str">
        <f t="shared" si="257"/>
        <v/>
      </c>
      <c r="EC54" s="85" t="str">
        <f t="shared" si="360"/>
        <v/>
      </c>
      <c r="ED54" s="86"/>
      <c r="EE54" s="91" t="str">
        <f t="shared" si="258"/>
        <v/>
      </c>
      <c r="EF54" s="85" t="str">
        <f t="shared" si="361"/>
        <v/>
      </c>
      <c r="EG54" s="86">
        <v>91</v>
      </c>
      <c r="EH54" s="91">
        <f t="shared" si="259"/>
        <v>0.35478743759344955</v>
      </c>
      <c r="EI54" s="85">
        <f t="shared" si="362"/>
        <v>0.5</v>
      </c>
      <c r="EJ54" s="86"/>
      <c r="EK54" s="91" t="str">
        <f t="shared" si="260"/>
        <v/>
      </c>
      <c r="EL54" s="85" t="str">
        <f t="shared" si="363"/>
        <v/>
      </c>
      <c r="EM54" s="86"/>
      <c r="EN54" s="91" t="str">
        <f t="shared" si="261"/>
        <v/>
      </c>
      <c r="EO54" s="85" t="str">
        <f t="shared" si="364"/>
        <v/>
      </c>
      <c r="EP54" s="86"/>
      <c r="EQ54" s="91" t="str">
        <f t="shared" si="262"/>
        <v/>
      </c>
      <c r="ER54" s="85" t="str">
        <f t="shared" si="365"/>
        <v/>
      </c>
      <c r="ES54" s="51"/>
      <c r="ET54" s="91" t="str">
        <f t="shared" si="263"/>
        <v/>
      </c>
      <c r="EU54" s="85" t="str">
        <f t="shared" si="366"/>
        <v/>
      </c>
      <c r="EV54" s="86"/>
      <c r="EW54" s="91" t="str">
        <f t="shared" si="264"/>
        <v/>
      </c>
      <c r="EX54" s="85" t="str">
        <f t="shared" si="367"/>
        <v/>
      </c>
      <c r="EY54" s="86"/>
      <c r="EZ54" s="91" t="str">
        <f t="shared" si="265"/>
        <v/>
      </c>
      <c r="FA54" s="85" t="str">
        <f t="shared" si="368"/>
        <v/>
      </c>
      <c r="FB54" s="86"/>
      <c r="FC54" s="91" t="str">
        <f t="shared" si="266"/>
        <v/>
      </c>
      <c r="FD54" s="85" t="str">
        <f t="shared" si="369"/>
        <v/>
      </c>
      <c r="FE54" s="86"/>
      <c r="FF54" s="91" t="str">
        <f t="shared" si="267"/>
        <v/>
      </c>
      <c r="FG54" s="85" t="str">
        <f t="shared" si="370"/>
        <v/>
      </c>
      <c r="FH54" s="86">
        <v>77</v>
      </c>
      <c r="FI54" s="91">
        <f t="shared" si="268"/>
        <v>0</v>
      </c>
      <c r="FJ54" s="85">
        <f t="shared" si="371"/>
        <v>0.33333333333333331</v>
      </c>
      <c r="FK54" s="86"/>
      <c r="FL54" s="91" t="str">
        <f t="shared" si="269"/>
        <v/>
      </c>
      <c r="FM54" s="85" t="str">
        <f t="shared" si="372"/>
        <v/>
      </c>
      <c r="FN54" s="86"/>
      <c r="FO54" s="91" t="str">
        <f t="shared" si="270"/>
        <v/>
      </c>
      <c r="FP54" s="85" t="str">
        <f t="shared" si="373"/>
        <v/>
      </c>
      <c r="FQ54" s="92"/>
      <c r="FR54" s="91" t="str">
        <f t="shared" si="271"/>
        <v/>
      </c>
      <c r="FS54" s="85" t="str">
        <f t="shared" si="374"/>
        <v/>
      </c>
      <c r="FT54" s="86"/>
      <c r="FU54" s="91" t="str">
        <f t="shared" si="272"/>
        <v/>
      </c>
      <c r="FV54" s="85" t="str">
        <f t="shared" si="375"/>
        <v/>
      </c>
      <c r="FW54" s="56"/>
      <c r="FX54" s="91" t="str">
        <f t="shared" si="273"/>
        <v/>
      </c>
      <c r="FY54" s="85" t="str">
        <f t="shared" si="376"/>
        <v/>
      </c>
      <c r="FZ54" s="86"/>
      <c r="GA54" s="91" t="str">
        <f t="shared" si="274"/>
        <v/>
      </c>
      <c r="GB54" s="85" t="str">
        <f t="shared" si="377"/>
        <v/>
      </c>
      <c r="GC54" s="86"/>
      <c r="GD54" s="91" t="str">
        <f t="shared" si="275"/>
        <v/>
      </c>
      <c r="GE54" s="85" t="str">
        <f t="shared" si="378"/>
        <v/>
      </c>
      <c r="GF54" s="86"/>
      <c r="GG54" s="91" t="str">
        <f t="shared" si="276"/>
        <v/>
      </c>
      <c r="GH54" s="85" t="str">
        <f t="shared" si="379"/>
        <v/>
      </c>
      <c r="GI54" s="86"/>
      <c r="GJ54" s="91" t="str">
        <f t="shared" si="277"/>
        <v/>
      </c>
      <c r="GK54" s="85" t="str">
        <f t="shared" si="380"/>
        <v/>
      </c>
      <c r="GL54" s="86"/>
      <c r="GM54" s="91" t="str">
        <f t="shared" si="278"/>
        <v/>
      </c>
      <c r="GN54" s="85" t="str">
        <f t="shared" si="381"/>
        <v/>
      </c>
      <c r="GO54" s="86"/>
      <c r="GP54" s="91" t="str">
        <f t="shared" si="279"/>
        <v/>
      </c>
      <c r="GQ54" s="85" t="str">
        <f t="shared" si="382"/>
        <v/>
      </c>
      <c r="GR54" s="86"/>
      <c r="GS54" s="91" t="str">
        <f t="shared" si="280"/>
        <v/>
      </c>
      <c r="GT54" s="85" t="str">
        <f t="shared" si="383"/>
        <v/>
      </c>
      <c r="GU54" s="252">
        <v>84</v>
      </c>
      <c r="GV54" s="91">
        <f t="shared" si="281"/>
        <v>0.10050378152592121</v>
      </c>
      <c r="GW54" s="85">
        <f t="shared" si="384"/>
        <v>0.5</v>
      </c>
      <c r="GX54" s="86"/>
      <c r="GY54" s="91" t="str">
        <f t="shared" si="282"/>
        <v/>
      </c>
      <c r="GZ54" s="85" t="str">
        <f t="shared" si="385"/>
        <v/>
      </c>
      <c r="HA54" s="86"/>
      <c r="HB54" s="91" t="str">
        <f t="shared" si="283"/>
        <v/>
      </c>
      <c r="HC54" s="85" t="str">
        <f t="shared" si="386"/>
        <v/>
      </c>
      <c r="HD54" s="86"/>
      <c r="HE54" s="91" t="str">
        <f t="shared" si="284"/>
        <v/>
      </c>
      <c r="HF54" s="85" t="str">
        <f t="shared" si="387"/>
        <v/>
      </c>
      <c r="HG54" s="86"/>
      <c r="HH54" s="91" t="str">
        <f t="shared" si="285"/>
        <v/>
      </c>
      <c r="HI54" s="85" t="str">
        <f t="shared" si="388"/>
        <v/>
      </c>
      <c r="HJ54" s="92"/>
      <c r="HK54" s="91" t="str">
        <f t="shared" si="286"/>
        <v/>
      </c>
      <c r="HL54" s="85" t="str">
        <f t="shared" si="389"/>
        <v/>
      </c>
      <c r="HM54" s="86"/>
      <c r="HN54" s="91" t="str">
        <f t="shared" si="287"/>
        <v/>
      </c>
      <c r="HO54" s="85" t="str">
        <f t="shared" si="390"/>
        <v/>
      </c>
      <c r="HP54" s="86"/>
      <c r="HQ54" s="91" t="str">
        <f t="shared" si="288"/>
        <v/>
      </c>
      <c r="HR54" s="85" t="str">
        <f t="shared" si="391"/>
        <v/>
      </c>
      <c r="HS54" s="86"/>
      <c r="HT54" s="91" t="str">
        <f t="shared" si="289"/>
        <v/>
      </c>
      <c r="HU54" s="85" t="str">
        <f t="shared" si="392"/>
        <v/>
      </c>
      <c r="HV54" s="86"/>
      <c r="HW54" s="91" t="str">
        <f t="shared" si="290"/>
        <v/>
      </c>
      <c r="HX54" s="85" t="str">
        <f t="shared" si="393"/>
        <v/>
      </c>
      <c r="HY54" s="86"/>
      <c r="HZ54" s="91" t="str">
        <f t="shared" si="291"/>
        <v/>
      </c>
      <c r="IA54" s="85" t="str">
        <f t="shared" si="394"/>
        <v/>
      </c>
      <c r="IB54" s="86"/>
      <c r="IC54" s="91" t="str">
        <f t="shared" si="292"/>
        <v/>
      </c>
      <c r="ID54" s="85" t="str">
        <f t="shared" si="395"/>
        <v/>
      </c>
      <c r="IE54" s="86"/>
      <c r="IF54" s="91" t="str">
        <f t="shared" si="293"/>
        <v/>
      </c>
      <c r="IG54" s="85" t="str">
        <f t="shared" si="396"/>
        <v/>
      </c>
      <c r="IH54" s="86"/>
      <c r="II54" s="91" t="str">
        <f t="shared" si="294"/>
        <v/>
      </c>
      <c r="IJ54" s="85" t="str">
        <f t="shared" si="397"/>
        <v/>
      </c>
      <c r="IK54" s="86"/>
      <c r="IL54" s="91" t="str">
        <f t="shared" si="295"/>
        <v/>
      </c>
      <c r="IM54" s="85" t="str">
        <f t="shared" si="398"/>
        <v/>
      </c>
      <c r="IN54" s="86"/>
      <c r="IO54" s="91" t="str">
        <f t="shared" si="296"/>
        <v/>
      </c>
      <c r="IP54" s="85" t="str">
        <f t="shared" si="399"/>
        <v/>
      </c>
      <c r="IQ54" s="86"/>
      <c r="IR54" s="91" t="str">
        <f t="shared" si="297"/>
        <v/>
      </c>
      <c r="IS54" s="85" t="str">
        <f t="shared" si="400"/>
        <v/>
      </c>
      <c r="IT54" s="86"/>
      <c r="IU54" s="91" t="str">
        <f t="shared" si="298"/>
        <v/>
      </c>
      <c r="IV54" s="85" t="str">
        <f t="shared" si="401"/>
        <v/>
      </c>
      <c r="IW54" s="86"/>
      <c r="IX54" s="91" t="str">
        <f t="shared" si="299"/>
        <v/>
      </c>
      <c r="IY54" s="85" t="str">
        <f t="shared" si="402"/>
        <v/>
      </c>
      <c r="IZ54" s="86"/>
      <c r="JA54" s="91" t="str">
        <f t="shared" si="300"/>
        <v/>
      </c>
      <c r="JB54" s="85" t="str">
        <f t="shared" si="403"/>
        <v/>
      </c>
      <c r="JC54" s="86"/>
      <c r="JD54" s="91" t="str">
        <f t="shared" si="301"/>
        <v/>
      </c>
      <c r="JE54" s="85" t="str">
        <f t="shared" si="404"/>
        <v/>
      </c>
      <c r="JF54" s="86"/>
      <c r="JG54" s="91" t="str">
        <f t="shared" si="302"/>
        <v/>
      </c>
      <c r="JH54" s="85" t="str">
        <f t="shared" si="405"/>
        <v/>
      </c>
      <c r="JI54" s="86"/>
      <c r="JJ54" s="91" t="str">
        <f t="shared" si="303"/>
        <v/>
      </c>
      <c r="JK54" s="85" t="str">
        <f t="shared" si="406"/>
        <v/>
      </c>
      <c r="JL54" s="86"/>
      <c r="JM54" s="91" t="str">
        <f t="shared" si="304"/>
        <v/>
      </c>
      <c r="JN54" s="85" t="str">
        <f t="shared" si="407"/>
        <v/>
      </c>
      <c r="JO54" s="86"/>
      <c r="JP54" s="91" t="str">
        <f t="shared" si="305"/>
        <v/>
      </c>
      <c r="JQ54" s="85" t="str">
        <f t="shared" si="408"/>
        <v/>
      </c>
      <c r="JR54" s="86"/>
      <c r="JS54" s="91" t="str">
        <f t="shared" si="306"/>
        <v/>
      </c>
      <c r="JT54" s="85" t="str">
        <f t="shared" si="409"/>
        <v/>
      </c>
      <c r="JU54" s="86"/>
      <c r="JV54" s="91" t="str">
        <f t="shared" si="307"/>
        <v/>
      </c>
      <c r="JW54" s="85" t="str">
        <f t="shared" si="410"/>
        <v/>
      </c>
      <c r="JX54" s="86"/>
      <c r="JY54" s="91" t="str">
        <f t="shared" si="308"/>
        <v/>
      </c>
      <c r="JZ54" s="85" t="str">
        <f t="shared" si="411"/>
        <v/>
      </c>
      <c r="KA54" s="86"/>
      <c r="KB54" s="91" t="str">
        <f t="shared" si="309"/>
        <v/>
      </c>
      <c r="KC54" s="85" t="str">
        <f t="shared" si="412"/>
        <v/>
      </c>
      <c r="KD54" s="86"/>
      <c r="KE54" s="91" t="str">
        <f t="shared" si="310"/>
        <v/>
      </c>
      <c r="KF54" s="85" t="str">
        <f t="shared" si="413"/>
        <v/>
      </c>
      <c r="KG54" s="86"/>
      <c r="KH54" s="91" t="str">
        <f t="shared" si="311"/>
        <v/>
      </c>
      <c r="KI54" s="85" t="str">
        <f t="shared" si="414"/>
        <v/>
      </c>
      <c r="KJ54" s="86"/>
      <c r="KK54" s="91" t="str">
        <f t="shared" si="312"/>
        <v/>
      </c>
      <c r="KL54" s="85" t="str">
        <f t="shared" si="415"/>
        <v/>
      </c>
      <c r="KM54" s="86"/>
      <c r="KN54" s="91" t="str">
        <f t="shared" si="313"/>
        <v/>
      </c>
      <c r="KO54" s="85" t="str">
        <f t="shared" si="416"/>
        <v/>
      </c>
      <c r="KP54" s="86"/>
      <c r="KQ54" s="91" t="str">
        <f t="shared" si="314"/>
        <v/>
      </c>
      <c r="KR54" s="85" t="str">
        <f t="shared" si="417"/>
        <v/>
      </c>
      <c r="KS54" s="86"/>
      <c r="KT54" s="91" t="str">
        <f t="shared" si="315"/>
        <v/>
      </c>
      <c r="KU54" s="85" t="str">
        <f t="shared" si="418"/>
        <v/>
      </c>
      <c r="KV54" s="86"/>
      <c r="KW54" s="91" t="str">
        <f t="shared" si="316"/>
        <v/>
      </c>
      <c r="KX54" s="85" t="str">
        <f t="shared" si="419"/>
        <v/>
      </c>
      <c r="KY54" s="92"/>
      <c r="KZ54" s="91" t="str">
        <f t="shared" si="317"/>
        <v/>
      </c>
      <c r="LA54" s="85" t="str">
        <f t="shared" si="420"/>
        <v/>
      </c>
      <c r="LB54" s="50">
        <f t="shared" si="218"/>
        <v>84</v>
      </c>
      <c r="LC54" s="57">
        <f t="shared" si="421"/>
        <v>38</v>
      </c>
      <c r="LD54" s="50">
        <f t="shared" si="207"/>
        <v>1.3202908110895284E-2</v>
      </c>
      <c r="LE54" s="57">
        <f t="shared" si="422"/>
        <v>37</v>
      </c>
      <c r="LF54" s="50">
        <f t="shared" si="208"/>
        <v>0.43333333333333329</v>
      </c>
      <c r="LG54" s="57">
        <f t="shared" si="423"/>
        <v>39</v>
      </c>
      <c r="LH54" s="58">
        <f t="shared" si="318"/>
        <v>42.324561403508774</v>
      </c>
      <c r="LI54" s="58">
        <f t="shared" si="319"/>
        <v>39.971992710151412</v>
      </c>
      <c r="LJ54" s="58">
        <f t="shared" si="320"/>
        <v>35.833333333333329</v>
      </c>
      <c r="LK54" s="58">
        <f t="shared" si="424"/>
        <v>68.129887446993521</v>
      </c>
      <c r="LL54" s="60">
        <f t="shared" si="425"/>
        <v>38</v>
      </c>
      <c r="LM54" s="55"/>
      <c r="LN54" s="61">
        <f>IFERROR(RANK(LK54,(LK$54:LK$62),0),"")</f>
        <v>5</v>
      </c>
      <c r="LO54" s="61">
        <f t="shared" si="214"/>
        <v>38</v>
      </c>
      <c r="LP54" s="64"/>
      <c r="LQ54" s="64"/>
      <c r="LR54" s="64"/>
      <c r="LS54" s="62"/>
      <c r="LT54" s="62"/>
      <c r="LU54" s="63"/>
      <c r="LV54" s="63"/>
    </row>
    <row r="55" spans="1:334" s="63" customFormat="1" ht="15" customHeight="1">
      <c r="A55" s="50">
        <f t="shared" si="211"/>
        <v>6</v>
      </c>
      <c r="B55" s="50">
        <f t="shared" si="212"/>
        <v>5</v>
      </c>
      <c r="C55" s="117">
        <v>14</v>
      </c>
      <c r="D55" s="118" t="s">
        <v>266</v>
      </c>
      <c r="E55" s="286" t="s">
        <v>660</v>
      </c>
      <c r="F55" s="286" t="s">
        <v>661</v>
      </c>
      <c r="G55" s="76"/>
      <c r="H55" s="119" t="s">
        <v>5</v>
      </c>
      <c r="I55" s="286" t="s">
        <v>576</v>
      </c>
      <c r="J55" s="119" t="s">
        <v>267</v>
      </c>
      <c r="K55" s="119" t="s">
        <v>8</v>
      </c>
      <c r="L55" s="53" t="s">
        <v>268</v>
      </c>
      <c r="M55" s="292" t="s">
        <v>35</v>
      </c>
      <c r="N55" s="86"/>
      <c r="O55" s="91" t="str">
        <f t="shared" si="219"/>
        <v/>
      </c>
      <c r="P55" s="85" t="str">
        <f t="shared" si="321"/>
        <v/>
      </c>
      <c r="Q55" s="86"/>
      <c r="R55" s="91" t="str">
        <f t="shared" si="220"/>
        <v/>
      </c>
      <c r="S55" s="85" t="str">
        <f t="shared" si="322"/>
        <v/>
      </c>
      <c r="T55" s="56"/>
      <c r="U55" s="91" t="str">
        <f t="shared" si="221"/>
        <v/>
      </c>
      <c r="V55" s="85" t="str">
        <f t="shared" si="323"/>
        <v/>
      </c>
      <c r="W55" s="86"/>
      <c r="X55" s="91" t="str">
        <f t="shared" si="222"/>
        <v/>
      </c>
      <c r="Y55" s="85" t="str">
        <f t="shared" si="324"/>
        <v/>
      </c>
      <c r="Z55" s="86"/>
      <c r="AA55" s="91" t="str">
        <f t="shared" si="223"/>
        <v/>
      </c>
      <c r="AB55" s="85" t="str">
        <f t="shared" si="325"/>
        <v/>
      </c>
      <c r="AC55" s="86"/>
      <c r="AD55" s="91" t="str">
        <f t="shared" si="224"/>
        <v/>
      </c>
      <c r="AE55" s="85" t="str">
        <f t="shared" si="326"/>
        <v/>
      </c>
      <c r="AF55" s="86"/>
      <c r="AG55" s="91" t="str">
        <f t="shared" si="225"/>
        <v/>
      </c>
      <c r="AH55" s="85" t="str">
        <f t="shared" si="327"/>
        <v/>
      </c>
      <c r="AI55" s="86"/>
      <c r="AJ55" s="91" t="str">
        <f t="shared" si="226"/>
        <v/>
      </c>
      <c r="AK55" s="85" t="str">
        <f t="shared" si="328"/>
        <v/>
      </c>
      <c r="AL55" s="86" t="s">
        <v>50</v>
      </c>
      <c r="AM55" s="91" t="str">
        <f t="shared" si="227"/>
        <v/>
      </c>
      <c r="AN55" s="85" t="str">
        <f t="shared" si="329"/>
        <v/>
      </c>
      <c r="AO55" s="86"/>
      <c r="AP55" s="91" t="str">
        <f t="shared" si="228"/>
        <v/>
      </c>
      <c r="AQ55" s="85" t="str">
        <f t="shared" si="330"/>
        <v/>
      </c>
      <c r="AR55" s="86"/>
      <c r="AS55" s="91" t="str">
        <f t="shared" si="229"/>
        <v/>
      </c>
      <c r="AT55" s="85" t="str">
        <f t="shared" si="331"/>
        <v/>
      </c>
      <c r="AU55" s="86"/>
      <c r="AV55" s="91" t="str">
        <f t="shared" si="230"/>
        <v/>
      </c>
      <c r="AW55" s="85" t="str">
        <f t="shared" si="332"/>
        <v/>
      </c>
      <c r="AX55" s="86"/>
      <c r="AY55" s="91" t="str">
        <f t="shared" si="231"/>
        <v/>
      </c>
      <c r="AZ55" s="85" t="str">
        <f t="shared" si="333"/>
        <v/>
      </c>
      <c r="BA55" s="86"/>
      <c r="BB55" s="91" t="str">
        <f t="shared" si="232"/>
        <v/>
      </c>
      <c r="BC55" s="85" t="str">
        <f t="shared" si="334"/>
        <v/>
      </c>
      <c r="BD55" s="86"/>
      <c r="BE55" s="91" t="str">
        <f t="shared" si="233"/>
        <v/>
      </c>
      <c r="BF55" s="85" t="str">
        <f t="shared" si="335"/>
        <v/>
      </c>
      <c r="BG55" s="86">
        <v>100</v>
      </c>
      <c r="BH55" s="91">
        <f t="shared" si="234"/>
        <v>1.0246950765959597</v>
      </c>
      <c r="BI55" s="85">
        <f t="shared" si="336"/>
        <v>1</v>
      </c>
      <c r="BJ55" s="86"/>
      <c r="BK55" s="91" t="str">
        <f t="shared" si="235"/>
        <v/>
      </c>
      <c r="BL55" s="85" t="str">
        <f t="shared" si="337"/>
        <v/>
      </c>
      <c r="BM55" s="86"/>
      <c r="BN55" s="91" t="str">
        <f t="shared" si="236"/>
        <v/>
      </c>
      <c r="BO55" s="85" t="str">
        <f t="shared" si="338"/>
        <v/>
      </c>
      <c r="BP55" s="51"/>
      <c r="BQ55" s="91" t="str">
        <f t="shared" si="237"/>
        <v/>
      </c>
      <c r="BR55" s="85" t="str">
        <f t="shared" si="339"/>
        <v/>
      </c>
      <c r="BS55" s="86"/>
      <c r="BT55" s="91" t="str">
        <f t="shared" si="238"/>
        <v/>
      </c>
      <c r="BU55" s="85" t="str">
        <f t="shared" si="340"/>
        <v/>
      </c>
      <c r="BV55" s="86"/>
      <c r="BW55" s="91" t="str">
        <f t="shared" si="239"/>
        <v/>
      </c>
      <c r="BX55" s="85" t="str">
        <f t="shared" si="341"/>
        <v/>
      </c>
      <c r="BY55" s="86"/>
      <c r="BZ55" s="91" t="str">
        <f t="shared" si="240"/>
        <v/>
      </c>
      <c r="CA55" s="85" t="str">
        <f t="shared" si="342"/>
        <v/>
      </c>
      <c r="CB55" s="56"/>
      <c r="CC55" s="91" t="str">
        <f t="shared" si="241"/>
        <v/>
      </c>
      <c r="CD55" s="85" t="str">
        <f t="shared" si="343"/>
        <v/>
      </c>
      <c r="CE55" s="92"/>
      <c r="CF55" s="91" t="str">
        <f t="shared" si="242"/>
        <v/>
      </c>
      <c r="CG55" s="85" t="str">
        <f t="shared" si="344"/>
        <v/>
      </c>
      <c r="CH55" s="86"/>
      <c r="CI55" s="91" t="str">
        <f t="shared" si="243"/>
        <v/>
      </c>
      <c r="CJ55" s="85" t="str">
        <f t="shared" si="345"/>
        <v/>
      </c>
      <c r="CK55" s="86"/>
      <c r="CL55" s="91" t="str">
        <f t="shared" si="244"/>
        <v/>
      </c>
      <c r="CM55" s="85" t="str">
        <f t="shared" si="346"/>
        <v/>
      </c>
      <c r="CN55" s="86"/>
      <c r="CO55" s="91" t="str">
        <f t="shared" si="245"/>
        <v/>
      </c>
      <c r="CP55" s="85" t="str">
        <f t="shared" si="347"/>
        <v/>
      </c>
      <c r="CQ55" s="86"/>
      <c r="CR55" s="91" t="str">
        <f t="shared" si="246"/>
        <v/>
      </c>
      <c r="CS55" s="85" t="str">
        <f t="shared" si="348"/>
        <v/>
      </c>
      <c r="CT55" s="86">
        <v>90</v>
      </c>
      <c r="CU55" s="91">
        <f t="shared" si="247"/>
        <v>0.7259089494732297</v>
      </c>
      <c r="CV55" s="85">
        <f t="shared" si="349"/>
        <v>0.8</v>
      </c>
      <c r="CW55" s="86"/>
      <c r="CX55" s="91" t="str">
        <f t="shared" si="248"/>
        <v/>
      </c>
      <c r="CY55" s="85" t="str">
        <f t="shared" si="350"/>
        <v/>
      </c>
      <c r="CZ55" s="86"/>
      <c r="DA55" s="91" t="str">
        <f t="shared" si="249"/>
        <v/>
      </c>
      <c r="DB55" s="85" t="str">
        <f t="shared" si="351"/>
        <v/>
      </c>
      <c r="DC55" s="86"/>
      <c r="DD55" s="91" t="str">
        <f t="shared" si="250"/>
        <v/>
      </c>
      <c r="DE55" s="85" t="str">
        <f t="shared" si="352"/>
        <v/>
      </c>
      <c r="DF55" s="86"/>
      <c r="DG55" s="91"/>
      <c r="DH55" s="85" t="str">
        <f t="shared" si="353"/>
        <v/>
      </c>
      <c r="DI55" s="86"/>
      <c r="DJ55" s="91" t="str">
        <f t="shared" si="251"/>
        <v/>
      </c>
      <c r="DK55" s="85" t="str">
        <f t="shared" si="354"/>
        <v/>
      </c>
      <c r="DL55" s="56"/>
      <c r="DM55" s="91" t="str">
        <f t="shared" si="252"/>
        <v/>
      </c>
      <c r="DN55" s="85" t="str">
        <f t="shared" si="355"/>
        <v/>
      </c>
      <c r="DO55" s="86"/>
      <c r="DP55" s="91" t="str">
        <f t="shared" si="253"/>
        <v/>
      </c>
      <c r="DQ55" s="85" t="str">
        <f t="shared" si="356"/>
        <v/>
      </c>
      <c r="DR55" s="86"/>
      <c r="DS55" s="91" t="str">
        <f t="shared" si="254"/>
        <v/>
      </c>
      <c r="DT55" s="85" t="str">
        <f t="shared" si="357"/>
        <v/>
      </c>
      <c r="DU55" s="86"/>
      <c r="DV55" s="91" t="str">
        <f t="shared" si="255"/>
        <v/>
      </c>
      <c r="DW55" s="85" t="str">
        <f t="shared" si="358"/>
        <v/>
      </c>
      <c r="DX55" s="86"/>
      <c r="DY55" s="91" t="str">
        <f t="shared" si="256"/>
        <v/>
      </c>
      <c r="DZ55" s="85" t="str">
        <f t="shared" si="359"/>
        <v/>
      </c>
      <c r="EA55" s="86"/>
      <c r="EB55" s="91" t="str">
        <f t="shared" si="257"/>
        <v/>
      </c>
      <c r="EC55" s="85" t="str">
        <f t="shared" si="360"/>
        <v/>
      </c>
      <c r="ED55" s="86"/>
      <c r="EE55" s="91" t="str">
        <f t="shared" si="258"/>
        <v/>
      </c>
      <c r="EF55" s="85" t="str">
        <f t="shared" si="361"/>
        <v/>
      </c>
      <c r="EG55" s="271">
        <v>87</v>
      </c>
      <c r="EH55" s="91">
        <f t="shared" si="259"/>
        <v>-0.11826247919781652</v>
      </c>
      <c r="EI55" s="85">
        <f t="shared" si="362"/>
        <v>0.25</v>
      </c>
      <c r="EJ55" s="86"/>
      <c r="EK55" s="91" t="str">
        <f t="shared" si="260"/>
        <v/>
      </c>
      <c r="EL55" s="85" t="str">
        <f t="shared" si="363"/>
        <v/>
      </c>
      <c r="EM55" s="56"/>
      <c r="EN55" s="91" t="str">
        <f t="shared" si="261"/>
        <v/>
      </c>
      <c r="EO55" s="85" t="str">
        <f t="shared" si="364"/>
        <v/>
      </c>
      <c r="EP55" s="86"/>
      <c r="EQ55" s="91" t="str">
        <f t="shared" si="262"/>
        <v/>
      </c>
      <c r="ER55" s="85" t="str">
        <f t="shared" si="365"/>
        <v/>
      </c>
      <c r="ES55" s="51"/>
      <c r="ET55" s="91" t="str">
        <f t="shared" si="263"/>
        <v/>
      </c>
      <c r="EU55" s="85" t="str">
        <f t="shared" si="366"/>
        <v/>
      </c>
      <c r="EV55" s="86"/>
      <c r="EW55" s="91" t="str">
        <f t="shared" si="264"/>
        <v/>
      </c>
      <c r="EX55" s="85" t="str">
        <f t="shared" si="367"/>
        <v/>
      </c>
      <c r="EY55" s="86"/>
      <c r="EZ55" s="91" t="str">
        <f t="shared" si="265"/>
        <v/>
      </c>
      <c r="FA55" s="85" t="str">
        <f t="shared" si="368"/>
        <v/>
      </c>
      <c r="FB55" s="86"/>
      <c r="FC55" s="91" t="str">
        <f t="shared" si="266"/>
        <v/>
      </c>
      <c r="FD55" s="85" t="str">
        <f t="shared" si="369"/>
        <v/>
      </c>
      <c r="FE55" s="86"/>
      <c r="FF55" s="91" t="str">
        <f t="shared" si="267"/>
        <v/>
      </c>
      <c r="FG55" s="85" t="str">
        <f t="shared" si="370"/>
        <v/>
      </c>
      <c r="FH55" s="86"/>
      <c r="FI55" s="91" t="str">
        <f t="shared" si="268"/>
        <v/>
      </c>
      <c r="FJ55" s="85" t="str">
        <f t="shared" si="371"/>
        <v/>
      </c>
      <c r="FK55" s="86"/>
      <c r="FL55" s="91" t="str">
        <f t="shared" si="269"/>
        <v/>
      </c>
      <c r="FM55" s="85" t="str">
        <f t="shared" si="372"/>
        <v/>
      </c>
      <c r="FN55" s="86"/>
      <c r="FO55" s="91" t="str">
        <f t="shared" si="270"/>
        <v/>
      </c>
      <c r="FP55" s="85" t="str">
        <f t="shared" si="373"/>
        <v/>
      </c>
      <c r="FQ55" s="86"/>
      <c r="FR55" s="91" t="str">
        <f t="shared" si="271"/>
        <v/>
      </c>
      <c r="FS55" s="85" t="str">
        <f t="shared" si="374"/>
        <v/>
      </c>
      <c r="FT55" s="86">
        <v>92</v>
      </c>
      <c r="FU55" s="91">
        <f t="shared" si="272"/>
        <v>0.53673045045715317</v>
      </c>
      <c r="FV55" s="85">
        <f t="shared" si="375"/>
        <v>0.75</v>
      </c>
      <c r="FW55" s="92"/>
      <c r="FX55" s="91" t="str">
        <f t="shared" si="273"/>
        <v/>
      </c>
      <c r="FY55" s="85" t="str">
        <f t="shared" si="376"/>
        <v/>
      </c>
      <c r="FZ55" s="86"/>
      <c r="GA55" s="91" t="str">
        <f t="shared" si="274"/>
        <v/>
      </c>
      <c r="GB55" s="85" t="str">
        <f t="shared" si="377"/>
        <v/>
      </c>
      <c r="GC55" s="86"/>
      <c r="GD55" s="91" t="str">
        <f t="shared" si="275"/>
        <v/>
      </c>
      <c r="GE55" s="85" t="str">
        <f t="shared" si="378"/>
        <v/>
      </c>
      <c r="GF55" s="86"/>
      <c r="GG55" s="91" t="str">
        <f t="shared" si="276"/>
        <v/>
      </c>
      <c r="GH55" s="85" t="str">
        <f t="shared" si="379"/>
        <v/>
      </c>
      <c r="GI55" s="86"/>
      <c r="GJ55" s="91" t="str">
        <f t="shared" si="277"/>
        <v/>
      </c>
      <c r="GK55" s="85" t="str">
        <f t="shared" si="380"/>
        <v/>
      </c>
      <c r="GL55" s="86"/>
      <c r="GM55" s="91" t="str">
        <f t="shared" si="278"/>
        <v/>
      </c>
      <c r="GN55" s="85" t="str">
        <f t="shared" si="381"/>
        <v/>
      </c>
      <c r="GO55" s="86"/>
      <c r="GP55" s="91" t="str">
        <f t="shared" si="279"/>
        <v/>
      </c>
      <c r="GQ55" s="85" t="str">
        <f t="shared" si="382"/>
        <v/>
      </c>
      <c r="GR55" s="86"/>
      <c r="GS55" s="91" t="str">
        <f t="shared" si="280"/>
        <v/>
      </c>
      <c r="GT55" s="85" t="str">
        <f t="shared" si="383"/>
        <v/>
      </c>
      <c r="GU55" s="252">
        <v>90</v>
      </c>
      <c r="GV55" s="91">
        <f t="shared" si="281"/>
        <v>0.70352647068144847</v>
      </c>
      <c r="GW55" s="85">
        <f t="shared" si="384"/>
        <v>0.75</v>
      </c>
      <c r="GX55" s="86"/>
      <c r="GY55" s="91" t="str">
        <f t="shared" si="282"/>
        <v/>
      </c>
      <c r="GZ55" s="85" t="str">
        <f t="shared" si="385"/>
        <v/>
      </c>
      <c r="HA55" s="86"/>
      <c r="HB55" s="91" t="str">
        <f t="shared" si="283"/>
        <v/>
      </c>
      <c r="HC55" s="85" t="str">
        <f t="shared" si="386"/>
        <v/>
      </c>
      <c r="HD55" s="92"/>
      <c r="HE55" s="91" t="str">
        <f t="shared" si="284"/>
        <v/>
      </c>
      <c r="HF55" s="85" t="str">
        <f t="shared" si="387"/>
        <v/>
      </c>
      <c r="HG55" s="86"/>
      <c r="HH55" s="91" t="str">
        <f t="shared" si="285"/>
        <v/>
      </c>
      <c r="HI55" s="85" t="str">
        <f t="shared" si="388"/>
        <v/>
      </c>
      <c r="HJ55" s="86"/>
      <c r="HK55" s="91" t="str">
        <f t="shared" si="286"/>
        <v/>
      </c>
      <c r="HL55" s="85" t="str">
        <f t="shared" si="389"/>
        <v/>
      </c>
      <c r="HM55" s="86"/>
      <c r="HN55" s="91" t="str">
        <f t="shared" si="287"/>
        <v/>
      </c>
      <c r="HO55" s="85" t="str">
        <f t="shared" si="390"/>
        <v/>
      </c>
      <c r="HP55" s="56"/>
      <c r="HQ55" s="91" t="str">
        <f t="shared" si="288"/>
        <v/>
      </c>
      <c r="HR55" s="85" t="str">
        <f t="shared" si="391"/>
        <v/>
      </c>
      <c r="HS55" s="86"/>
      <c r="HT55" s="91" t="str">
        <f t="shared" si="289"/>
        <v/>
      </c>
      <c r="HU55" s="85" t="str">
        <f t="shared" si="392"/>
        <v/>
      </c>
      <c r="HV55" s="86"/>
      <c r="HW55" s="91" t="str">
        <f t="shared" si="290"/>
        <v/>
      </c>
      <c r="HX55" s="85" t="str">
        <f t="shared" si="393"/>
        <v/>
      </c>
      <c r="HY55" s="86"/>
      <c r="HZ55" s="91" t="str">
        <f t="shared" si="291"/>
        <v/>
      </c>
      <c r="IA55" s="85" t="str">
        <f t="shared" si="394"/>
        <v/>
      </c>
      <c r="IB55" s="86"/>
      <c r="IC55" s="91" t="str">
        <f t="shared" si="292"/>
        <v/>
      </c>
      <c r="ID55" s="85" t="str">
        <f t="shared" si="395"/>
        <v/>
      </c>
      <c r="IE55" s="86"/>
      <c r="IF55" s="91" t="str">
        <f t="shared" si="293"/>
        <v/>
      </c>
      <c r="IG55" s="85" t="str">
        <f t="shared" si="396"/>
        <v/>
      </c>
      <c r="IH55" s="86"/>
      <c r="II55" s="91" t="str">
        <f t="shared" si="294"/>
        <v/>
      </c>
      <c r="IJ55" s="85" t="str">
        <f t="shared" si="397"/>
        <v/>
      </c>
      <c r="IK55" s="86"/>
      <c r="IL55" s="91" t="str">
        <f t="shared" si="295"/>
        <v/>
      </c>
      <c r="IM55" s="85" t="str">
        <f t="shared" si="398"/>
        <v/>
      </c>
      <c r="IN55" s="86"/>
      <c r="IO55" s="91" t="str">
        <f t="shared" si="296"/>
        <v/>
      </c>
      <c r="IP55" s="85" t="str">
        <f t="shared" si="399"/>
        <v/>
      </c>
      <c r="IQ55" s="86"/>
      <c r="IR55" s="91" t="str">
        <f t="shared" si="297"/>
        <v/>
      </c>
      <c r="IS55" s="85" t="str">
        <f t="shared" si="400"/>
        <v/>
      </c>
      <c r="IT55" s="86"/>
      <c r="IU55" s="91" t="str">
        <f t="shared" si="298"/>
        <v/>
      </c>
      <c r="IV55" s="85" t="str">
        <f t="shared" si="401"/>
        <v/>
      </c>
      <c r="IW55" s="86"/>
      <c r="IX55" s="91" t="str">
        <f t="shared" si="299"/>
        <v/>
      </c>
      <c r="IY55" s="85" t="str">
        <f t="shared" si="402"/>
        <v/>
      </c>
      <c r="IZ55" s="86"/>
      <c r="JA55" s="91" t="str">
        <f t="shared" si="300"/>
        <v/>
      </c>
      <c r="JB55" s="85" t="str">
        <f t="shared" si="403"/>
        <v/>
      </c>
      <c r="JC55" s="86"/>
      <c r="JD55" s="91" t="str">
        <f t="shared" si="301"/>
        <v/>
      </c>
      <c r="JE55" s="85" t="str">
        <f t="shared" si="404"/>
        <v/>
      </c>
      <c r="JF55" s="86"/>
      <c r="JG55" s="91" t="str">
        <f t="shared" si="302"/>
        <v/>
      </c>
      <c r="JH55" s="85" t="str">
        <f t="shared" si="405"/>
        <v/>
      </c>
      <c r="JI55" s="86"/>
      <c r="JJ55" s="91" t="str">
        <f t="shared" si="303"/>
        <v/>
      </c>
      <c r="JK55" s="85" t="str">
        <f t="shared" si="406"/>
        <v/>
      </c>
      <c r="JL55" s="86"/>
      <c r="JM55" s="91" t="str">
        <f t="shared" si="304"/>
        <v/>
      </c>
      <c r="JN55" s="85" t="str">
        <f t="shared" si="407"/>
        <v/>
      </c>
      <c r="JO55" s="86"/>
      <c r="JP55" s="91" t="str">
        <f t="shared" si="305"/>
        <v/>
      </c>
      <c r="JQ55" s="85" t="str">
        <f t="shared" si="408"/>
        <v/>
      </c>
      <c r="JR55" s="86"/>
      <c r="JS55" s="91" t="str">
        <f t="shared" si="306"/>
        <v/>
      </c>
      <c r="JT55" s="85" t="str">
        <f t="shared" si="409"/>
        <v/>
      </c>
      <c r="JU55" s="86"/>
      <c r="JV55" s="91" t="str">
        <f t="shared" si="307"/>
        <v/>
      </c>
      <c r="JW55" s="85" t="str">
        <f t="shared" si="410"/>
        <v/>
      </c>
      <c r="JX55" s="86"/>
      <c r="JY55" s="91" t="str">
        <f t="shared" si="308"/>
        <v/>
      </c>
      <c r="JZ55" s="85" t="str">
        <f t="shared" si="411"/>
        <v/>
      </c>
      <c r="KA55" s="86"/>
      <c r="KB55" s="91" t="str">
        <f t="shared" si="309"/>
        <v/>
      </c>
      <c r="KC55" s="85" t="str">
        <f t="shared" si="412"/>
        <v/>
      </c>
      <c r="KD55" s="86"/>
      <c r="KE55" s="91" t="str">
        <f t="shared" si="310"/>
        <v/>
      </c>
      <c r="KF55" s="85" t="str">
        <f t="shared" si="413"/>
        <v/>
      </c>
      <c r="KG55" s="86"/>
      <c r="KH55" s="91" t="str">
        <f t="shared" si="311"/>
        <v/>
      </c>
      <c r="KI55" s="85" t="str">
        <f t="shared" si="414"/>
        <v/>
      </c>
      <c r="KJ55" s="86"/>
      <c r="KK55" s="91" t="str">
        <f t="shared" si="312"/>
        <v/>
      </c>
      <c r="KL55" s="85" t="str">
        <f t="shared" si="415"/>
        <v/>
      </c>
      <c r="KM55" s="86"/>
      <c r="KN55" s="91" t="str">
        <f t="shared" si="313"/>
        <v/>
      </c>
      <c r="KO55" s="85" t="str">
        <f t="shared" si="416"/>
        <v/>
      </c>
      <c r="KP55" s="86"/>
      <c r="KQ55" s="91" t="str">
        <f t="shared" si="314"/>
        <v/>
      </c>
      <c r="KR55" s="85" t="str">
        <f t="shared" si="417"/>
        <v/>
      </c>
      <c r="KS55" s="86"/>
      <c r="KT55" s="91" t="str">
        <f t="shared" si="315"/>
        <v/>
      </c>
      <c r="KU55" s="85" t="str">
        <f t="shared" si="418"/>
        <v/>
      </c>
      <c r="KV55" s="86"/>
      <c r="KW55" s="91" t="str">
        <f t="shared" si="316"/>
        <v/>
      </c>
      <c r="KX55" s="85" t="str">
        <f t="shared" si="419"/>
        <v/>
      </c>
      <c r="KY55" s="92"/>
      <c r="KZ55" s="91" t="str">
        <f t="shared" si="317"/>
        <v/>
      </c>
      <c r="LA55" s="85" t="str">
        <f t="shared" si="420"/>
        <v/>
      </c>
      <c r="LB55" s="50">
        <f t="shared" si="218"/>
        <v>91.8</v>
      </c>
      <c r="LC55" s="57">
        <f t="shared" si="421"/>
        <v>11</v>
      </c>
      <c r="LD55" s="50">
        <f t="shared" si="207"/>
        <v>0.57451969360199495</v>
      </c>
      <c r="LE55" s="57">
        <f t="shared" si="422"/>
        <v>13</v>
      </c>
      <c r="LF55" s="50">
        <f t="shared" si="208"/>
        <v>0.71</v>
      </c>
      <c r="LG55" s="57">
        <f t="shared" si="423"/>
        <v>18</v>
      </c>
      <c r="LH55" s="58">
        <f t="shared" si="318"/>
        <v>46.600877192982452</v>
      </c>
      <c r="LI55" s="58">
        <f t="shared" si="319"/>
        <v>45.212194381213806</v>
      </c>
      <c r="LJ55" s="58">
        <f t="shared" si="320"/>
        <v>42.75</v>
      </c>
      <c r="LK55" s="58">
        <f t="shared" si="424"/>
        <v>84.563071574196272</v>
      </c>
      <c r="LL55" s="60">
        <f t="shared" si="425"/>
        <v>14</v>
      </c>
      <c r="LM55" s="55"/>
      <c r="LN55" s="61">
        <f t="shared" ref="LN55:LN62" si="427">IFERROR(RANK(LK55,(LK$54:LK$62),0),"")</f>
        <v>2</v>
      </c>
      <c r="LO55" s="61">
        <f t="shared" si="214"/>
        <v>14</v>
      </c>
      <c r="LP55" s="64"/>
      <c r="LQ55" s="64"/>
      <c r="LR55" s="64"/>
      <c r="LS55" s="62"/>
      <c r="LT55" s="62"/>
    </row>
    <row r="56" spans="1:334" s="63" customFormat="1" ht="15" customHeight="1">
      <c r="A56" s="50">
        <f t="shared" si="211"/>
        <v>5</v>
      </c>
      <c r="B56" s="50">
        <f t="shared" si="212"/>
        <v>5</v>
      </c>
      <c r="C56" s="117">
        <v>3</v>
      </c>
      <c r="D56" s="118" t="s">
        <v>269</v>
      </c>
      <c r="E56" s="286" t="s">
        <v>662</v>
      </c>
      <c r="F56" s="76"/>
      <c r="G56" s="76"/>
      <c r="H56" s="119" t="s">
        <v>13</v>
      </c>
      <c r="I56" s="286" t="s">
        <v>577</v>
      </c>
      <c r="J56" s="119" t="s">
        <v>270</v>
      </c>
      <c r="K56" s="119" t="s">
        <v>8</v>
      </c>
      <c r="L56" s="53" t="s">
        <v>271</v>
      </c>
      <c r="M56" s="292" t="s">
        <v>35</v>
      </c>
      <c r="N56" s="86"/>
      <c r="O56" s="91" t="str">
        <f t="shared" si="219"/>
        <v/>
      </c>
      <c r="P56" s="85" t="str">
        <f t="shared" si="321"/>
        <v/>
      </c>
      <c r="Q56" s="86"/>
      <c r="R56" s="91" t="str">
        <f t="shared" si="220"/>
        <v/>
      </c>
      <c r="S56" s="85" t="str">
        <f t="shared" si="322"/>
        <v/>
      </c>
      <c r="T56" s="86"/>
      <c r="U56" s="91" t="str">
        <f t="shared" si="221"/>
        <v/>
      </c>
      <c r="V56" s="85" t="str">
        <f t="shared" si="323"/>
        <v/>
      </c>
      <c r="W56" s="86"/>
      <c r="X56" s="91" t="str">
        <f t="shared" si="222"/>
        <v/>
      </c>
      <c r="Y56" s="85" t="str">
        <f t="shared" si="324"/>
        <v/>
      </c>
      <c r="Z56" s="86"/>
      <c r="AA56" s="91" t="str">
        <f t="shared" si="223"/>
        <v/>
      </c>
      <c r="AB56" s="85" t="str">
        <f t="shared" si="325"/>
        <v/>
      </c>
      <c r="AC56" s="86"/>
      <c r="AD56" s="91" t="str">
        <f t="shared" si="224"/>
        <v/>
      </c>
      <c r="AE56" s="85" t="str">
        <f t="shared" si="326"/>
        <v/>
      </c>
      <c r="AF56" s="86"/>
      <c r="AG56" s="91" t="str">
        <f t="shared" si="225"/>
        <v/>
      </c>
      <c r="AH56" s="85" t="str">
        <f t="shared" si="327"/>
        <v/>
      </c>
      <c r="AI56" s="86"/>
      <c r="AJ56" s="91" t="str">
        <f t="shared" si="226"/>
        <v/>
      </c>
      <c r="AK56" s="85" t="str">
        <f t="shared" si="328"/>
        <v/>
      </c>
      <c r="AL56" s="86"/>
      <c r="AM56" s="91" t="str">
        <f t="shared" si="227"/>
        <v/>
      </c>
      <c r="AN56" s="85" t="str">
        <f t="shared" si="329"/>
        <v/>
      </c>
      <c r="AO56" s="86"/>
      <c r="AP56" s="91" t="str">
        <f t="shared" si="228"/>
        <v/>
      </c>
      <c r="AQ56" s="85" t="str">
        <f t="shared" si="330"/>
        <v/>
      </c>
      <c r="AR56" s="86"/>
      <c r="AS56" s="91" t="str">
        <f t="shared" si="229"/>
        <v/>
      </c>
      <c r="AT56" s="85" t="str">
        <f t="shared" si="331"/>
        <v/>
      </c>
      <c r="AU56" s="56"/>
      <c r="AV56" s="91" t="str">
        <f t="shared" si="230"/>
        <v/>
      </c>
      <c r="AW56" s="85" t="str">
        <f t="shared" si="332"/>
        <v/>
      </c>
      <c r="AX56" s="86"/>
      <c r="AY56" s="91" t="str">
        <f t="shared" si="231"/>
        <v/>
      </c>
      <c r="AZ56" s="85" t="str">
        <f t="shared" si="333"/>
        <v/>
      </c>
      <c r="BA56" s="86"/>
      <c r="BB56" s="91" t="str">
        <f t="shared" si="232"/>
        <v/>
      </c>
      <c r="BC56" s="85" t="str">
        <f t="shared" si="334"/>
        <v/>
      </c>
      <c r="BD56" s="86"/>
      <c r="BE56" s="91" t="str">
        <f t="shared" si="233"/>
        <v/>
      </c>
      <c r="BF56" s="85" t="str">
        <f t="shared" si="335"/>
        <v/>
      </c>
      <c r="BG56" s="86">
        <v>90</v>
      </c>
      <c r="BH56" s="91">
        <f t="shared" si="234"/>
        <v>-0.14638501094227996</v>
      </c>
      <c r="BI56" s="85">
        <f t="shared" si="336"/>
        <v>0.33333333333333331</v>
      </c>
      <c r="BJ56" s="86"/>
      <c r="BK56" s="91" t="str">
        <f t="shared" si="235"/>
        <v/>
      </c>
      <c r="BL56" s="85" t="str">
        <f t="shared" si="337"/>
        <v/>
      </c>
      <c r="BM56" s="86"/>
      <c r="BN56" s="91" t="str">
        <f t="shared" si="236"/>
        <v/>
      </c>
      <c r="BO56" s="85" t="str">
        <f t="shared" si="338"/>
        <v/>
      </c>
      <c r="BP56" s="51"/>
      <c r="BQ56" s="91" t="str">
        <f t="shared" si="237"/>
        <v/>
      </c>
      <c r="BR56" s="85" t="str">
        <f t="shared" si="339"/>
        <v/>
      </c>
      <c r="BS56" s="86"/>
      <c r="BT56" s="91" t="str">
        <f t="shared" si="238"/>
        <v/>
      </c>
      <c r="BU56" s="85" t="str">
        <f t="shared" si="340"/>
        <v/>
      </c>
      <c r="BV56" s="92"/>
      <c r="BW56" s="91" t="str">
        <f t="shared" si="239"/>
        <v/>
      </c>
      <c r="BX56" s="85" t="str">
        <f t="shared" si="341"/>
        <v/>
      </c>
      <c r="BY56" s="86"/>
      <c r="BZ56" s="91" t="str">
        <f t="shared" si="240"/>
        <v/>
      </c>
      <c r="CA56" s="85" t="str">
        <f t="shared" si="342"/>
        <v/>
      </c>
      <c r="CB56" s="86">
        <v>70</v>
      </c>
      <c r="CC56" s="91">
        <f t="shared" si="241"/>
        <v>-1.2033300992608063</v>
      </c>
      <c r="CD56" s="85">
        <f t="shared" si="343"/>
        <v>0</v>
      </c>
      <c r="CE56" s="86"/>
      <c r="CF56" s="91" t="str">
        <f t="shared" si="242"/>
        <v/>
      </c>
      <c r="CG56" s="85" t="str">
        <f t="shared" si="344"/>
        <v/>
      </c>
      <c r="CH56" s="56"/>
      <c r="CI56" s="91" t="str">
        <f t="shared" si="243"/>
        <v/>
      </c>
      <c r="CJ56" s="85" t="str">
        <f t="shared" si="345"/>
        <v/>
      </c>
      <c r="CK56" s="86"/>
      <c r="CL56" s="91" t="str">
        <f t="shared" si="244"/>
        <v/>
      </c>
      <c r="CM56" s="85" t="str">
        <f t="shared" si="346"/>
        <v/>
      </c>
      <c r="CN56" s="86"/>
      <c r="CO56" s="91" t="str">
        <f t="shared" si="245"/>
        <v/>
      </c>
      <c r="CP56" s="85" t="str">
        <f t="shared" si="347"/>
        <v/>
      </c>
      <c r="CQ56" s="86"/>
      <c r="CR56" s="91" t="str">
        <f t="shared" si="246"/>
        <v/>
      </c>
      <c r="CS56" s="85" t="str">
        <f t="shared" si="348"/>
        <v/>
      </c>
      <c r="CT56" s="56"/>
      <c r="CU56" s="91" t="str">
        <f t="shared" si="247"/>
        <v/>
      </c>
      <c r="CV56" s="85" t="str">
        <f t="shared" si="349"/>
        <v/>
      </c>
      <c r="CW56" s="56"/>
      <c r="CX56" s="91" t="str">
        <f t="shared" si="248"/>
        <v/>
      </c>
      <c r="CY56" s="85" t="str">
        <f t="shared" si="350"/>
        <v/>
      </c>
      <c r="CZ56" s="86"/>
      <c r="DA56" s="91" t="str">
        <f t="shared" si="249"/>
        <v/>
      </c>
      <c r="DB56" s="85" t="str">
        <f t="shared" si="351"/>
        <v/>
      </c>
      <c r="DC56" s="86"/>
      <c r="DD56" s="91" t="str">
        <f t="shared" si="250"/>
        <v/>
      </c>
      <c r="DE56" s="85" t="str">
        <f t="shared" si="352"/>
        <v/>
      </c>
      <c r="DF56" s="86"/>
      <c r="DG56" s="91"/>
      <c r="DH56" s="85" t="str">
        <f t="shared" si="353"/>
        <v/>
      </c>
      <c r="DI56" s="86"/>
      <c r="DJ56" s="91" t="str">
        <f t="shared" si="251"/>
        <v/>
      </c>
      <c r="DK56" s="85" t="str">
        <f t="shared" si="354"/>
        <v/>
      </c>
      <c r="DL56" s="86"/>
      <c r="DM56" s="91" t="str">
        <f t="shared" si="252"/>
        <v/>
      </c>
      <c r="DN56" s="85" t="str">
        <f t="shared" si="355"/>
        <v/>
      </c>
      <c r="DO56" s="86"/>
      <c r="DP56" s="91" t="str">
        <f t="shared" si="253"/>
        <v/>
      </c>
      <c r="DQ56" s="85" t="str">
        <f t="shared" si="356"/>
        <v/>
      </c>
      <c r="DR56" s="86"/>
      <c r="DS56" s="91" t="str">
        <f t="shared" si="254"/>
        <v/>
      </c>
      <c r="DT56" s="85" t="str">
        <f t="shared" si="357"/>
        <v/>
      </c>
      <c r="DU56" s="86"/>
      <c r="DV56" s="91" t="str">
        <f t="shared" si="255"/>
        <v/>
      </c>
      <c r="DW56" s="85" t="str">
        <f t="shared" si="358"/>
        <v/>
      </c>
      <c r="DX56" s="86"/>
      <c r="DY56" s="91" t="str">
        <f t="shared" si="256"/>
        <v/>
      </c>
      <c r="DZ56" s="85" t="str">
        <f t="shared" si="359"/>
        <v/>
      </c>
      <c r="EA56" s="86"/>
      <c r="EB56" s="91" t="str">
        <f t="shared" si="257"/>
        <v/>
      </c>
      <c r="EC56" s="85" t="str">
        <f t="shared" si="360"/>
        <v/>
      </c>
      <c r="ED56" s="86"/>
      <c r="EE56" s="91" t="str">
        <f t="shared" si="258"/>
        <v/>
      </c>
      <c r="EF56" s="85" t="str">
        <f t="shared" si="361"/>
        <v/>
      </c>
      <c r="EG56" s="271">
        <v>92</v>
      </c>
      <c r="EH56" s="91">
        <f t="shared" si="259"/>
        <v>0.47304991679126607</v>
      </c>
      <c r="EI56" s="85">
        <f t="shared" si="362"/>
        <v>0.75</v>
      </c>
      <c r="EJ56" s="86"/>
      <c r="EK56" s="91" t="str">
        <f t="shared" si="260"/>
        <v/>
      </c>
      <c r="EL56" s="85" t="str">
        <f t="shared" si="363"/>
        <v/>
      </c>
      <c r="EM56" s="86"/>
      <c r="EN56" s="91" t="str">
        <f t="shared" si="261"/>
        <v/>
      </c>
      <c r="EO56" s="85" t="str">
        <f t="shared" si="364"/>
        <v/>
      </c>
      <c r="EP56" s="86"/>
      <c r="EQ56" s="91" t="str">
        <f t="shared" si="262"/>
        <v/>
      </c>
      <c r="ER56" s="85" t="str">
        <f t="shared" si="365"/>
        <v/>
      </c>
      <c r="ES56" s="51"/>
      <c r="ET56" s="91" t="str">
        <f t="shared" si="263"/>
        <v/>
      </c>
      <c r="EU56" s="85" t="str">
        <f t="shared" si="366"/>
        <v/>
      </c>
      <c r="EV56" s="86"/>
      <c r="EW56" s="91" t="str">
        <f t="shared" si="264"/>
        <v/>
      </c>
      <c r="EX56" s="85" t="str">
        <f t="shared" si="367"/>
        <v/>
      </c>
      <c r="EY56" s="86"/>
      <c r="EZ56" s="91" t="str">
        <f t="shared" si="265"/>
        <v/>
      </c>
      <c r="FA56" s="85" t="str">
        <f t="shared" si="368"/>
        <v/>
      </c>
      <c r="FB56" s="86"/>
      <c r="FC56" s="91" t="str">
        <f t="shared" si="266"/>
        <v/>
      </c>
      <c r="FD56" s="85" t="str">
        <f t="shared" si="369"/>
        <v/>
      </c>
      <c r="FE56" s="86"/>
      <c r="FF56" s="91" t="str">
        <f t="shared" si="267"/>
        <v/>
      </c>
      <c r="FG56" s="85" t="str">
        <f t="shared" si="370"/>
        <v/>
      </c>
      <c r="FH56" s="86"/>
      <c r="FI56" s="91" t="str">
        <f t="shared" si="268"/>
        <v/>
      </c>
      <c r="FJ56" s="85" t="str">
        <f t="shared" si="371"/>
        <v/>
      </c>
      <c r="FK56" s="86"/>
      <c r="FL56" s="91" t="str">
        <f t="shared" si="269"/>
        <v/>
      </c>
      <c r="FM56" s="85" t="str">
        <f t="shared" si="372"/>
        <v/>
      </c>
      <c r="FN56" s="86"/>
      <c r="FO56" s="91" t="str">
        <f t="shared" si="270"/>
        <v/>
      </c>
      <c r="FP56" s="85" t="str">
        <f t="shared" si="373"/>
        <v/>
      </c>
      <c r="FQ56" s="86"/>
      <c r="FR56" s="91" t="str">
        <f t="shared" si="271"/>
        <v/>
      </c>
      <c r="FS56" s="85" t="str">
        <f t="shared" si="374"/>
        <v/>
      </c>
      <c r="FT56" s="86"/>
      <c r="FU56" s="91" t="str">
        <f t="shared" si="272"/>
        <v/>
      </c>
      <c r="FV56" s="85" t="str">
        <f t="shared" si="375"/>
        <v/>
      </c>
      <c r="FW56" s="92"/>
      <c r="FX56" s="91" t="str">
        <f t="shared" si="273"/>
        <v/>
      </c>
      <c r="FY56" s="85" t="str">
        <f t="shared" si="376"/>
        <v/>
      </c>
      <c r="FZ56" s="56"/>
      <c r="GA56" s="91" t="str">
        <f t="shared" si="274"/>
        <v/>
      </c>
      <c r="GB56" s="85" t="str">
        <f t="shared" si="377"/>
        <v/>
      </c>
      <c r="GC56" s="86"/>
      <c r="GD56" s="91" t="str">
        <f t="shared" si="275"/>
        <v/>
      </c>
      <c r="GE56" s="85" t="str">
        <f t="shared" si="378"/>
        <v/>
      </c>
      <c r="GF56" s="86"/>
      <c r="GG56" s="91" t="str">
        <f t="shared" si="276"/>
        <v/>
      </c>
      <c r="GH56" s="85" t="str">
        <f t="shared" si="379"/>
        <v/>
      </c>
      <c r="GI56" s="86"/>
      <c r="GJ56" s="91" t="str">
        <f t="shared" si="277"/>
        <v/>
      </c>
      <c r="GK56" s="85" t="str">
        <f t="shared" si="380"/>
        <v/>
      </c>
      <c r="GL56" s="86"/>
      <c r="GM56" s="91" t="str">
        <f t="shared" si="278"/>
        <v/>
      </c>
      <c r="GN56" s="85" t="str">
        <f t="shared" si="381"/>
        <v/>
      </c>
      <c r="GO56" s="86"/>
      <c r="GP56" s="91" t="str">
        <f t="shared" si="279"/>
        <v/>
      </c>
      <c r="GQ56" s="85" t="str">
        <f t="shared" si="382"/>
        <v/>
      </c>
      <c r="GR56" s="86">
        <v>65</v>
      </c>
      <c r="GS56" s="91">
        <f t="shared" si="280"/>
        <v>-1.3055824196677337</v>
      </c>
      <c r="GT56" s="85">
        <f t="shared" si="383"/>
        <v>0</v>
      </c>
      <c r="GU56" s="252">
        <v>72</v>
      </c>
      <c r="GV56" s="91">
        <f t="shared" si="281"/>
        <v>-1.1055415967851332</v>
      </c>
      <c r="GW56" s="85">
        <f t="shared" si="384"/>
        <v>0</v>
      </c>
      <c r="GX56" s="86"/>
      <c r="GY56" s="91" t="str">
        <f t="shared" si="282"/>
        <v/>
      </c>
      <c r="GZ56" s="85" t="str">
        <f t="shared" si="385"/>
        <v/>
      </c>
      <c r="HA56" s="86"/>
      <c r="HB56" s="91" t="str">
        <f t="shared" si="283"/>
        <v/>
      </c>
      <c r="HC56" s="85" t="str">
        <f t="shared" si="386"/>
        <v/>
      </c>
      <c r="HD56" s="92"/>
      <c r="HE56" s="91" t="str">
        <f t="shared" si="284"/>
        <v/>
      </c>
      <c r="HF56" s="85" t="str">
        <f t="shared" si="387"/>
        <v/>
      </c>
      <c r="HG56" s="86"/>
      <c r="HH56" s="91" t="str">
        <f t="shared" si="285"/>
        <v/>
      </c>
      <c r="HI56" s="85" t="str">
        <f t="shared" si="388"/>
        <v/>
      </c>
      <c r="HJ56" s="86"/>
      <c r="HK56" s="91" t="str">
        <f t="shared" si="286"/>
        <v/>
      </c>
      <c r="HL56" s="85" t="str">
        <f t="shared" si="389"/>
        <v/>
      </c>
      <c r="HM56" s="86"/>
      <c r="HN56" s="91" t="str">
        <f t="shared" si="287"/>
        <v/>
      </c>
      <c r="HO56" s="85" t="str">
        <f t="shared" si="390"/>
        <v/>
      </c>
      <c r="HP56" s="86"/>
      <c r="HQ56" s="91" t="str">
        <f t="shared" si="288"/>
        <v/>
      </c>
      <c r="HR56" s="85" t="str">
        <f t="shared" si="391"/>
        <v/>
      </c>
      <c r="HS56" s="86"/>
      <c r="HT56" s="91" t="str">
        <f t="shared" si="289"/>
        <v/>
      </c>
      <c r="HU56" s="85" t="str">
        <f t="shared" si="392"/>
        <v/>
      </c>
      <c r="HV56" s="86"/>
      <c r="HW56" s="91" t="str">
        <f t="shared" si="290"/>
        <v/>
      </c>
      <c r="HX56" s="85" t="str">
        <f t="shared" si="393"/>
        <v/>
      </c>
      <c r="HY56" s="86"/>
      <c r="HZ56" s="91" t="str">
        <f t="shared" si="291"/>
        <v/>
      </c>
      <c r="IA56" s="85" t="str">
        <f t="shared" si="394"/>
        <v/>
      </c>
      <c r="IB56" s="86"/>
      <c r="IC56" s="91" t="str">
        <f t="shared" si="292"/>
        <v/>
      </c>
      <c r="ID56" s="85" t="str">
        <f t="shared" si="395"/>
        <v/>
      </c>
      <c r="IE56" s="86"/>
      <c r="IF56" s="91" t="str">
        <f t="shared" si="293"/>
        <v/>
      </c>
      <c r="IG56" s="85" t="str">
        <f t="shared" si="396"/>
        <v/>
      </c>
      <c r="IH56" s="86"/>
      <c r="II56" s="91" t="str">
        <f t="shared" si="294"/>
        <v/>
      </c>
      <c r="IJ56" s="85" t="str">
        <f t="shared" si="397"/>
        <v/>
      </c>
      <c r="IK56" s="86"/>
      <c r="IL56" s="91" t="str">
        <f t="shared" si="295"/>
        <v/>
      </c>
      <c r="IM56" s="85" t="str">
        <f t="shared" si="398"/>
        <v/>
      </c>
      <c r="IN56" s="86"/>
      <c r="IO56" s="91" t="str">
        <f t="shared" si="296"/>
        <v/>
      </c>
      <c r="IP56" s="85" t="str">
        <f t="shared" si="399"/>
        <v/>
      </c>
      <c r="IQ56" s="86"/>
      <c r="IR56" s="91" t="str">
        <f t="shared" si="297"/>
        <v/>
      </c>
      <c r="IS56" s="85" t="str">
        <f t="shared" si="400"/>
        <v/>
      </c>
      <c r="IT56" s="86"/>
      <c r="IU56" s="91" t="str">
        <f t="shared" si="298"/>
        <v/>
      </c>
      <c r="IV56" s="85" t="str">
        <f t="shared" si="401"/>
        <v/>
      </c>
      <c r="IW56" s="86"/>
      <c r="IX56" s="91" t="str">
        <f t="shared" si="299"/>
        <v/>
      </c>
      <c r="IY56" s="85" t="str">
        <f t="shared" si="402"/>
        <v/>
      </c>
      <c r="IZ56" s="86"/>
      <c r="JA56" s="91" t="str">
        <f t="shared" si="300"/>
        <v/>
      </c>
      <c r="JB56" s="85" t="str">
        <f t="shared" si="403"/>
        <v/>
      </c>
      <c r="JC56" s="86"/>
      <c r="JD56" s="91" t="str">
        <f t="shared" si="301"/>
        <v/>
      </c>
      <c r="JE56" s="85" t="str">
        <f t="shared" si="404"/>
        <v/>
      </c>
      <c r="JF56" s="86"/>
      <c r="JG56" s="91" t="str">
        <f t="shared" si="302"/>
        <v/>
      </c>
      <c r="JH56" s="85" t="str">
        <f t="shared" si="405"/>
        <v/>
      </c>
      <c r="JI56" s="86"/>
      <c r="JJ56" s="91" t="str">
        <f t="shared" si="303"/>
        <v/>
      </c>
      <c r="JK56" s="85" t="str">
        <f t="shared" si="406"/>
        <v/>
      </c>
      <c r="JL56" s="86"/>
      <c r="JM56" s="91" t="str">
        <f t="shared" si="304"/>
        <v/>
      </c>
      <c r="JN56" s="85" t="str">
        <f t="shared" si="407"/>
        <v/>
      </c>
      <c r="JO56" s="86"/>
      <c r="JP56" s="91" t="str">
        <f t="shared" si="305"/>
        <v/>
      </c>
      <c r="JQ56" s="85" t="str">
        <f t="shared" si="408"/>
        <v/>
      </c>
      <c r="JR56" s="86"/>
      <c r="JS56" s="91" t="str">
        <f t="shared" si="306"/>
        <v/>
      </c>
      <c r="JT56" s="85" t="str">
        <f t="shared" si="409"/>
        <v/>
      </c>
      <c r="JU56" s="86"/>
      <c r="JV56" s="91" t="str">
        <f t="shared" si="307"/>
        <v/>
      </c>
      <c r="JW56" s="85" t="str">
        <f t="shared" si="410"/>
        <v/>
      </c>
      <c r="JX56" s="86"/>
      <c r="JY56" s="91" t="str">
        <f t="shared" si="308"/>
        <v/>
      </c>
      <c r="JZ56" s="85" t="str">
        <f t="shared" si="411"/>
        <v/>
      </c>
      <c r="KA56" s="86"/>
      <c r="KB56" s="91" t="str">
        <f t="shared" si="309"/>
        <v/>
      </c>
      <c r="KC56" s="85" t="str">
        <f t="shared" si="412"/>
        <v/>
      </c>
      <c r="KD56" s="86"/>
      <c r="KE56" s="91" t="str">
        <f t="shared" si="310"/>
        <v/>
      </c>
      <c r="KF56" s="85" t="str">
        <f t="shared" si="413"/>
        <v/>
      </c>
      <c r="KG56" s="86"/>
      <c r="KH56" s="91" t="str">
        <f t="shared" si="311"/>
        <v/>
      </c>
      <c r="KI56" s="85" t="str">
        <f t="shared" si="414"/>
        <v/>
      </c>
      <c r="KJ56" s="86"/>
      <c r="KK56" s="91" t="str">
        <f t="shared" si="312"/>
        <v/>
      </c>
      <c r="KL56" s="85" t="str">
        <f t="shared" si="415"/>
        <v/>
      </c>
      <c r="KM56" s="86"/>
      <c r="KN56" s="91" t="str">
        <f t="shared" si="313"/>
        <v/>
      </c>
      <c r="KO56" s="85" t="str">
        <f t="shared" si="416"/>
        <v/>
      </c>
      <c r="KP56" s="86"/>
      <c r="KQ56" s="91" t="str">
        <f t="shared" si="314"/>
        <v/>
      </c>
      <c r="KR56" s="85" t="str">
        <f t="shared" si="417"/>
        <v/>
      </c>
      <c r="KS56" s="86"/>
      <c r="KT56" s="91" t="str">
        <f t="shared" si="315"/>
        <v/>
      </c>
      <c r="KU56" s="85" t="str">
        <f t="shared" si="418"/>
        <v/>
      </c>
      <c r="KV56" s="86"/>
      <c r="KW56" s="91" t="str">
        <f t="shared" si="316"/>
        <v/>
      </c>
      <c r="KX56" s="85" t="str">
        <f t="shared" si="419"/>
        <v/>
      </c>
      <c r="KY56" s="92"/>
      <c r="KZ56" s="91" t="str">
        <f t="shared" si="317"/>
        <v/>
      </c>
      <c r="LA56" s="85" t="str">
        <f t="shared" si="420"/>
        <v/>
      </c>
      <c r="LB56" s="50">
        <f t="shared" si="218"/>
        <v>77.8</v>
      </c>
      <c r="LC56" s="57">
        <f t="shared" si="421"/>
        <v>46</v>
      </c>
      <c r="LD56" s="50">
        <f t="shared" si="207"/>
        <v>-0.65755784197293732</v>
      </c>
      <c r="LE56" s="57">
        <f t="shared" si="422"/>
        <v>47</v>
      </c>
      <c r="LF56" s="50">
        <f t="shared" si="208"/>
        <v>0.21666666666666665</v>
      </c>
      <c r="LG56" s="57">
        <f t="shared" si="423"/>
        <v>50</v>
      </c>
      <c r="LH56" s="58">
        <f t="shared" si="318"/>
        <v>38.925438596491226</v>
      </c>
      <c r="LI56" s="58">
        <f t="shared" si="319"/>
        <v>33.710071288369697</v>
      </c>
      <c r="LJ56" s="58">
        <f t="shared" si="320"/>
        <v>30.416666666666664</v>
      </c>
      <c r="LK56" s="58">
        <f t="shared" si="424"/>
        <v>53.052176551527594</v>
      </c>
      <c r="LL56" s="60">
        <f t="shared" si="425"/>
        <v>49</v>
      </c>
      <c r="LM56" s="55"/>
      <c r="LN56" s="61">
        <f t="shared" si="427"/>
        <v>7</v>
      </c>
      <c r="LO56" s="61">
        <f t="shared" si="214"/>
        <v>49</v>
      </c>
      <c r="LP56" s="64"/>
      <c r="LQ56" s="64"/>
      <c r="LR56" s="64"/>
      <c r="LS56" s="62"/>
      <c r="LT56" s="62"/>
    </row>
    <row r="57" spans="1:334" s="63" customFormat="1" ht="15" customHeight="1">
      <c r="A57" s="50">
        <f t="shared" si="211"/>
        <v>5</v>
      </c>
      <c r="B57" s="50">
        <f t="shared" si="212"/>
        <v>5</v>
      </c>
      <c r="C57" s="117">
        <v>46</v>
      </c>
      <c r="D57" s="118" t="s">
        <v>272</v>
      </c>
      <c r="E57" s="286" t="s">
        <v>663</v>
      </c>
      <c r="F57" s="76"/>
      <c r="G57" s="76"/>
      <c r="H57" s="119" t="s">
        <v>13</v>
      </c>
      <c r="I57" s="286" t="s">
        <v>578</v>
      </c>
      <c r="J57" s="119" t="s">
        <v>273</v>
      </c>
      <c r="K57" s="119" t="s">
        <v>8</v>
      </c>
      <c r="L57" s="53" t="s">
        <v>274</v>
      </c>
      <c r="M57" s="292" t="s">
        <v>35</v>
      </c>
      <c r="N57" s="86"/>
      <c r="O57" s="91" t="str">
        <f t="shared" si="219"/>
        <v/>
      </c>
      <c r="P57" s="85" t="str">
        <f t="shared" si="321"/>
        <v/>
      </c>
      <c r="Q57" s="86"/>
      <c r="R57" s="91" t="str">
        <f t="shared" si="220"/>
        <v/>
      </c>
      <c r="S57" s="85" t="str">
        <f t="shared" si="322"/>
        <v/>
      </c>
      <c r="T57" s="86"/>
      <c r="U57" s="91" t="str">
        <f t="shared" si="221"/>
        <v/>
      </c>
      <c r="V57" s="85" t="str">
        <f t="shared" si="323"/>
        <v/>
      </c>
      <c r="W57" s="86"/>
      <c r="X57" s="91" t="str">
        <f t="shared" si="222"/>
        <v/>
      </c>
      <c r="Y57" s="85" t="str">
        <f t="shared" si="324"/>
        <v/>
      </c>
      <c r="Z57" s="86"/>
      <c r="AA57" s="91" t="str">
        <f t="shared" si="223"/>
        <v/>
      </c>
      <c r="AB57" s="85" t="str">
        <f t="shared" si="325"/>
        <v/>
      </c>
      <c r="AC57" s="56"/>
      <c r="AD57" s="91" t="str">
        <f t="shared" si="224"/>
        <v/>
      </c>
      <c r="AE57" s="85" t="str">
        <f t="shared" si="326"/>
        <v/>
      </c>
      <c r="AF57" s="86"/>
      <c r="AG57" s="91" t="str">
        <f t="shared" si="225"/>
        <v/>
      </c>
      <c r="AH57" s="85" t="str">
        <f t="shared" si="327"/>
        <v/>
      </c>
      <c r="AI57" s="86"/>
      <c r="AJ57" s="91" t="str">
        <f t="shared" si="226"/>
        <v/>
      </c>
      <c r="AK57" s="85" t="str">
        <f t="shared" si="328"/>
        <v/>
      </c>
      <c r="AL57" s="86"/>
      <c r="AM57" s="91" t="str">
        <f t="shared" si="227"/>
        <v/>
      </c>
      <c r="AN57" s="85" t="str">
        <f t="shared" si="329"/>
        <v/>
      </c>
      <c r="AO57" s="86"/>
      <c r="AP57" s="91" t="str">
        <f t="shared" si="228"/>
        <v/>
      </c>
      <c r="AQ57" s="85" t="str">
        <f t="shared" si="330"/>
        <v/>
      </c>
      <c r="AR57" s="86"/>
      <c r="AS57" s="91" t="str">
        <f t="shared" si="229"/>
        <v/>
      </c>
      <c r="AT57" s="85" t="str">
        <f t="shared" si="331"/>
        <v/>
      </c>
      <c r="AU57" s="86"/>
      <c r="AV57" s="91" t="str">
        <f t="shared" si="230"/>
        <v/>
      </c>
      <c r="AW57" s="85" t="str">
        <f t="shared" si="332"/>
        <v/>
      </c>
      <c r="AX57" s="86">
        <v>87</v>
      </c>
      <c r="AY57" s="91">
        <f t="shared" si="231"/>
        <v>-0.79705339698608579</v>
      </c>
      <c r="AZ57" s="85">
        <f t="shared" si="333"/>
        <v>0.33333333333333331</v>
      </c>
      <c r="BA57" s="86"/>
      <c r="BB57" s="91" t="str">
        <f t="shared" si="232"/>
        <v/>
      </c>
      <c r="BC57" s="85" t="str">
        <f t="shared" si="334"/>
        <v/>
      </c>
      <c r="BD57" s="86"/>
      <c r="BE57" s="91" t="str">
        <f t="shared" si="233"/>
        <v/>
      </c>
      <c r="BF57" s="85" t="str">
        <f t="shared" si="335"/>
        <v/>
      </c>
      <c r="BG57" s="86"/>
      <c r="BH57" s="91" t="str">
        <f t="shared" si="234"/>
        <v/>
      </c>
      <c r="BI57" s="85" t="str">
        <f t="shared" si="336"/>
        <v/>
      </c>
      <c r="BJ57" s="86"/>
      <c r="BK57" s="91" t="str">
        <f t="shared" si="235"/>
        <v/>
      </c>
      <c r="BL57" s="85" t="str">
        <f t="shared" si="337"/>
        <v/>
      </c>
      <c r="BM57" s="56"/>
      <c r="BN57" s="91" t="str">
        <f t="shared" si="236"/>
        <v/>
      </c>
      <c r="BO57" s="85" t="str">
        <f t="shared" si="338"/>
        <v/>
      </c>
      <c r="BP57" s="51"/>
      <c r="BQ57" s="91" t="str">
        <f t="shared" si="237"/>
        <v/>
      </c>
      <c r="BR57" s="85" t="str">
        <f t="shared" si="339"/>
        <v/>
      </c>
      <c r="BS57" s="86"/>
      <c r="BT57" s="91" t="str">
        <f t="shared" si="238"/>
        <v/>
      </c>
      <c r="BU57" s="85" t="str">
        <f t="shared" si="340"/>
        <v/>
      </c>
      <c r="BV57" s="86"/>
      <c r="BW57" s="91" t="str">
        <f t="shared" si="239"/>
        <v/>
      </c>
      <c r="BX57" s="85" t="str">
        <f t="shared" si="341"/>
        <v/>
      </c>
      <c r="BY57" s="86"/>
      <c r="BZ57" s="91" t="str">
        <f t="shared" si="240"/>
        <v/>
      </c>
      <c r="CA57" s="85" t="str">
        <f t="shared" si="342"/>
        <v/>
      </c>
      <c r="CB57" s="86"/>
      <c r="CC57" s="91" t="str">
        <f t="shared" si="241"/>
        <v/>
      </c>
      <c r="CD57" s="85" t="str">
        <f t="shared" si="343"/>
        <v/>
      </c>
      <c r="CE57" s="92"/>
      <c r="CF57" s="91" t="str">
        <f t="shared" si="242"/>
        <v/>
      </c>
      <c r="CG57" s="85" t="str">
        <f t="shared" si="344"/>
        <v/>
      </c>
      <c r="CH57" s="86"/>
      <c r="CI57" s="91" t="str">
        <f t="shared" si="243"/>
        <v/>
      </c>
      <c r="CJ57" s="85" t="str">
        <f t="shared" si="345"/>
        <v/>
      </c>
      <c r="CK57" s="86"/>
      <c r="CL57" s="91" t="str">
        <f t="shared" si="244"/>
        <v/>
      </c>
      <c r="CM57" s="85" t="str">
        <f t="shared" si="346"/>
        <v/>
      </c>
      <c r="CN57" s="86">
        <v>91</v>
      </c>
      <c r="CO57" s="91">
        <f t="shared" si="245"/>
        <v>0.5552299116375764</v>
      </c>
      <c r="CP57" s="85">
        <f t="shared" si="347"/>
        <v>0.75</v>
      </c>
      <c r="CQ57" s="86"/>
      <c r="CR57" s="91" t="str">
        <f t="shared" si="246"/>
        <v/>
      </c>
      <c r="CS57" s="85" t="str">
        <f t="shared" si="348"/>
        <v/>
      </c>
      <c r="CT57" s="86"/>
      <c r="CU57" s="91" t="str">
        <f t="shared" si="247"/>
        <v/>
      </c>
      <c r="CV57" s="85" t="str">
        <f t="shared" si="349"/>
        <v/>
      </c>
      <c r="CW57" s="86"/>
      <c r="CX57" s="91" t="str">
        <f t="shared" si="248"/>
        <v/>
      </c>
      <c r="CY57" s="85" t="str">
        <f t="shared" si="350"/>
        <v/>
      </c>
      <c r="CZ57" s="86"/>
      <c r="DA57" s="91" t="str">
        <f t="shared" si="249"/>
        <v/>
      </c>
      <c r="DB57" s="85" t="str">
        <f t="shared" si="351"/>
        <v/>
      </c>
      <c r="DC57" s="86"/>
      <c r="DD57" s="91" t="str">
        <f t="shared" si="250"/>
        <v/>
      </c>
      <c r="DE57" s="85" t="str">
        <f t="shared" si="352"/>
        <v/>
      </c>
      <c r="DF57" s="92"/>
      <c r="DG57" s="91"/>
      <c r="DH57" s="85" t="str">
        <f t="shared" si="353"/>
        <v/>
      </c>
      <c r="DI57" s="86"/>
      <c r="DJ57" s="91" t="str">
        <f t="shared" si="251"/>
        <v/>
      </c>
      <c r="DK57" s="85" t="str">
        <f t="shared" si="354"/>
        <v/>
      </c>
      <c r="DL57" s="86"/>
      <c r="DM57" s="91" t="str">
        <f t="shared" si="252"/>
        <v/>
      </c>
      <c r="DN57" s="85" t="str">
        <f t="shared" si="355"/>
        <v/>
      </c>
      <c r="DO57" s="86"/>
      <c r="DP57" s="91" t="str">
        <f t="shared" si="253"/>
        <v/>
      </c>
      <c r="DQ57" s="85" t="str">
        <f t="shared" si="356"/>
        <v/>
      </c>
      <c r="DR57" s="86"/>
      <c r="DS57" s="91" t="str">
        <f t="shared" si="254"/>
        <v/>
      </c>
      <c r="DT57" s="85" t="str">
        <f t="shared" si="357"/>
        <v/>
      </c>
      <c r="DU57" s="86"/>
      <c r="DV57" s="91" t="str">
        <f t="shared" si="255"/>
        <v/>
      </c>
      <c r="DW57" s="85" t="str">
        <f t="shared" si="358"/>
        <v/>
      </c>
      <c r="DX57" s="56"/>
      <c r="DY57" s="91" t="str">
        <f t="shared" si="256"/>
        <v/>
      </c>
      <c r="DZ57" s="85" t="str">
        <f t="shared" si="359"/>
        <v/>
      </c>
      <c r="EA57" s="86"/>
      <c r="EB57" s="91" t="str">
        <f t="shared" si="257"/>
        <v/>
      </c>
      <c r="EC57" s="85" t="str">
        <f t="shared" si="360"/>
        <v/>
      </c>
      <c r="ED57" s="86"/>
      <c r="EE57" s="91" t="str">
        <f t="shared" si="258"/>
        <v/>
      </c>
      <c r="EF57" s="85" t="str">
        <f t="shared" si="361"/>
        <v/>
      </c>
      <c r="EG57" s="86"/>
      <c r="EH57" s="91" t="str">
        <f t="shared" si="259"/>
        <v/>
      </c>
      <c r="EI57" s="85" t="str">
        <f t="shared" si="362"/>
        <v/>
      </c>
      <c r="EJ57" s="86"/>
      <c r="EK57" s="91" t="str">
        <f t="shared" si="260"/>
        <v/>
      </c>
      <c r="EL57" s="85" t="str">
        <f t="shared" si="363"/>
        <v/>
      </c>
      <c r="EM57" s="86"/>
      <c r="EN57" s="91" t="str">
        <f t="shared" si="261"/>
        <v/>
      </c>
      <c r="EO57" s="85" t="str">
        <f t="shared" si="364"/>
        <v/>
      </c>
      <c r="EP57" s="86"/>
      <c r="EQ57" s="91" t="str">
        <f t="shared" si="262"/>
        <v/>
      </c>
      <c r="ER57" s="85" t="str">
        <f t="shared" si="365"/>
        <v/>
      </c>
      <c r="ES57" s="51"/>
      <c r="ET57" s="91" t="str">
        <f t="shared" si="263"/>
        <v/>
      </c>
      <c r="EU57" s="85" t="str">
        <f t="shared" si="366"/>
        <v/>
      </c>
      <c r="EV57" s="56"/>
      <c r="EW57" s="91" t="str">
        <f t="shared" si="264"/>
        <v/>
      </c>
      <c r="EX57" s="85" t="str">
        <f t="shared" si="367"/>
        <v/>
      </c>
      <c r="EY57" s="86"/>
      <c r="EZ57" s="91" t="str">
        <f t="shared" si="265"/>
        <v/>
      </c>
      <c r="FA57" s="85" t="str">
        <f t="shared" si="368"/>
        <v/>
      </c>
      <c r="FB57" s="86"/>
      <c r="FC57" s="91" t="str">
        <f t="shared" si="266"/>
        <v/>
      </c>
      <c r="FD57" s="85" t="str">
        <f t="shared" si="369"/>
        <v/>
      </c>
      <c r="FE57" s="86"/>
      <c r="FF57" s="91" t="str">
        <f t="shared" si="267"/>
        <v/>
      </c>
      <c r="FG57" s="85" t="str">
        <f t="shared" si="370"/>
        <v/>
      </c>
      <c r="FH57" s="86">
        <v>80</v>
      </c>
      <c r="FI57" s="91">
        <f t="shared" si="268"/>
        <v>0.84292723042352458</v>
      </c>
      <c r="FJ57" s="85">
        <f t="shared" si="371"/>
        <v>1</v>
      </c>
      <c r="FK57" s="86"/>
      <c r="FL57" s="91" t="str">
        <f t="shared" si="269"/>
        <v/>
      </c>
      <c r="FM57" s="85" t="str">
        <f t="shared" si="372"/>
        <v/>
      </c>
      <c r="FN57" s="86"/>
      <c r="FO57" s="91" t="str">
        <f t="shared" si="270"/>
        <v/>
      </c>
      <c r="FP57" s="85" t="str">
        <f t="shared" si="373"/>
        <v/>
      </c>
      <c r="FQ57" s="92"/>
      <c r="FR57" s="91" t="str">
        <f t="shared" si="271"/>
        <v/>
      </c>
      <c r="FS57" s="85" t="str">
        <f t="shared" si="374"/>
        <v/>
      </c>
      <c r="FT57" s="86"/>
      <c r="FU57" s="91" t="str">
        <f t="shared" si="272"/>
        <v/>
      </c>
      <c r="FV57" s="85" t="str">
        <f t="shared" si="375"/>
        <v/>
      </c>
      <c r="FW57" s="92"/>
      <c r="FX57" s="91" t="str">
        <f t="shared" si="273"/>
        <v/>
      </c>
      <c r="FY57" s="85" t="str">
        <f t="shared" si="376"/>
        <v/>
      </c>
      <c r="FZ57" s="86"/>
      <c r="GA57" s="91" t="str">
        <f t="shared" si="274"/>
        <v/>
      </c>
      <c r="GB57" s="85" t="str">
        <f t="shared" si="377"/>
        <v/>
      </c>
      <c r="GC57" s="92"/>
      <c r="GD57" s="91" t="str">
        <f t="shared" si="275"/>
        <v/>
      </c>
      <c r="GE57" s="85" t="str">
        <f t="shared" si="378"/>
        <v/>
      </c>
      <c r="GF57" s="86"/>
      <c r="GG57" s="91" t="str">
        <f t="shared" si="276"/>
        <v/>
      </c>
      <c r="GH57" s="85" t="str">
        <f t="shared" si="379"/>
        <v/>
      </c>
      <c r="GI57" s="86"/>
      <c r="GJ57" s="91" t="str">
        <f t="shared" si="277"/>
        <v/>
      </c>
      <c r="GK57" s="85" t="str">
        <f t="shared" si="380"/>
        <v/>
      </c>
      <c r="GL57" s="86"/>
      <c r="GM57" s="91" t="str">
        <f t="shared" si="278"/>
        <v/>
      </c>
      <c r="GN57" s="85" t="str">
        <f t="shared" si="381"/>
        <v/>
      </c>
      <c r="GO57" s="86"/>
      <c r="GP57" s="91" t="str">
        <f t="shared" si="279"/>
        <v/>
      </c>
      <c r="GQ57" s="85" t="str">
        <f t="shared" si="382"/>
        <v/>
      </c>
      <c r="GR57" s="56">
        <v>85</v>
      </c>
      <c r="GS57" s="91">
        <f t="shared" si="280"/>
        <v>0.78334945180064031</v>
      </c>
      <c r="GT57" s="85">
        <f t="shared" si="383"/>
        <v>1</v>
      </c>
      <c r="GU57" s="252">
        <v>95</v>
      </c>
      <c r="GV57" s="91">
        <f t="shared" si="281"/>
        <v>1.2060453783110545</v>
      </c>
      <c r="GW57" s="85">
        <f t="shared" si="384"/>
        <v>1</v>
      </c>
      <c r="GX57" s="86"/>
      <c r="GY57" s="91" t="str">
        <f t="shared" si="282"/>
        <v/>
      </c>
      <c r="GZ57" s="85" t="str">
        <f t="shared" si="385"/>
        <v/>
      </c>
      <c r="HA57" s="86"/>
      <c r="HB57" s="91" t="str">
        <f t="shared" si="283"/>
        <v/>
      </c>
      <c r="HC57" s="85" t="str">
        <f t="shared" si="386"/>
        <v/>
      </c>
      <c r="HD57" s="86"/>
      <c r="HE57" s="91" t="str">
        <f t="shared" si="284"/>
        <v/>
      </c>
      <c r="HF57" s="85" t="str">
        <f t="shared" si="387"/>
        <v/>
      </c>
      <c r="HG57" s="86"/>
      <c r="HH57" s="91" t="str">
        <f t="shared" si="285"/>
        <v/>
      </c>
      <c r="HI57" s="85" t="str">
        <f t="shared" si="388"/>
        <v/>
      </c>
      <c r="HJ57" s="86"/>
      <c r="HK57" s="91" t="str">
        <f t="shared" si="286"/>
        <v/>
      </c>
      <c r="HL57" s="85" t="str">
        <f t="shared" si="389"/>
        <v/>
      </c>
      <c r="HM57" s="86"/>
      <c r="HN57" s="91" t="str">
        <f t="shared" si="287"/>
        <v/>
      </c>
      <c r="HO57" s="85" t="str">
        <f t="shared" si="390"/>
        <v/>
      </c>
      <c r="HP57" s="86"/>
      <c r="HQ57" s="91" t="str">
        <f t="shared" si="288"/>
        <v/>
      </c>
      <c r="HR57" s="85" t="str">
        <f t="shared" si="391"/>
        <v/>
      </c>
      <c r="HS57" s="86"/>
      <c r="HT57" s="91" t="str">
        <f t="shared" si="289"/>
        <v/>
      </c>
      <c r="HU57" s="85" t="str">
        <f t="shared" si="392"/>
        <v/>
      </c>
      <c r="HV57" s="86"/>
      <c r="HW57" s="91" t="str">
        <f t="shared" si="290"/>
        <v/>
      </c>
      <c r="HX57" s="85" t="str">
        <f t="shared" si="393"/>
        <v/>
      </c>
      <c r="HY57" s="86"/>
      <c r="HZ57" s="91" t="str">
        <f t="shared" si="291"/>
        <v/>
      </c>
      <c r="IA57" s="85" t="str">
        <f t="shared" si="394"/>
        <v/>
      </c>
      <c r="IB57" s="86"/>
      <c r="IC57" s="91" t="str">
        <f t="shared" si="292"/>
        <v/>
      </c>
      <c r="ID57" s="85" t="str">
        <f t="shared" si="395"/>
        <v/>
      </c>
      <c r="IE57" s="86"/>
      <c r="IF57" s="91" t="str">
        <f t="shared" si="293"/>
        <v/>
      </c>
      <c r="IG57" s="85" t="str">
        <f t="shared" si="396"/>
        <v/>
      </c>
      <c r="IH57" s="86"/>
      <c r="II57" s="91" t="str">
        <f t="shared" si="294"/>
        <v/>
      </c>
      <c r="IJ57" s="85" t="str">
        <f t="shared" si="397"/>
        <v/>
      </c>
      <c r="IK57" s="86"/>
      <c r="IL57" s="91" t="str">
        <f t="shared" si="295"/>
        <v/>
      </c>
      <c r="IM57" s="85" t="str">
        <f t="shared" si="398"/>
        <v/>
      </c>
      <c r="IN57" s="86"/>
      <c r="IO57" s="91" t="str">
        <f t="shared" si="296"/>
        <v/>
      </c>
      <c r="IP57" s="85" t="str">
        <f t="shared" si="399"/>
        <v/>
      </c>
      <c r="IQ57" s="86"/>
      <c r="IR57" s="91" t="str">
        <f t="shared" si="297"/>
        <v/>
      </c>
      <c r="IS57" s="85" t="str">
        <f t="shared" si="400"/>
        <v/>
      </c>
      <c r="IT57" s="86"/>
      <c r="IU57" s="91" t="str">
        <f t="shared" si="298"/>
        <v/>
      </c>
      <c r="IV57" s="85" t="str">
        <f t="shared" si="401"/>
        <v/>
      </c>
      <c r="IW57" s="86"/>
      <c r="IX57" s="91" t="str">
        <f t="shared" si="299"/>
        <v/>
      </c>
      <c r="IY57" s="85" t="str">
        <f t="shared" si="402"/>
        <v/>
      </c>
      <c r="IZ57" s="86"/>
      <c r="JA57" s="91" t="str">
        <f t="shared" si="300"/>
        <v/>
      </c>
      <c r="JB57" s="85" t="str">
        <f t="shared" si="403"/>
        <v/>
      </c>
      <c r="JC57" s="86"/>
      <c r="JD57" s="91" t="str">
        <f t="shared" si="301"/>
        <v/>
      </c>
      <c r="JE57" s="85" t="str">
        <f t="shared" si="404"/>
        <v/>
      </c>
      <c r="JF57" s="86"/>
      <c r="JG57" s="91" t="str">
        <f t="shared" si="302"/>
        <v/>
      </c>
      <c r="JH57" s="85" t="str">
        <f t="shared" si="405"/>
        <v/>
      </c>
      <c r="JI57" s="86"/>
      <c r="JJ57" s="91" t="str">
        <f t="shared" si="303"/>
        <v/>
      </c>
      <c r="JK57" s="85" t="str">
        <f t="shared" si="406"/>
        <v/>
      </c>
      <c r="JL57" s="86"/>
      <c r="JM57" s="91" t="str">
        <f t="shared" si="304"/>
        <v/>
      </c>
      <c r="JN57" s="85" t="str">
        <f t="shared" si="407"/>
        <v/>
      </c>
      <c r="JO57" s="86"/>
      <c r="JP57" s="91" t="str">
        <f t="shared" si="305"/>
        <v/>
      </c>
      <c r="JQ57" s="85" t="str">
        <f t="shared" si="408"/>
        <v/>
      </c>
      <c r="JR57" s="86"/>
      <c r="JS57" s="91" t="str">
        <f t="shared" si="306"/>
        <v/>
      </c>
      <c r="JT57" s="85" t="str">
        <f t="shared" si="409"/>
        <v/>
      </c>
      <c r="JU57" s="86"/>
      <c r="JV57" s="91" t="str">
        <f t="shared" si="307"/>
        <v/>
      </c>
      <c r="JW57" s="85" t="str">
        <f t="shared" si="410"/>
        <v/>
      </c>
      <c r="JX57" s="86"/>
      <c r="JY57" s="91" t="str">
        <f t="shared" si="308"/>
        <v/>
      </c>
      <c r="JZ57" s="85" t="str">
        <f t="shared" si="411"/>
        <v/>
      </c>
      <c r="KA57" s="86"/>
      <c r="KB57" s="91" t="str">
        <f t="shared" si="309"/>
        <v/>
      </c>
      <c r="KC57" s="85" t="str">
        <f t="shared" si="412"/>
        <v/>
      </c>
      <c r="KD57" s="86"/>
      <c r="KE57" s="91" t="str">
        <f t="shared" si="310"/>
        <v/>
      </c>
      <c r="KF57" s="85" t="str">
        <f t="shared" si="413"/>
        <v/>
      </c>
      <c r="KG57" s="86"/>
      <c r="KH57" s="91" t="str">
        <f t="shared" si="311"/>
        <v/>
      </c>
      <c r="KI57" s="85" t="str">
        <f t="shared" si="414"/>
        <v/>
      </c>
      <c r="KJ57" s="86"/>
      <c r="KK57" s="91" t="str">
        <f t="shared" si="312"/>
        <v/>
      </c>
      <c r="KL57" s="85" t="str">
        <f t="shared" si="415"/>
        <v/>
      </c>
      <c r="KM57" s="86"/>
      <c r="KN57" s="91" t="str">
        <f t="shared" si="313"/>
        <v/>
      </c>
      <c r="KO57" s="85" t="str">
        <f t="shared" si="416"/>
        <v/>
      </c>
      <c r="KP57" s="86"/>
      <c r="KQ57" s="91" t="str">
        <f t="shared" si="314"/>
        <v/>
      </c>
      <c r="KR57" s="85" t="str">
        <f t="shared" si="417"/>
        <v/>
      </c>
      <c r="KS57" s="86"/>
      <c r="KT57" s="91" t="str">
        <f t="shared" si="315"/>
        <v/>
      </c>
      <c r="KU57" s="85" t="str">
        <f t="shared" si="418"/>
        <v/>
      </c>
      <c r="KV57" s="86"/>
      <c r="KW57" s="91" t="str">
        <f t="shared" si="316"/>
        <v/>
      </c>
      <c r="KX57" s="85" t="str">
        <f t="shared" si="419"/>
        <v/>
      </c>
      <c r="KY57" s="92"/>
      <c r="KZ57" s="91" t="str">
        <f t="shared" si="317"/>
        <v/>
      </c>
      <c r="LA57" s="85" t="str">
        <f t="shared" si="420"/>
        <v/>
      </c>
      <c r="LB57" s="50">
        <f t="shared" si="218"/>
        <v>87.6</v>
      </c>
      <c r="LC57" s="57">
        <f t="shared" si="421"/>
        <v>25</v>
      </c>
      <c r="LD57" s="50">
        <f t="shared" si="207"/>
        <v>0.51809971503734198</v>
      </c>
      <c r="LE57" s="57">
        <f t="shared" si="422"/>
        <v>18</v>
      </c>
      <c r="LF57" s="50">
        <f t="shared" si="208"/>
        <v>0.81666666666666665</v>
      </c>
      <c r="LG57" s="57">
        <f t="shared" si="423"/>
        <v>8</v>
      </c>
      <c r="LH57" s="58">
        <f t="shared" si="318"/>
        <v>44.298245614035082</v>
      </c>
      <c r="LI57" s="58">
        <f t="shared" si="319"/>
        <v>44.685482774510056</v>
      </c>
      <c r="LJ57" s="58">
        <f t="shared" si="320"/>
        <v>45.416666666666671</v>
      </c>
      <c r="LK57" s="58">
        <f t="shared" si="424"/>
        <v>84.400395055211789</v>
      </c>
      <c r="LL57" s="60">
        <f t="shared" si="425"/>
        <v>15</v>
      </c>
      <c r="LM57" s="55"/>
      <c r="LN57" s="61">
        <f t="shared" si="427"/>
        <v>3</v>
      </c>
      <c r="LO57" s="61">
        <f t="shared" si="214"/>
        <v>15</v>
      </c>
      <c r="LP57" s="64"/>
      <c r="LQ57" s="64"/>
      <c r="LR57" s="64"/>
      <c r="LS57" s="62"/>
      <c r="LT57" s="62"/>
    </row>
    <row r="58" spans="1:334" s="63" customFormat="1" ht="15" customHeight="1">
      <c r="A58" s="50">
        <f t="shared" si="211"/>
        <v>5</v>
      </c>
      <c r="B58" s="50">
        <f t="shared" si="212"/>
        <v>5</v>
      </c>
      <c r="C58" s="117">
        <v>17</v>
      </c>
      <c r="D58" s="118" t="s">
        <v>275</v>
      </c>
      <c r="E58" s="286" t="s">
        <v>664</v>
      </c>
      <c r="F58" s="76"/>
      <c r="G58" s="76"/>
      <c r="H58" s="119" t="s">
        <v>13</v>
      </c>
      <c r="I58" s="286" t="s">
        <v>579</v>
      </c>
      <c r="J58" s="119" t="s">
        <v>276</v>
      </c>
      <c r="K58" s="119" t="s">
        <v>8</v>
      </c>
      <c r="L58" s="53" t="s">
        <v>277</v>
      </c>
      <c r="M58" s="292" t="s">
        <v>35</v>
      </c>
      <c r="N58" s="86"/>
      <c r="O58" s="91" t="str">
        <f t="shared" si="219"/>
        <v/>
      </c>
      <c r="P58" s="85" t="str">
        <f t="shared" si="321"/>
        <v/>
      </c>
      <c r="Q58" s="86"/>
      <c r="R58" s="91" t="str">
        <f t="shared" si="220"/>
        <v/>
      </c>
      <c r="S58" s="85" t="str">
        <f t="shared" si="322"/>
        <v/>
      </c>
      <c r="T58" s="86"/>
      <c r="U58" s="91" t="str">
        <f t="shared" si="221"/>
        <v/>
      </c>
      <c r="V58" s="85" t="str">
        <f t="shared" si="323"/>
        <v/>
      </c>
      <c r="W58" s="86"/>
      <c r="X58" s="91" t="str">
        <f t="shared" si="222"/>
        <v/>
      </c>
      <c r="Y58" s="85" t="str">
        <f t="shared" si="324"/>
        <v/>
      </c>
      <c r="Z58" s="86"/>
      <c r="AA58" s="91" t="str">
        <f t="shared" si="223"/>
        <v/>
      </c>
      <c r="AB58" s="85" t="str">
        <f t="shared" si="325"/>
        <v/>
      </c>
      <c r="AC58" s="86"/>
      <c r="AD58" s="91" t="str">
        <f t="shared" si="224"/>
        <v/>
      </c>
      <c r="AE58" s="85" t="str">
        <f t="shared" si="326"/>
        <v/>
      </c>
      <c r="AF58" s="86"/>
      <c r="AG58" s="91" t="str">
        <f t="shared" si="225"/>
        <v/>
      </c>
      <c r="AH58" s="85" t="str">
        <f t="shared" si="327"/>
        <v/>
      </c>
      <c r="AI58" s="86"/>
      <c r="AJ58" s="91" t="str">
        <f t="shared" si="226"/>
        <v/>
      </c>
      <c r="AK58" s="85" t="str">
        <f t="shared" si="328"/>
        <v/>
      </c>
      <c r="AL58" s="86"/>
      <c r="AM58" s="91" t="str">
        <f t="shared" si="227"/>
        <v/>
      </c>
      <c r="AN58" s="85" t="str">
        <f t="shared" si="329"/>
        <v/>
      </c>
      <c r="AO58" s="56"/>
      <c r="AP58" s="91" t="str">
        <f t="shared" si="228"/>
        <v/>
      </c>
      <c r="AQ58" s="85" t="str">
        <f t="shared" si="330"/>
        <v/>
      </c>
      <c r="AR58" s="86"/>
      <c r="AS58" s="91" t="str">
        <f t="shared" si="229"/>
        <v/>
      </c>
      <c r="AT58" s="85" t="str">
        <f t="shared" si="331"/>
        <v/>
      </c>
      <c r="AU58" s="86"/>
      <c r="AV58" s="91" t="str">
        <f t="shared" si="230"/>
        <v/>
      </c>
      <c r="AW58" s="85" t="str">
        <f t="shared" si="332"/>
        <v/>
      </c>
      <c r="AX58" s="86">
        <v>86</v>
      </c>
      <c r="AY58" s="91">
        <f t="shared" si="231"/>
        <v>-0.92989562981710006</v>
      </c>
      <c r="AZ58" s="85">
        <f t="shared" si="333"/>
        <v>0</v>
      </c>
      <c r="BA58" s="86"/>
      <c r="BB58" s="91" t="str">
        <f t="shared" si="232"/>
        <v/>
      </c>
      <c r="BC58" s="85" t="str">
        <f t="shared" si="334"/>
        <v/>
      </c>
      <c r="BD58" s="86"/>
      <c r="BE58" s="91" t="str">
        <f t="shared" si="233"/>
        <v/>
      </c>
      <c r="BF58" s="85" t="str">
        <f t="shared" si="335"/>
        <v/>
      </c>
      <c r="BG58" s="86"/>
      <c r="BH58" s="91" t="str">
        <f t="shared" si="234"/>
        <v/>
      </c>
      <c r="BI58" s="85" t="str">
        <f t="shared" si="336"/>
        <v/>
      </c>
      <c r="BJ58" s="86"/>
      <c r="BK58" s="91" t="str">
        <f t="shared" si="235"/>
        <v/>
      </c>
      <c r="BL58" s="85" t="str">
        <f t="shared" si="337"/>
        <v/>
      </c>
      <c r="BM58" s="86"/>
      <c r="BN58" s="91" t="str">
        <f t="shared" si="236"/>
        <v/>
      </c>
      <c r="BO58" s="85" t="str">
        <f t="shared" si="338"/>
        <v/>
      </c>
      <c r="BP58" s="51"/>
      <c r="BQ58" s="91" t="str">
        <f t="shared" si="237"/>
        <v/>
      </c>
      <c r="BR58" s="85" t="str">
        <f t="shared" si="339"/>
        <v/>
      </c>
      <c r="BS58" s="86"/>
      <c r="BT58" s="91" t="str">
        <f t="shared" si="238"/>
        <v/>
      </c>
      <c r="BU58" s="85" t="str">
        <f t="shared" si="340"/>
        <v/>
      </c>
      <c r="BV58" s="86"/>
      <c r="BW58" s="91" t="str">
        <f t="shared" si="239"/>
        <v/>
      </c>
      <c r="BX58" s="85" t="str">
        <f t="shared" si="341"/>
        <v/>
      </c>
      <c r="BY58" s="86"/>
      <c r="BZ58" s="91" t="str">
        <f t="shared" si="240"/>
        <v/>
      </c>
      <c r="CA58" s="85" t="str">
        <f t="shared" si="342"/>
        <v/>
      </c>
      <c r="CB58" s="86">
        <v>85</v>
      </c>
      <c r="CC58" s="91">
        <f t="shared" si="241"/>
        <v>2.0395425411200103E-2</v>
      </c>
      <c r="CD58" s="85">
        <f t="shared" si="343"/>
        <v>0.66666666666666663</v>
      </c>
      <c r="CE58" s="86"/>
      <c r="CF58" s="91" t="str">
        <f t="shared" si="242"/>
        <v/>
      </c>
      <c r="CG58" s="85" t="str">
        <f t="shared" si="344"/>
        <v/>
      </c>
      <c r="CH58" s="86"/>
      <c r="CI58" s="91" t="str">
        <f t="shared" si="243"/>
        <v/>
      </c>
      <c r="CJ58" s="85" t="str">
        <f t="shared" si="345"/>
        <v/>
      </c>
      <c r="CK58" s="86"/>
      <c r="CL58" s="91" t="str">
        <f t="shared" si="244"/>
        <v/>
      </c>
      <c r="CM58" s="85" t="str">
        <f t="shared" si="346"/>
        <v/>
      </c>
      <c r="CN58" s="56"/>
      <c r="CO58" s="91" t="str">
        <f t="shared" si="245"/>
        <v/>
      </c>
      <c r="CP58" s="85" t="str">
        <f t="shared" si="347"/>
        <v/>
      </c>
      <c r="CQ58" s="86"/>
      <c r="CR58" s="91" t="str">
        <f t="shared" si="246"/>
        <v/>
      </c>
      <c r="CS58" s="85" t="str">
        <f t="shared" si="348"/>
        <v/>
      </c>
      <c r="CT58" s="86"/>
      <c r="CU58" s="91" t="str">
        <f t="shared" si="247"/>
        <v/>
      </c>
      <c r="CV58" s="85" t="str">
        <f t="shared" si="349"/>
        <v/>
      </c>
      <c r="CW58" s="97"/>
      <c r="CX58" s="91" t="str">
        <f t="shared" si="248"/>
        <v/>
      </c>
      <c r="CY58" s="85" t="str">
        <f t="shared" si="350"/>
        <v/>
      </c>
      <c r="CZ58" s="86"/>
      <c r="DA58" s="91" t="str">
        <f t="shared" si="249"/>
        <v/>
      </c>
      <c r="DB58" s="85" t="str">
        <f t="shared" si="351"/>
        <v/>
      </c>
      <c r="DC58" s="86"/>
      <c r="DD58" s="91" t="str">
        <f t="shared" si="250"/>
        <v/>
      </c>
      <c r="DE58" s="85" t="str">
        <f t="shared" si="352"/>
        <v/>
      </c>
      <c r="DF58" s="86"/>
      <c r="DG58" s="91"/>
      <c r="DH58" s="85" t="str">
        <f t="shared" si="353"/>
        <v/>
      </c>
      <c r="DI58" s="86"/>
      <c r="DJ58" s="91" t="str">
        <f t="shared" si="251"/>
        <v/>
      </c>
      <c r="DK58" s="85" t="str">
        <f t="shared" si="354"/>
        <v/>
      </c>
      <c r="DL58" s="86"/>
      <c r="DM58" s="91" t="str">
        <f t="shared" si="252"/>
        <v/>
      </c>
      <c r="DN58" s="85" t="str">
        <f t="shared" si="355"/>
        <v/>
      </c>
      <c r="DO58" s="86"/>
      <c r="DP58" s="91" t="str">
        <f t="shared" si="253"/>
        <v/>
      </c>
      <c r="DQ58" s="85" t="str">
        <f t="shared" si="356"/>
        <v/>
      </c>
      <c r="DR58" s="86"/>
      <c r="DS58" s="91" t="str">
        <f t="shared" si="254"/>
        <v/>
      </c>
      <c r="DT58" s="85" t="str">
        <f t="shared" si="357"/>
        <v/>
      </c>
      <c r="DU58" s="86"/>
      <c r="DV58" s="91" t="str">
        <f t="shared" si="255"/>
        <v/>
      </c>
      <c r="DW58" s="85" t="str">
        <f t="shared" si="358"/>
        <v/>
      </c>
      <c r="DX58" s="86"/>
      <c r="DY58" s="91" t="str">
        <f t="shared" si="256"/>
        <v/>
      </c>
      <c r="DZ58" s="85" t="str">
        <f t="shared" si="359"/>
        <v/>
      </c>
      <c r="EA58" s="86"/>
      <c r="EB58" s="91" t="str">
        <f t="shared" si="257"/>
        <v/>
      </c>
      <c r="EC58" s="85" t="str">
        <f t="shared" si="360"/>
        <v/>
      </c>
      <c r="ED58" s="86"/>
      <c r="EE58" s="91" t="str">
        <f t="shared" si="258"/>
        <v/>
      </c>
      <c r="EF58" s="85" t="str">
        <f t="shared" si="361"/>
        <v/>
      </c>
      <c r="EG58" s="86"/>
      <c r="EH58" s="91" t="str">
        <f t="shared" si="259"/>
        <v/>
      </c>
      <c r="EI58" s="85" t="str">
        <f t="shared" si="362"/>
        <v/>
      </c>
      <c r="EJ58" s="56"/>
      <c r="EK58" s="91" t="str">
        <f t="shared" si="260"/>
        <v/>
      </c>
      <c r="EL58" s="85" t="str">
        <f t="shared" si="363"/>
        <v/>
      </c>
      <c r="EM58" s="56"/>
      <c r="EN58" s="91" t="str">
        <f t="shared" si="261"/>
        <v/>
      </c>
      <c r="EO58" s="85" t="str">
        <f t="shared" si="364"/>
        <v/>
      </c>
      <c r="EP58" s="86"/>
      <c r="EQ58" s="91" t="str">
        <f t="shared" si="262"/>
        <v/>
      </c>
      <c r="ER58" s="85" t="str">
        <f t="shared" si="365"/>
        <v/>
      </c>
      <c r="ES58" s="51"/>
      <c r="ET58" s="91" t="str">
        <f t="shared" si="263"/>
        <v/>
      </c>
      <c r="EU58" s="85" t="str">
        <f t="shared" si="366"/>
        <v/>
      </c>
      <c r="EV58" s="86"/>
      <c r="EW58" s="91" t="str">
        <f t="shared" si="264"/>
        <v/>
      </c>
      <c r="EX58" s="85" t="str">
        <f t="shared" si="367"/>
        <v/>
      </c>
      <c r="EY58" s="86"/>
      <c r="EZ58" s="91" t="str">
        <f t="shared" si="265"/>
        <v/>
      </c>
      <c r="FA58" s="85" t="str">
        <f t="shared" si="368"/>
        <v/>
      </c>
      <c r="FB58" s="86"/>
      <c r="FC58" s="91" t="str">
        <f t="shared" si="266"/>
        <v/>
      </c>
      <c r="FD58" s="85" t="str">
        <f t="shared" si="369"/>
        <v/>
      </c>
      <c r="FE58" s="86"/>
      <c r="FF58" s="91" t="str">
        <f t="shared" si="267"/>
        <v/>
      </c>
      <c r="FG58" s="85" t="str">
        <f t="shared" si="370"/>
        <v/>
      </c>
      <c r="FH58" s="86">
        <v>72</v>
      </c>
      <c r="FI58" s="91">
        <f t="shared" si="268"/>
        <v>-1.404878717372541</v>
      </c>
      <c r="FJ58" s="85">
        <f t="shared" si="371"/>
        <v>0</v>
      </c>
      <c r="FK58" s="86"/>
      <c r="FL58" s="91" t="str">
        <f t="shared" si="269"/>
        <v/>
      </c>
      <c r="FM58" s="85" t="str">
        <f t="shared" si="372"/>
        <v/>
      </c>
      <c r="FN58" s="86"/>
      <c r="FO58" s="91" t="str">
        <f t="shared" si="270"/>
        <v/>
      </c>
      <c r="FP58" s="85" t="str">
        <f t="shared" si="373"/>
        <v/>
      </c>
      <c r="FQ58" s="86"/>
      <c r="FR58" s="91" t="str">
        <f t="shared" si="271"/>
        <v/>
      </c>
      <c r="FS58" s="85" t="str">
        <f t="shared" si="374"/>
        <v/>
      </c>
      <c r="FT58" s="86"/>
      <c r="FU58" s="91" t="str">
        <f t="shared" si="272"/>
        <v/>
      </c>
      <c r="FV58" s="85" t="str">
        <f t="shared" si="375"/>
        <v/>
      </c>
      <c r="FW58" s="92"/>
      <c r="FX58" s="91" t="str">
        <f t="shared" si="273"/>
        <v/>
      </c>
      <c r="FY58" s="85" t="str">
        <f t="shared" si="376"/>
        <v/>
      </c>
      <c r="FZ58" s="86"/>
      <c r="GA58" s="91" t="str">
        <f t="shared" si="274"/>
        <v/>
      </c>
      <c r="GB58" s="85" t="str">
        <f t="shared" si="377"/>
        <v/>
      </c>
      <c r="GC58" s="86"/>
      <c r="GD58" s="91" t="str">
        <f t="shared" si="275"/>
        <v/>
      </c>
      <c r="GE58" s="85" t="str">
        <f t="shared" si="378"/>
        <v/>
      </c>
      <c r="GF58" s="86"/>
      <c r="GG58" s="91" t="str">
        <f t="shared" si="276"/>
        <v/>
      </c>
      <c r="GH58" s="85" t="str">
        <f t="shared" si="379"/>
        <v/>
      </c>
      <c r="GI58" s="86"/>
      <c r="GJ58" s="91" t="str">
        <f t="shared" si="277"/>
        <v/>
      </c>
      <c r="GK58" s="85" t="str">
        <f t="shared" si="380"/>
        <v/>
      </c>
      <c r="GL58" s="86"/>
      <c r="GM58" s="91" t="str">
        <f t="shared" si="278"/>
        <v/>
      </c>
      <c r="GN58" s="85" t="str">
        <f t="shared" si="381"/>
        <v/>
      </c>
      <c r="GO58" s="86"/>
      <c r="GP58" s="91" t="str">
        <f t="shared" si="279"/>
        <v/>
      </c>
      <c r="GQ58" s="85" t="str">
        <f t="shared" si="382"/>
        <v/>
      </c>
      <c r="GR58" s="56">
        <v>75</v>
      </c>
      <c r="GS58" s="91">
        <f t="shared" si="280"/>
        <v>-0.26111648393354675</v>
      </c>
      <c r="GT58" s="85">
        <f t="shared" si="383"/>
        <v>0.33333333333333331</v>
      </c>
      <c r="GU58" s="252">
        <v>74</v>
      </c>
      <c r="GV58" s="91">
        <f t="shared" si="281"/>
        <v>-0.90453403373329089</v>
      </c>
      <c r="GW58" s="85">
        <f t="shared" si="384"/>
        <v>0.25</v>
      </c>
      <c r="GX58" s="86"/>
      <c r="GY58" s="91" t="str">
        <f t="shared" si="282"/>
        <v/>
      </c>
      <c r="GZ58" s="85" t="str">
        <f t="shared" si="385"/>
        <v/>
      </c>
      <c r="HA58" s="86"/>
      <c r="HB58" s="91" t="str">
        <f t="shared" si="283"/>
        <v/>
      </c>
      <c r="HC58" s="85" t="str">
        <f t="shared" si="386"/>
        <v/>
      </c>
      <c r="HD58" s="86"/>
      <c r="HE58" s="91" t="str">
        <f t="shared" si="284"/>
        <v/>
      </c>
      <c r="HF58" s="85" t="str">
        <f t="shared" si="387"/>
        <v/>
      </c>
      <c r="HG58" s="86"/>
      <c r="HH58" s="91" t="str">
        <f t="shared" si="285"/>
        <v/>
      </c>
      <c r="HI58" s="85" t="str">
        <f t="shared" si="388"/>
        <v/>
      </c>
      <c r="HJ58" s="86"/>
      <c r="HK58" s="91" t="str">
        <f t="shared" si="286"/>
        <v/>
      </c>
      <c r="HL58" s="85" t="str">
        <f t="shared" si="389"/>
        <v/>
      </c>
      <c r="HM58" s="86"/>
      <c r="HN58" s="91" t="str">
        <f t="shared" si="287"/>
        <v/>
      </c>
      <c r="HO58" s="85" t="str">
        <f t="shared" si="390"/>
        <v/>
      </c>
      <c r="HP58" s="86"/>
      <c r="HQ58" s="91" t="str">
        <f t="shared" si="288"/>
        <v/>
      </c>
      <c r="HR58" s="85" t="str">
        <f t="shared" si="391"/>
        <v/>
      </c>
      <c r="HS58" s="86"/>
      <c r="HT58" s="91" t="str">
        <f t="shared" si="289"/>
        <v/>
      </c>
      <c r="HU58" s="85" t="str">
        <f t="shared" si="392"/>
        <v/>
      </c>
      <c r="HV58" s="86"/>
      <c r="HW58" s="91" t="str">
        <f t="shared" si="290"/>
        <v/>
      </c>
      <c r="HX58" s="85" t="str">
        <f t="shared" si="393"/>
        <v/>
      </c>
      <c r="HY58" s="86"/>
      <c r="HZ58" s="91" t="str">
        <f t="shared" si="291"/>
        <v/>
      </c>
      <c r="IA58" s="85" t="str">
        <f t="shared" si="394"/>
        <v/>
      </c>
      <c r="IB58" s="86"/>
      <c r="IC58" s="91" t="str">
        <f t="shared" si="292"/>
        <v/>
      </c>
      <c r="ID58" s="85" t="str">
        <f t="shared" si="395"/>
        <v/>
      </c>
      <c r="IE58" s="86"/>
      <c r="IF58" s="91" t="str">
        <f t="shared" si="293"/>
        <v/>
      </c>
      <c r="IG58" s="85" t="str">
        <f t="shared" si="396"/>
        <v/>
      </c>
      <c r="IH58" s="86"/>
      <c r="II58" s="91" t="str">
        <f t="shared" si="294"/>
        <v/>
      </c>
      <c r="IJ58" s="85" t="str">
        <f t="shared" si="397"/>
        <v/>
      </c>
      <c r="IK58" s="86"/>
      <c r="IL58" s="91" t="str">
        <f t="shared" si="295"/>
        <v/>
      </c>
      <c r="IM58" s="85" t="str">
        <f t="shared" si="398"/>
        <v/>
      </c>
      <c r="IN58" s="86"/>
      <c r="IO58" s="91" t="str">
        <f t="shared" si="296"/>
        <v/>
      </c>
      <c r="IP58" s="85" t="str">
        <f t="shared" si="399"/>
        <v/>
      </c>
      <c r="IQ58" s="86"/>
      <c r="IR58" s="91" t="str">
        <f t="shared" si="297"/>
        <v/>
      </c>
      <c r="IS58" s="85" t="str">
        <f t="shared" si="400"/>
        <v/>
      </c>
      <c r="IT58" s="86"/>
      <c r="IU58" s="91" t="str">
        <f t="shared" si="298"/>
        <v/>
      </c>
      <c r="IV58" s="85" t="str">
        <f t="shared" si="401"/>
        <v/>
      </c>
      <c r="IW58" s="86"/>
      <c r="IX58" s="91" t="str">
        <f t="shared" si="299"/>
        <v/>
      </c>
      <c r="IY58" s="85" t="str">
        <f t="shared" si="402"/>
        <v/>
      </c>
      <c r="IZ58" s="86"/>
      <c r="JA58" s="91" t="str">
        <f t="shared" si="300"/>
        <v/>
      </c>
      <c r="JB58" s="85" t="str">
        <f t="shared" si="403"/>
        <v/>
      </c>
      <c r="JC58" s="86"/>
      <c r="JD58" s="91" t="str">
        <f t="shared" si="301"/>
        <v/>
      </c>
      <c r="JE58" s="85" t="str">
        <f t="shared" si="404"/>
        <v/>
      </c>
      <c r="JF58" s="86"/>
      <c r="JG58" s="91" t="str">
        <f t="shared" si="302"/>
        <v/>
      </c>
      <c r="JH58" s="85" t="str">
        <f t="shared" si="405"/>
        <v/>
      </c>
      <c r="JI58" s="86"/>
      <c r="JJ58" s="91" t="str">
        <f t="shared" si="303"/>
        <v/>
      </c>
      <c r="JK58" s="85" t="str">
        <f t="shared" si="406"/>
        <v/>
      </c>
      <c r="JL58" s="86"/>
      <c r="JM58" s="91" t="str">
        <f t="shared" si="304"/>
        <v/>
      </c>
      <c r="JN58" s="85" t="str">
        <f t="shared" si="407"/>
        <v/>
      </c>
      <c r="JO58" s="86"/>
      <c r="JP58" s="91" t="str">
        <f t="shared" si="305"/>
        <v/>
      </c>
      <c r="JQ58" s="85" t="str">
        <f t="shared" si="408"/>
        <v/>
      </c>
      <c r="JR58" s="86"/>
      <c r="JS58" s="91" t="str">
        <f t="shared" si="306"/>
        <v/>
      </c>
      <c r="JT58" s="85" t="str">
        <f t="shared" si="409"/>
        <v/>
      </c>
      <c r="JU58" s="86"/>
      <c r="JV58" s="91" t="str">
        <f t="shared" si="307"/>
        <v/>
      </c>
      <c r="JW58" s="85" t="str">
        <f t="shared" si="410"/>
        <v/>
      </c>
      <c r="JX58" s="86"/>
      <c r="JY58" s="91" t="str">
        <f t="shared" si="308"/>
        <v/>
      </c>
      <c r="JZ58" s="85" t="str">
        <f t="shared" si="411"/>
        <v/>
      </c>
      <c r="KA58" s="86"/>
      <c r="KB58" s="91" t="str">
        <f t="shared" si="309"/>
        <v/>
      </c>
      <c r="KC58" s="85" t="str">
        <f t="shared" si="412"/>
        <v/>
      </c>
      <c r="KD58" s="86"/>
      <c r="KE58" s="91" t="str">
        <f t="shared" si="310"/>
        <v/>
      </c>
      <c r="KF58" s="85" t="str">
        <f t="shared" si="413"/>
        <v/>
      </c>
      <c r="KG58" s="86"/>
      <c r="KH58" s="91" t="str">
        <f t="shared" si="311"/>
        <v/>
      </c>
      <c r="KI58" s="85" t="str">
        <f t="shared" si="414"/>
        <v/>
      </c>
      <c r="KJ58" s="86"/>
      <c r="KK58" s="91" t="str">
        <f t="shared" si="312"/>
        <v/>
      </c>
      <c r="KL58" s="85" t="str">
        <f t="shared" si="415"/>
        <v/>
      </c>
      <c r="KM58" s="86"/>
      <c r="KN58" s="91" t="str">
        <f t="shared" si="313"/>
        <v/>
      </c>
      <c r="KO58" s="85" t="str">
        <f t="shared" si="416"/>
        <v/>
      </c>
      <c r="KP58" s="86"/>
      <c r="KQ58" s="91" t="str">
        <f t="shared" si="314"/>
        <v/>
      </c>
      <c r="KR58" s="85" t="str">
        <f t="shared" si="417"/>
        <v/>
      </c>
      <c r="KS58" s="86"/>
      <c r="KT58" s="91" t="str">
        <f t="shared" si="315"/>
        <v/>
      </c>
      <c r="KU58" s="85" t="str">
        <f t="shared" si="418"/>
        <v/>
      </c>
      <c r="KV58" s="86"/>
      <c r="KW58" s="91" t="str">
        <f t="shared" si="316"/>
        <v/>
      </c>
      <c r="KX58" s="85" t="str">
        <f t="shared" si="419"/>
        <v/>
      </c>
      <c r="KY58" s="92"/>
      <c r="KZ58" s="91" t="str">
        <f t="shared" si="317"/>
        <v/>
      </c>
      <c r="LA58" s="85" t="str">
        <f t="shared" si="420"/>
        <v/>
      </c>
      <c r="LB58" s="50">
        <f t="shared" si="218"/>
        <v>78.400000000000006</v>
      </c>
      <c r="LC58" s="57">
        <f t="shared" si="421"/>
        <v>45</v>
      </c>
      <c r="LD58" s="50">
        <f t="shared" si="207"/>
        <v>-0.69600588788905571</v>
      </c>
      <c r="LE58" s="57">
        <f t="shared" si="422"/>
        <v>49</v>
      </c>
      <c r="LF58" s="50">
        <f t="shared" si="208"/>
        <v>0.25</v>
      </c>
      <c r="LG58" s="57">
        <f t="shared" si="423"/>
        <v>47</v>
      </c>
      <c r="LH58" s="58">
        <f t="shared" si="318"/>
        <v>39.254385964912281</v>
      </c>
      <c r="LI58" s="58">
        <f t="shared" si="319"/>
        <v>33.351137581652814</v>
      </c>
      <c r="LJ58" s="58">
        <f t="shared" si="320"/>
        <v>31.25</v>
      </c>
      <c r="LK58" s="58">
        <f t="shared" si="424"/>
        <v>53.855523546565095</v>
      </c>
      <c r="LL58" s="60">
        <f t="shared" si="425"/>
        <v>48</v>
      </c>
      <c r="LM58" s="55"/>
      <c r="LN58" s="61">
        <f t="shared" si="427"/>
        <v>6</v>
      </c>
      <c r="LO58" s="61">
        <f t="shared" si="214"/>
        <v>48</v>
      </c>
      <c r="LP58" s="64"/>
      <c r="LQ58" s="64"/>
      <c r="LR58" s="64"/>
    </row>
    <row r="59" spans="1:334" s="63" customFormat="1" ht="15" customHeight="1">
      <c r="A59" s="50">
        <f t="shared" si="211"/>
        <v>6</v>
      </c>
      <c r="B59" s="50">
        <f t="shared" si="212"/>
        <v>5</v>
      </c>
      <c r="C59" s="117">
        <v>20</v>
      </c>
      <c r="D59" s="118" t="s">
        <v>278</v>
      </c>
      <c r="E59" s="286" t="s">
        <v>665</v>
      </c>
      <c r="F59" s="76"/>
      <c r="G59" s="76"/>
      <c r="H59" s="119" t="s">
        <v>7</v>
      </c>
      <c r="I59" s="286" t="s">
        <v>580</v>
      </c>
      <c r="J59" s="119" t="s">
        <v>279</v>
      </c>
      <c r="K59" s="119" t="s">
        <v>8</v>
      </c>
      <c r="L59" s="104" t="s">
        <v>280</v>
      </c>
      <c r="M59" s="292" t="s">
        <v>35</v>
      </c>
      <c r="N59" s="86"/>
      <c r="O59" s="91" t="str">
        <f t="shared" si="219"/>
        <v/>
      </c>
      <c r="P59" s="85" t="str">
        <f t="shared" si="321"/>
        <v/>
      </c>
      <c r="Q59" s="86"/>
      <c r="R59" s="91" t="str">
        <f t="shared" si="220"/>
        <v/>
      </c>
      <c r="S59" s="85" t="str">
        <f t="shared" si="322"/>
        <v/>
      </c>
      <c r="T59" s="86"/>
      <c r="U59" s="91" t="str">
        <f t="shared" si="221"/>
        <v/>
      </c>
      <c r="V59" s="85" t="str">
        <f t="shared" si="323"/>
        <v/>
      </c>
      <c r="W59" s="86"/>
      <c r="X59" s="91" t="str">
        <f t="shared" si="222"/>
        <v/>
      </c>
      <c r="Y59" s="85" t="str">
        <f t="shared" si="324"/>
        <v/>
      </c>
      <c r="Z59" s="86"/>
      <c r="AA59" s="91" t="str">
        <f t="shared" si="223"/>
        <v/>
      </c>
      <c r="AB59" s="85" t="str">
        <f t="shared" si="325"/>
        <v/>
      </c>
      <c r="AC59" s="271">
        <v>100</v>
      </c>
      <c r="AD59" s="91">
        <f t="shared" si="224"/>
        <v>0.85381770046647543</v>
      </c>
      <c r="AE59" s="85">
        <f t="shared" si="326"/>
        <v>1</v>
      </c>
      <c r="AF59" s="86"/>
      <c r="AG59" s="91" t="str">
        <f t="shared" si="225"/>
        <v/>
      </c>
      <c r="AH59" s="85" t="str">
        <f t="shared" si="327"/>
        <v/>
      </c>
      <c r="AI59" s="86"/>
      <c r="AJ59" s="91" t="str">
        <f t="shared" si="226"/>
        <v/>
      </c>
      <c r="AK59" s="85" t="str">
        <f t="shared" si="328"/>
        <v/>
      </c>
      <c r="AL59" s="86" t="s">
        <v>50</v>
      </c>
      <c r="AM59" s="91" t="str">
        <f t="shared" si="227"/>
        <v/>
      </c>
      <c r="AN59" s="85" t="str">
        <f t="shared" si="329"/>
        <v/>
      </c>
      <c r="AO59" s="86"/>
      <c r="AP59" s="91" t="str">
        <f t="shared" si="228"/>
        <v/>
      </c>
      <c r="AQ59" s="85" t="str">
        <f t="shared" si="330"/>
        <v/>
      </c>
      <c r="AR59" s="86"/>
      <c r="AS59" s="91" t="str">
        <f t="shared" si="229"/>
        <v/>
      </c>
      <c r="AT59" s="85" t="str">
        <f t="shared" si="331"/>
        <v/>
      </c>
      <c r="AU59" s="56"/>
      <c r="AV59" s="91" t="str">
        <f t="shared" si="230"/>
        <v/>
      </c>
      <c r="AW59" s="85" t="str">
        <f t="shared" si="332"/>
        <v/>
      </c>
      <c r="AX59" s="86">
        <v>100</v>
      </c>
      <c r="AY59" s="91">
        <f t="shared" si="231"/>
        <v>0.92989562981710006</v>
      </c>
      <c r="AZ59" s="85">
        <f t="shared" si="333"/>
        <v>1</v>
      </c>
      <c r="BA59" s="86"/>
      <c r="BB59" s="91" t="str">
        <f t="shared" si="232"/>
        <v/>
      </c>
      <c r="BC59" s="85" t="str">
        <f t="shared" si="334"/>
        <v/>
      </c>
      <c r="BD59" s="86"/>
      <c r="BE59" s="91" t="str">
        <f t="shared" si="233"/>
        <v/>
      </c>
      <c r="BF59" s="85" t="str">
        <f t="shared" si="335"/>
        <v/>
      </c>
      <c r="BG59" s="86"/>
      <c r="BH59" s="91" t="str">
        <f t="shared" si="234"/>
        <v/>
      </c>
      <c r="BI59" s="85" t="str">
        <f t="shared" si="336"/>
        <v/>
      </c>
      <c r="BJ59" s="86"/>
      <c r="BK59" s="91" t="str">
        <f t="shared" si="235"/>
        <v/>
      </c>
      <c r="BL59" s="85" t="str">
        <f t="shared" si="337"/>
        <v/>
      </c>
      <c r="BM59" s="86"/>
      <c r="BN59" s="91" t="str">
        <f t="shared" si="236"/>
        <v/>
      </c>
      <c r="BO59" s="85" t="str">
        <f t="shared" si="338"/>
        <v/>
      </c>
      <c r="BP59" s="51"/>
      <c r="BQ59" s="91" t="str">
        <f t="shared" si="237"/>
        <v/>
      </c>
      <c r="BR59" s="85" t="str">
        <f t="shared" si="339"/>
        <v/>
      </c>
      <c r="BS59" s="86"/>
      <c r="BT59" s="91" t="str">
        <f t="shared" si="238"/>
        <v/>
      </c>
      <c r="BU59" s="85" t="str">
        <f t="shared" si="340"/>
        <v/>
      </c>
      <c r="BV59" s="86"/>
      <c r="BW59" s="91" t="str">
        <f t="shared" si="239"/>
        <v/>
      </c>
      <c r="BX59" s="85" t="str">
        <f t="shared" si="341"/>
        <v/>
      </c>
      <c r="BY59" s="86"/>
      <c r="BZ59" s="91" t="str">
        <f t="shared" si="240"/>
        <v/>
      </c>
      <c r="CA59" s="85" t="str">
        <f t="shared" si="342"/>
        <v/>
      </c>
      <c r="CB59" s="56"/>
      <c r="CC59" s="91" t="str">
        <f t="shared" si="241"/>
        <v/>
      </c>
      <c r="CD59" s="85" t="str">
        <f t="shared" si="343"/>
        <v/>
      </c>
      <c r="CE59" s="86"/>
      <c r="CF59" s="91" t="str">
        <f t="shared" si="242"/>
        <v/>
      </c>
      <c r="CG59" s="85" t="str">
        <f t="shared" si="344"/>
        <v/>
      </c>
      <c r="CH59" s="86"/>
      <c r="CI59" s="91" t="str">
        <f t="shared" si="243"/>
        <v/>
      </c>
      <c r="CJ59" s="85" t="str">
        <f t="shared" si="345"/>
        <v/>
      </c>
      <c r="CK59" s="86"/>
      <c r="CL59" s="91" t="str">
        <f t="shared" si="244"/>
        <v/>
      </c>
      <c r="CM59" s="85" t="str">
        <f t="shared" si="346"/>
        <v/>
      </c>
      <c r="CN59" s="86">
        <v>98</v>
      </c>
      <c r="CO59" s="91">
        <f t="shared" si="245"/>
        <v>1.4385502256064466</v>
      </c>
      <c r="CP59" s="85">
        <f t="shared" si="347"/>
        <v>1</v>
      </c>
      <c r="CQ59" s="86"/>
      <c r="CR59" s="91" t="str">
        <f t="shared" si="246"/>
        <v/>
      </c>
      <c r="CS59" s="85" t="str">
        <f t="shared" si="348"/>
        <v/>
      </c>
      <c r="CT59" s="86"/>
      <c r="CU59" s="91" t="str">
        <f t="shared" si="247"/>
        <v/>
      </c>
      <c r="CV59" s="85" t="str">
        <f t="shared" si="349"/>
        <v/>
      </c>
      <c r="CW59" s="86"/>
      <c r="CX59" s="91" t="str">
        <f t="shared" si="248"/>
        <v/>
      </c>
      <c r="CY59" s="85" t="str">
        <f t="shared" si="350"/>
        <v/>
      </c>
      <c r="CZ59" s="86"/>
      <c r="DA59" s="91" t="str">
        <f t="shared" si="249"/>
        <v/>
      </c>
      <c r="DB59" s="85" t="str">
        <f t="shared" si="351"/>
        <v/>
      </c>
      <c r="DC59" s="86"/>
      <c r="DD59" s="91" t="str">
        <f t="shared" si="250"/>
        <v/>
      </c>
      <c r="DE59" s="85" t="str">
        <f t="shared" si="352"/>
        <v/>
      </c>
      <c r="DF59" s="86"/>
      <c r="DG59" s="91"/>
      <c r="DH59" s="85" t="str">
        <f t="shared" si="353"/>
        <v/>
      </c>
      <c r="DI59" s="86"/>
      <c r="DJ59" s="91" t="str">
        <f t="shared" si="251"/>
        <v/>
      </c>
      <c r="DK59" s="85" t="str">
        <f t="shared" si="354"/>
        <v/>
      </c>
      <c r="DL59" s="86"/>
      <c r="DM59" s="91" t="str">
        <f t="shared" si="252"/>
        <v/>
      </c>
      <c r="DN59" s="85" t="str">
        <f t="shared" si="355"/>
        <v/>
      </c>
      <c r="DO59" s="86"/>
      <c r="DP59" s="91" t="str">
        <f t="shared" si="253"/>
        <v/>
      </c>
      <c r="DQ59" s="85" t="str">
        <f t="shared" si="356"/>
        <v/>
      </c>
      <c r="DR59" s="86"/>
      <c r="DS59" s="91" t="str">
        <f t="shared" si="254"/>
        <v/>
      </c>
      <c r="DT59" s="85" t="str">
        <f t="shared" si="357"/>
        <v/>
      </c>
      <c r="DU59" s="86"/>
      <c r="DV59" s="91" t="str">
        <f t="shared" si="255"/>
        <v/>
      </c>
      <c r="DW59" s="85" t="str">
        <f t="shared" si="358"/>
        <v/>
      </c>
      <c r="DX59" s="86"/>
      <c r="DY59" s="91" t="str">
        <f t="shared" si="256"/>
        <v/>
      </c>
      <c r="DZ59" s="85" t="str">
        <f t="shared" si="359"/>
        <v/>
      </c>
      <c r="EA59" s="56"/>
      <c r="EB59" s="91" t="str">
        <f t="shared" si="257"/>
        <v/>
      </c>
      <c r="EC59" s="85" t="str">
        <f t="shared" si="360"/>
        <v/>
      </c>
      <c r="ED59" s="86"/>
      <c r="EE59" s="91" t="str">
        <f t="shared" si="258"/>
        <v/>
      </c>
      <c r="EF59" s="85" t="str">
        <f t="shared" si="361"/>
        <v/>
      </c>
      <c r="EG59" s="271">
        <v>96</v>
      </c>
      <c r="EH59" s="91">
        <f t="shared" si="259"/>
        <v>0.94609983358253213</v>
      </c>
      <c r="EI59" s="85">
        <f t="shared" si="362"/>
        <v>1</v>
      </c>
      <c r="EJ59" s="86"/>
      <c r="EK59" s="91" t="str">
        <f t="shared" si="260"/>
        <v/>
      </c>
      <c r="EL59" s="85" t="str">
        <f t="shared" si="363"/>
        <v/>
      </c>
      <c r="EM59" s="86"/>
      <c r="EN59" s="91" t="str">
        <f t="shared" si="261"/>
        <v/>
      </c>
      <c r="EO59" s="85" t="str">
        <f t="shared" si="364"/>
        <v/>
      </c>
      <c r="EP59" s="86"/>
      <c r="EQ59" s="91" t="str">
        <f t="shared" si="262"/>
        <v/>
      </c>
      <c r="ER59" s="85" t="str">
        <f t="shared" si="365"/>
        <v/>
      </c>
      <c r="ES59" s="51"/>
      <c r="ET59" s="91" t="str">
        <f t="shared" si="263"/>
        <v/>
      </c>
      <c r="EU59" s="85" t="str">
        <f t="shared" si="366"/>
        <v/>
      </c>
      <c r="EV59" s="56"/>
      <c r="EW59" s="91" t="str">
        <f t="shared" si="264"/>
        <v/>
      </c>
      <c r="EX59" s="85" t="str">
        <f t="shared" si="367"/>
        <v/>
      </c>
      <c r="EY59" s="86"/>
      <c r="EZ59" s="91" t="str">
        <f t="shared" si="265"/>
        <v/>
      </c>
      <c r="FA59" s="85" t="str">
        <f t="shared" si="368"/>
        <v/>
      </c>
      <c r="FB59" s="86"/>
      <c r="FC59" s="91" t="str">
        <f t="shared" si="266"/>
        <v/>
      </c>
      <c r="FD59" s="85" t="str">
        <f t="shared" si="369"/>
        <v/>
      </c>
      <c r="FE59" s="86"/>
      <c r="FF59" s="91" t="str">
        <f t="shared" si="267"/>
        <v/>
      </c>
      <c r="FG59" s="85" t="str">
        <f t="shared" si="370"/>
        <v/>
      </c>
      <c r="FH59" s="86"/>
      <c r="FI59" s="91" t="str">
        <f t="shared" si="268"/>
        <v/>
      </c>
      <c r="FJ59" s="85" t="str">
        <f t="shared" si="371"/>
        <v/>
      </c>
      <c r="FK59" s="86"/>
      <c r="FL59" s="91" t="str">
        <f t="shared" si="269"/>
        <v/>
      </c>
      <c r="FM59" s="85" t="str">
        <f t="shared" si="372"/>
        <v/>
      </c>
      <c r="FN59" s="86"/>
      <c r="FO59" s="91" t="str">
        <f t="shared" si="270"/>
        <v/>
      </c>
      <c r="FP59" s="85" t="str">
        <f t="shared" si="373"/>
        <v/>
      </c>
      <c r="FQ59" s="86"/>
      <c r="FR59" s="91" t="str">
        <f t="shared" si="271"/>
        <v/>
      </c>
      <c r="FS59" s="85" t="str">
        <f t="shared" si="374"/>
        <v/>
      </c>
      <c r="FT59" s="86"/>
      <c r="FU59" s="91" t="str">
        <f t="shared" si="272"/>
        <v/>
      </c>
      <c r="FV59" s="85" t="str">
        <f t="shared" si="375"/>
        <v/>
      </c>
      <c r="FW59" s="92"/>
      <c r="FX59" s="91" t="str">
        <f t="shared" si="273"/>
        <v/>
      </c>
      <c r="FY59" s="85" t="str">
        <f t="shared" si="376"/>
        <v/>
      </c>
      <c r="FZ59" s="86"/>
      <c r="GA59" s="91" t="str">
        <f t="shared" si="274"/>
        <v/>
      </c>
      <c r="GB59" s="85" t="str">
        <f t="shared" si="377"/>
        <v/>
      </c>
      <c r="GC59" s="86"/>
      <c r="GD59" s="91" t="str">
        <f t="shared" si="275"/>
        <v/>
      </c>
      <c r="GE59" s="85" t="str">
        <f t="shared" si="378"/>
        <v/>
      </c>
      <c r="GF59" s="86"/>
      <c r="GG59" s="91" t="str">
        <f t="shared" si="276"/>
        <v/>
      </c>
      <c r="GH59" s="85" t="str">
        <f t="shared" si="379"/>
        <v/>
      </c>
      <c r="GI59" s="86"/>
      <c r="GJ59" s="91" t="str">
        <f t="shared" si="277"/>
        <v/>
      </c>
      <c r="GK59" s="85" t="str">
        <f t="shared" si="380"/>
        <v/>
      </c>
      <c r="GL59" s="86"/>
      <c r="GM59" s="91" t="str">
        <f t="shared" si="278"/>
        <v/>
      </c>
      <c r="GN59" s="85" t="str">
        <f t="shared" si="381"/>
        <v/>
      </c>
      <c r="GO59" s="56"/>
      <c r="GP59" s="91" t="str">
        <f t="shared" si="279"/>
        <v/>
      </c>
      <c r="GQ59" s="85" t="str">
        <f t="shared" si="382"/>
        <v/>
      </c>
      <c r="GR59" s="86">
        <v>85</v>
      </c>
      <c r="GS59" s="91">
        <f t="shared" si="280"/>
        <v>0.78334945180064031</v>
      </c>
      <c r="GT59" s="85">
        <f t="shared" si="383"/>
        <v>1</v>
      </c>
      <c r="GU59" s="86"/>
      <c r="GV59" s="91" t="str">
        <f t="shared" si="281"/>
        <v/>
      </c>
      <c r="GW59" s="85" t="str">
        <f t="shared" si="384"/>
        <v/>
      </c>
      <c r="GX59" s="86"/>
      <c r="GY59" s="91" t="str">
        <f t="shared" si="282"/>
        <v/>
      </c>
      <c r="GZ59" s="85" t="str">
        <f t="shared" si="385"/>
        <v/>
      </c>
      <c r="HA59" s="86"/>
      <c r="HB59" s="91" t="str">
        <f t="shared" si="283"/>
        <v/>
      </c>
      <c r="HC59" s="85" t="str">
        <f t="shared" si="386"/>
        <v/>
      </c>
      <c r="HD59" s="86"/>
      <c r="HE59" s="91" t="str">
        <f t="shared" si="284"/>
        <v/>
      </c>
      <c r="HF59" s="85" t="str">
        <f t="shared" si="387"/>
        <v/>
      </c>
      <c r="HG59" s="86"/>
      <c r="HH59" s="91" t="str">
        <f t="shared" si="285"/>
        <v/>
      </c>
      <c r="HI59" s="85" t="str">
        <f t="shared" si="388"/>
        <v/>
      </c>
      <c r="HJ59" s="86"/>
      <c r="HK59" s="91" t="str">
        <f t="shared" si="286"/>
        <v/>
      </c>
      <c r="HL59" s="85" t="str">
        <f t="shared" si="389"/>
        <v/>
      </c>
      <c r="HM59" s="86"/>
      <c r="HN59" s="91" t="str">
        <f t="shared" si="287"/>
        <v/>
      </c>
      <c r="HO59" s="85" t="str">
        <f t="shared" si="390"/>
        <v/>
      </c>
      <c r="HP59" s="86"/>
      <c r="HQ59" s="91" t="str">
        <f t="shared" si="288"/>
        <v/>
      </c>
      <c r="HR59" s="85" t="str">
        <f t="shared" si="391"/>
        <v/>
      </c>
      <c r="HS59" s="86"/>
      <c r="HT59" s="91" t="str">
        <f t="shared" si="289"/>
        <v/>
      </c>
      <c r="HU59" s="85" t="str">
        <f t="shared" si="392"/>
        <v/>
      </c>
      <c r="HV59" s="86"/>
      <c r="HW59" s="91" t="str">
        <f t="shared" si="290"/>
        <v/>
      </c>
      <c r="HX59" s="85" t="str">
        <f t="shared" si="393"/>
        <v/>
      </c>
      <c r="HY59" s="86"/>
      <c r="HZ59" s="91" t="str">
        <f t="shared" si="291"/>
        <v/>
      </c>
      <c r="IA59" s="85" t="str">
        <f t="shared" si="394"/>
        <v/>
      </c>
      <c r="IB59" s="86"/>
      <c r="IC59" s="91" t="str">
        <f t="shared" si="292"/>
        <v/>
      </c>
      <c r="ID59" s="85" t="str">
        <f t="shared" si="395"/>
        <v/>
      </c>
      <c r="IE59" s="86"/>
      <c r="IF59" s="91" t="str">
        <f t="shared" si="293"/>
        <v/>
      </c>
      <c r="IG59" s="85" t="str">
        <f t="shared" si="396"/>
        <v/>
      </c>
      <c r="IH59" s="86"/>
      <c r="II59" s="91" t="str">
        <f t="shared" si="294"/>
        <v/>
      </c>
      <c r="IJ59" s="85" t="str">
        <f t="shared" si="397"/>
        <v/>
      </c>
      <c r="IK59" s="86"/>
      <c r="IL59" s="91" t="str">
        <f t="shared" si="295"/>
        <v/>
      </c>
      <c r="IM59" s="85" t="str">
        <f t="shared" si="398"/>
        <v/>
      </c>
      <c r="IN59" s="86"/>
      <c r="IO59" s="91" t="str">
        <f t="shared" si="296"/>
        <v/>
      </c>
      <c r="IP59" s="85" t="str">
        <f t="shared" si="399"/>
        <v/>
      </c>
      <c r="IQ59" s="86"/>
      <c r="IR59" s="91" t="str">
        <f t="shared" si="297"/>
        <v/>
      </c>
      <c r="IS59" s="85" t="str">
        <f t="shared" si="400"/>
        <v/>
      </c>
      <c r="IT59" s="86"/>
      <c r="IU59" s="91" t="str">
        <f t="shared" si="298"/>
        <v/>
      </c>
      <c r="IV59" s="85" t="str">
        <f t="shared" si="401"/>
        <v/>
      </c>
      <c r="IW59" s="86"/>
      <c r="IX59" s="91" t="str">
        <f t="shared" si="299"/>
        <v/>
      </c>
      <c r="IY59" s="85" t="str">
        <f t="shared" si="402"/>
        <v/>
      </c>
      <c r="IZ59" s="86"/>
      <c r="JA59" s="91" t="str">
        <f t="shared" si="300"/>
        <v/>
      </c>
      <c r="JB59" s="85" t="str">
        <f t="shared" si="403"/>
        <v/>
      </c>
      <c r="JC59" s="86"/>
      <c r="JD59" s="91" t="str">
        <f t="shared" si="301"/>
        <v/>
      </c>
      <c r="JE59" s="85" t="str">
        <f t="shared" si="404"/>
        <v/>
      </c>
      <c r="JF59" s="86"/>
      <c r="JG59" s="91" t="str">
        <f t="shared" si="302"/>
        <v/>
      </c>
      <c r="JH59" s="85" t="str">
        <f t="shared" si="405"/>
        <v/>
      </c>
      <c r="JI59" s="86"/>
      <c r="JJ59" s="91" t="str">
        <f t="shared" si="303"/>
        <v/>
      </c>
      <c r="JK59" s="85" t="str">
        <f t="shared" si="406"/>
        <v/>
      </c>
      <c r="JL59" s="86"/>
      <c r="JM59" s="91" t="str">
        <f t="shared" si="304"/>
        <v/>
      </c>
      <c r="JN59" s="85" t="str">
        <f t="shared" si="407"/>
        <v/>
      </c>
      <c r="JO59" s="86"/>
      <c r="JP59" s="91" t="str">
        <f t="shared" si="305"/>
        <v/>
      </c>
      <c r="JQ59" s="85" t="str">
        <f t="shared" si="408"/>
        <v/>
      </c>
      <c r="JR59" s="86"/>
      <c r="JS59" s="91" t="str">
        <f t="shared" si="306"/>
        <v/>
      </c>
      <c r="JT59" s="85" t="str">
        <f t="shared" si="409"/>
        <v/>
      </c>
      <c r="JU59" s="86"/>
      <c r="JV59" s="91" t="str">
        <f t="shared" si="307"/>
        <v/>
      </c>
      <c r="JW59" s="85" t="str">
        <f t="shared" si="410"/>
        <v/>
      </c>
      <c r="JX59" s="86"/>
      <c r="JY59" s="91" t="str">
        <f t="shared" si="308"/>
        <v/>
      </c>
      <c r="JZ59" s="85" t="str">
        <f t="shared" si="411"/>
        <v/>
      </c>
      <c r="KA59" s="86"/>
      <c r="KB59" s="91" t="str">
        <f t="shared" si="309"/>
        <v/>
      </c>
      <c r="KC59" s="85" t="str">
        <f t="shared" si="412"/>
        <v/>
      </c>
      <c r="KD59" s="86"/>
      <c r="KE59" s="91" t="str">
        <f t="shared" si="310"/>
        <v/>
      </c>
      <c r="KF59" s="85" t="str">
        <f t="shared" si="413"/>
        <v/>
      </c>
      <c r="KG59" s="86"/>
      <c r="KH59" s="91" t="str">
        <f t="shared" si="311"/>
        <v/>
      </c>
      <c r="KI59" s="85" t="str">
        <f t="shared" si="414"/>
        <v/>
      </c>
      <c r="KJ59" s="86"/>
      <c r="KK59" s="91" t="str">
        <f t="shared" si="312"/>
        <v/>
      </c>
      <c r="KL59" s="85" t="str">
        <f t="shared" si="415"/>
        <v/>
      </c>
      <c r="KM59" s="86"/>
      <c r="KN59" s="91" t="str">
        <f t="shared" si="313"/>
        <v/>
      </c>
      <c r="KO59" s="85" t="str">
        <f t="shared" si="416"/>
        <v/>
      </c>
      <c r="KP59" s="86"/>
      <c r="KQ59" s="91" t="str">
        <f t="shared" si="314"/>
        <v/>
      </c>
      <c r="KR59" s="85" t="str">
        <f t="shared" si="417"/>
        <v/>
      </c>
      <c r="KS59" s="86"/>
      <c r="KT59" s="91" t="str">
        <f t="shared" si="315"/>
        <v/>
      </c>
      <c r="KU59" s="85" t="str">
        <f t="shared" si="418"/>
        <v/>
      </c>
      <c r="KV59" s="86"/>
      <c r="KW59" s="91" t="str">
        <f t="shared" si="316"/>
        <v/>
      </c>
      <c r="KX59" s="85" t="str">
        <f t="shared" si="419"/>
        <v/>
      </c>
      <c r="KY59" s="92"/>
      <c r="KZ59" s="91" t="str">
        <f t="shared" si="317"/>
        <v/>
      </c>
      <c r="LA59" s="85" t="str">
        <f t="shared" si="420"/>
        <v/>
      </c>
      <c r="LB59" s="50">
        <f t="shared" si="218"/>
        <v>95.8</v>
      </c>
      <c r="LC59" s="57">
        <f t="shared" si="421"/>
        <v>3</v>
      </c>
      <c r="LD59" s="50">
        <f t="shared" si="207"/>
        <v>0.99034256825463873</v>
      </c>
      <c r="LE59" s="57">
        <f t="shared" si="422"/>
        <v>4</v>
      </c>
      <c r="LF59" s="50">
        <f t="shared" si="208"/>
        <v>1</v>
      </c>
      <c r="LG59" s="57">
        <f t="shared" si="423"/>
        <v>1</v>
      </c>
      <c r="LH59" s="58">
        <f t="shared" si="318"/>
        <v>48.793859649122808</v>
      </c>
      <c r="LI59" s="58">
        <f t="shared" si="319"/>
        <v>49.09413017744042</v>
      </c>
      <c r="LJ59" s="58">
        <f t="shared" si="320"/>
        <v>50</v>
      </c>
      <c r="LK59" s="58">
        <f t="shared" si="424"/>
        <v>97.887989826563228</v>
      </c>
      <c r="LL59" s="60">
        <f t="shared" si="425"/>
        <v>2</v>
      </c>
      <c r="LM59" s="55"/>
      <c r="LN59" s="61">
        <f t="shared" si="427"/>
        <v>1</v>
      </c>
      <c r="LO59" s="61">
        <f t="shared" si="214"/>
        <v>2</v>
      </c>
      <c r="LP59" s="64"/>
      <c r="LQ59" s="64"/>
      <c r="LR59" s="64"/>
    </row>
    <row r="60" spans="1:334" s="63" customFormat="1" ht="15" customHeight="1">
      <c r="A60" s="50">
        <f t="shared" si="211"/>
        <v>6</v>
      </c>
      <c r="B60" s="50">
        <f t="shared" si="212"/>
        <v>5</v>
      </c>
      <c r="C60" s="117">
        <v>11</v>
      </c>
      <c r="D60" s="118" t="s">
        <v>281</v>
      </c>
      <c r="E60" s="286" t="s">
        <v>666</v>
      </c>
      <c r="F60" s="76"/>
      <c r="G60" s="76"/>
      <c r="H60" s="119" t="s">
        <v>7</v>
      </c>
      <c r="I60" s="286" t="s">
        <v>581</v>
      </c>
      <c r="J60" s="119" t="s">
        <v>282</v>
      </c>
      <c r="K60" s="119" t="s">
        <v>8</v>
      </c>
      <c r="L60" s="104" t="s">
        <v>283</v>
      </c>
      <c r="M60" s="292" t="s">
        <v>35</v>
      </c>
      <c r="N60" s="97"/>
      <c r="O60" s="91" t="str">
        <f t="shared" si="219"/>
        <v/>
      </c>
      <c r="P60" s="85" t="str">
        <f t="shared" si="321"/>
        <v/>
      </c>
      <c r="Q60" s="86"/>
      <c r="R60" s="91" t="str">
        <f t="shared" si="220"/>
        <v/>
      </c>
      <c r="S60" s="85" t="str">
        <f t="shared" si="322"/>
        <v/>
      </c>
      <c r="T60" s="56"/>
      <c r="U60" s="91" t="str">
        <f t="shared" si="221"/>
        <v/>
      </c>
      <c r="V60" s="85" t="str">
        <f t="shared" si="323"/>
        <v/>
      </c>
      <c r="W60" s="86"/>
      <c r="X60" s="91" t="str">
        <f t="shared" si="222"/>
        <v/>
      </c>
      <c r="Y60" s="85" t="str">
        <f t="shared" si="324"/>
        <v/>
      </c>
      <c r="Z60" s="86"/>
      <c r="AA60" s="91" t="str">
        <f t="shared" si="223"/>
        <v/>
      </c>
      <c r="AB60" s="85" t="str">
        <f t="shared" si="325"/>
        <v/>
      </c>
      <c r="AC60" s="86"/>
      <c r="AD60" s="91" t="str">
        <f t="shared" si="224"/>
        <v/>
      </c>
      <c r="AE60" s="85" t="str">
        <f t="shared" si="326"/>
        <v/>
      </c>
      <c r="AF60" s="86"/>
      <c r="AG60" s="91" t="str">
        <f t="shared" si="225"/>
        <v/>
      </c>
      <c r="AH60" s="85" t="str">
        <f t="shared" si="327"/>
        <v/>
      </c>
      <c r="AI60" s="86"/>
      <c r="AJ60" s="91" t="str">
        <f t="shared" si="226"/>
        <v/>
      </c>
      <c r="AK60" s="85" t="str">
        <f t="shared" si="328"/>
        <v/>
      </c>
      <c r="AL60" s="86" t="s">
        <v>50</v>
      </c>
      <c r="AM60" s="91" t="str">
        <f t="shared" si="227"/>
        <v/>
      </c>
      <c r="AN60" s="85" t="str">
        <f t="shared" si="329"/>
        <v/>
      </c>
      <c r="AO60" s="86"/>
      <c r="AP60" s="91" t="str">
        <f t="shared" si="228"/>
        <v/>
      </c>
      <c r="AQ60" s="85" t="str">
        <f t="shared" si="330"/>
        <v/>
      </c>
      <c r="AR60" s="86"/>
      <c r="AS60" s="91" t="str">
        <f t="shared" si="229"/>
        <v/>
      </c>
      <c r="AT60" s="85" t="str">
        <f t="shared" si="331"/>
        <v/>
      </c>
      <c r="AU60" s="86"/>
      <c r="AV60" s="91" t="str">
        <f t="shared" si="230"/>
        <v/>
      </c>
      <c r="AW60" s="85" t="str">
        <f t="shared" si="332"/>
        <v/>
      </c>
      <c r="AX60" s="86">
        <v>99</v>
      </c>
      <c r="AY60" s="91">
        <f t="shared" si="231"/>
        <v>0.79705339698608579</v>
      </c>
      <c r="AZ60" s="85">
        <f t="shared" si="333"/>
        <v>0.66666666666666663</v>
      </c>
      <c r="BA60" s="86"/>
      <c r="BB60" s="91" t="str">
        <f t="shared" si="232"/>
        <v/>
      </c>
      <c r="BC60" s="85" t="str">
        <f t="shared" si="334"/>
        <v/>
      </c>
      <c r="BD60" s="86"/>
      <c r="BE60" s="91" t="str">
        <f t="shared" si="233"/>
        <v/>
      </c>
      <c r="BF60" s="85" t="str">
        <f t="shared" si="335"/>
        <v/>
      </c>
      <c r="BG60" s="86"/>
      <c r="BH60" s="91" t="str">
        <f t="shared" si="234"/>
        <v/>
      </c>
      <c r="BI60" s="85" t="str">
        <f t="shared" si="336"/>
        <v/>
      </c>
      <c r="BJ60" s="56"/>
      <c r="BK60" s="91" t="str">
        <f t="shared" si="235"/>
        <v/>
      </c>
      <c r="BL60" s="85" t="str">
        <f t="shared" si="337"/>
        <v/>
      </c>
      <c r="BM60" s="86"/>
      <c r="BN60" s="91" t="str">
        <f t="shared" si="236"/>
        <v/>
      </c>
      <c r="BO60" s="85" t="str">
        <f t="shared" si="338"/>
        <v/>
      </c>
      <c r="BP60" s="51"/>
      <c r="BQ60" s="91" t="str">
        <f t="shared" si="237"/>
        <v/>
      </c>
      <c r="BR60" s="85" t="str">
        <f t="shared" si="339"/>
        <v/>
      </c>
      <c r="BS60" s="86"/>
      <c r="BT60" s="91" t="str">
        <f t="shared" si="238"/>
        <v/>
      </c>
      <c r="BU60" s="85" t="str">
        <f t="shared" si="340"/>
        <v/>
      </c>
      <c r="BV60" s="86"/>
      <c r="BW60" s="91" t="str">
        <f t="shared" si="239"/>
        <v/>
      </c>
      <c r="BX60" s="85" t="str">
        <f t="shared" si="341"/>
        <v/>
      </c>
      <c r="BY60" s="86"/>
      <c r="BZ60" s="91" t="str">
        <f t="shared" si="240"/>
        <v/>
      </c>
      <c r="CA60" s="85" t="str">
        <f t="shared" si="342"/>
        <v/>
      </c>
      <c r="CB60" s="86">
        <v>100</v>
      </c>
      <c r="CC60" s="91">
        <f t="shared" si="241"/>
        <v>1.2441209500832064</v>
      </c>
      <c r="CD60" s="85">
        <f t="shared" si="343"/>
        <v>1</v>
      </c>
      <c r="CE60" s="86"/>
      <c r="CF60" s="91" t="str">
        <f t="shared" si="242"/>
        <v/>
      </c>
      <c r="CG60" s="85" t="str">
        <f t="shared" si="344"/>
        <v/>
      </c>
      <c r="CH60" s="56"/>
      <c r="CI60" s="91" t="str">
        <f t="shared" si="243"/>
        <v/>
      </c>
      <c r="CJ60" s="85" t="str">
        <f t="shared" si="345"/>
        <v/>
      </c>
      <c r="CK60" s="86"/>
      <c r="CL60" s="91" t="str">
        <f t="shared" si="244"/>
        <v/>
      </c>
      <c r="CM60" s="85" t="str">
        <f t="shared" si="346"/>
        <v/>
      </c>
      <c r="CN60" s="86"/>
      <c r="CO60" s="91" t="str">
        <f t="shared" si="245"/>
        <v/>
      </c>
      <c r="CP60" s="85" t="str">
        <f t="shared" si="347"/>
        <v/>
      </c>
      <c r="CQ60" s="86"/>
      <c r="CR60" s="91" t="str">
        <f t="shared" si="246"/>
        <v/>
      </c>
      <c r="CS60" s="85" t="str">
        <f t="shared" si="348"/>
        <v/>
      </c>
      <c r="CT60" s="86"/>
      <c r="CU60" s="91" t="str">
        <f t="shared" si="247"/>
        <v/>
      </c>
      <c r="CV60" s="85" t="str">
        <f t="shared" si="349"/>
        <v/>
      </c>
      <c r="CW60" s="86"/>
      <c r="CX60" s="91" t="str">
        <f t="shared" si="248"/>
        <v/>
      </c>
      <c r="CY60" s="85" t="str">
        <f t="shared" si="350"/>
        <v/>
      </c>
      <c r="CZ60" s="86"/>
      <c r="DA60" s="91" t="str">
        <f t="shared" si="249"/>
        <v/>
      </c>
      <c r="DB60" s="85" t="str">
        <f t="shared" si="351"/>
        <v/>
      </c>
      <c r="DC60" s="86"/>
      <c r="DD60" s="91" t="str">
        <f t="shared" si="250"/>
        <v/>
      </c>
      <c r="DE60" s="85" t="str">
        <f t="shared" si="352"/>
        <v/>
      </c>
      <c r="DF60" s="86"/>
      <c r="DG60" s="91"/>
      <c r="DH60" s="85" t="str">
        <f t="shared" si="353"/>
        <v/>
      </c>
      <c r="DI60" s="86"/>
      <c r="DJ60" s="91" t="str">
        <f t="shared" si="251"/>
        <v/>
      </c>
      <c r="DK60" s="85" t="str">
        <f t="shared" si="354"/>
        <v/>
      </c>
      <c r="DL60" s="56"/>
      <c r="DM60" s="91" t="str">
        <f t="shared" si="252"/>
        <v/>
      </c>
      <c r="DN60" s="85" t="str">
        <f t="shared" si="355"/>
        <v/>
      </c>
      <c r="DO60" s="86"/>
      <c r="DP60" s="91" t="str">
        <f t="shared" si="253"/>
        <v/>
      </c>
      <c r="DQ60" s="85" t="str">
        <f t="shared" si="356"/>
        <v/>
      </c>
      <c r="DR60" s="86"/>
      <c r="DS60" s="91" t="str">
        <f t="shared" si="254"/>
        <v/>
      </c>
      <c r="DT60" s="85" t="str">
        <f t="shared" si="357"/>
        <v/>
      </c>
      <c r="DU60" s="86"/>
      <c r="DV60" s="91" t="str">
        <f t="shared" si="255"/>
        <v/>
      </c>
      <c r="DW60" s="85" t="str">
        <f t="shared" si="358"/>
        <v/>
      </c>
      <c r="DX60" s="86"/>
      <c r="DY60" s="91" t="str">
        <f t="shared" si="256"/>
        <v/>
      </c>
      <c r="DZ60" s="85" t="str">
        <f t="shared" si="359"/>
        <v/>
      </c>
      <c r="EA60" s="86"/>
      <c r="EB60" s="91" t="str">
        <f t="shared" si="257"/>
        <v/>
      </c>
      <c r="EC60" s="85" t="str">
        <f t="shared" si="360"/>
        <v/>
      </c>
      <c r="ED60" s="86"/>
      <c r="EE60" s="91" t="str">
        <f t="shared" si="258"/>
        <v/>
      </c>
      <c r="EF60" s="85" t="str">
        <f t="shared" si="361"/>
        <v/>
      </c>
      <c r="EG60" s="86">
        <v>74</v>
      </c>
      <c r="EH60" s="91">
        <f t="shared" si="259"/>
        <v>-1.6556747087694312</v>
      </c>
      <c r="EI60" s="85">
        <f t="shared" si="362"/>
        <v>0</v>
      </c>
      <c r="EJ60" s="56"/>
      <c r="EK60" s="91" t="str">
        <f t="shared" si="260"/>
        <v/>
      </c>
      <c r="EL60" s="85" t="str">
        <f t="shared" si="363"/>
        <v/>
      </c>
      <c r="EM60" s="86"/>
      <c r="EN60" s="91" t="str">
        <f t="shared" si="261"/>
        <v/>
      </c>
      <c r="EO60" s="85" t="str">
        <f t="shared" si="364"/>
        <v/>
      </c>
      <c r="EP60" s="86"/>
      <c r="EQ60" s="91" t="str">
        <f t="shared" si="262"/>
        <v/>
      </c>
      <c r="ER60" s="85" t="str">
        <f t="shared" si="365"/>
        <v/>
      </c>
      <c r="ES60" s="51"/>
      <c r="ET60" s="91" t="str">
        <f t="shared" si="263"/>
        <v/>
      </c>
      <c r="EU60" s="85" t="str">
        <f t="shared" si="366"/>
        <v/>
      </c>
      <c r="EV60" s="86"/>
      <c r="EW60" s="91" t="str">
        <f t="shared" si="264"/>
        <v/>
      </c>
      <c r="EX60" s="85" t="str">
        <f t="shared" si="367"/>
        <v/>
      </c>
      <c r="EY60" s="86"/>
      <c r="EZ60" s="91" t="str">
        <f t="shared" si="265"/>
        <v/>
      </c>
      <c r="FA60" s="85" t="str">
        <f t="shared" si="368"/>
        <v/>
      </c>
      <c r="FB60" s="56"/>
      <c r="FC60" s="91" t="str">
        <f t="shared" si="266"/>
        <v/>
      </c>
      <c r="FD60" s="85" t="str">
        <f t="shared" si="369"/>
        <v/>
      </c>
      <c r="FE60" s="86"/>
      <c r="FF60" s="91" t="str">
        <f t="shared" si="267"/>
        <v/>
      </c>
      <c r="FG60" s="85" t="str">
        <f t="shared" si="370"/>
        <v/>
      </c>
      <c r="FH60" s="86">
        <v>79</v>
      </c>
      <c r="FI60" s="91">
        <f t="shared" si="268"/>
        <v>0.56195148694901642</v>
      </c>
      <c r="FJ60" s="85">
        <f t="shared" si="371"/>
        <v>0.66666666666666663</v>
      </c>
      <c r="FK60" s="86"/>
      <c r="FL60" s="91" t="str">
        <f t="shared" si="269"/>
        <v/>
      </c>
      <c r="FM60" s="85" t="str">
        <f t="shared" si="372"/>
        <v/>
      </c>
      <c r="FN60" s="86"/>
      <c r="FO60" s="91" t="str">
        <f t="shared" si="270"/>
        <v/>
      </c>
      <c r="FP60" s="85" t="str">
        <f t="shared" si="373"/>
        <v/>
      </c>
      <c r="FQ60" s="86"/>
      <c r="FR60" s="91" t="str">
        <f t="shared" si="271"/>
        <v/>
      </c>
      <c r="FS60" s="85" t="str">
        <f t="shared" si="374"/>
        <v/>
      </c>
      <c r="FT60" s="86">
        <v>97</v>
      </c>
      <c r="FU60" s="91">
        <f t="shared" si="272"/>
        <v>0.73700300659788187</v>
      </c>
      <c r="FV60" s="85">
        <f t="shared" si="375"/>
        <v>1</v>
      </c>
      <c r="FW60" s="92"/>
      <c r="FX60" s="91" t="str">
        <f t="shared" si="273"/>
        <v/>
      </c>
      <c r="FY60" s="85" t="str">
        <f t="shared" si="376"/>
        <v/>
      </c>
      <c r="FZ60" s="86"/>
      <c r="GA60" s="91" t="str">
        <f t="shared" si="274"/>
        <v/>
      </c>
      <c r="GB60" s="85" t="str">
        <f t="shared" si="377"/>
        <v/>
      </c>
      <c r="GC60" s="86"/>
      <c r="GD60" s="91" t="str">
        <f t="shared" si="275"/>
        <v/>
      </c>
      <c r="GE60" s="85" t="str">
        <f t="shared" si="378"/>
        <v/>
      </c>
      <c r="GF60" s="86"/>
      <c r="GG60" s="91" t="str">
        <f t="shared" si="276"/>
        <v/>
      </c>
      <c r="GH60" s="85" t="str">
        <f t="shared" si="379"/>
        <v/>
      </c>
      <c r="GI60" s="86"/>
      <c r="GJ60" s="91" t="str">
        <f t="shared" si="277"/>
        <v/>
      </c>
      <c r="GK60" s="85" t="str">
        <f t="shared" si="380"/>
        <v/>
      </c>
      <c r="GL60" s="86"/>
      <c r="GM60" s="91" t="str">
        <f t="shared" si="278"/>
        <v/>
      </c>
      <c r="GN60" s="85" t="str">
        <f t="shared" si="381"/>
        <v/>
      </c>
      <c r="GO60" s="86"/>
      <c r="GP60" s="91" t="str">
        <f t="shared" si="279"/>
        <v/>
      </c>
      <c r="GQ60" s="85" t="str">
        <f t="shared" si="382"/>
        <v/>
      </c>
      <c r="GR60" s="56"/>
      <c r="GS60" s="91" t="str">
        <f t="shared" si="280"/>
        <v/>
      </c>
      <c r="GT60" s="85" t="str">
        <f t="shared" si="383"/>
        <v/>
      </c>
      <c r="GU60" s="86"/>
      <c r="GV60" s="91" t="str">
        <f t="shared" si="281"/>
        <v/>
      </c>
      <c r="GW60" s="85" t="str">
        <f t="shared" si="384"/>
        <v/>
      </c>
      <c r="GX60" s="86"/>
      <c r="GY60" s="91" t="str">
        <f t="shared" si="282"/>
        <v/>
      </c>
      <c r="GZ60" s="85" t="str">
        <f t="shared" si="385"/>
        <v/>
      </c>
      <c r="HA60" s="86"/>
      <c r="HB60" s="91" t="str">
        <f t="shared" si="283"/>
        <v/>
      </c>
      <c r="HC60" s="85" t="str">
        <f t="shared" si="386"/>
        <v/>
      </c>
      <c r="HD60" s="86"/>
      <c r="HE60" s="91" t="str">
        <f t="shared" si="284"/>
        <v/>
      </c>
      <c r="HF60" s="85" t="str">
        <f t="shared" si="387"/>
        <v/>
      </c>
      <c r="HG60" s="86"/>
      <c r="HH60" s="91" t="str">
        <f t="shared" si="285"/>
        <v/>
      </c>
      <c r="HI60" s="85" t="str">
        <f t="shared" si="388"/>
        <v/>
      </c>
      <c r="HJ60" s="86"/>
      <c r="HK60" s="91" t="str">
        <f t="shared" si="286"/>
        <v/>
      </c>
      <c r="HL60" s="85" t="str">
        <f t="shared" si="389"/>
        <v/>
      </c>
      <c r="HM60" s="86"/>
      <c r="HN60" s="91" t="str">
        <f t="shared" si="287"/>
        <v/>
      </c>
      <c r="HO60" s="85" t="str">
        <f t="shared" si="390"/>
        <v/>
      </c>
      <c r="HP60" s="86"/>
      <c r="HQ60" s="91" t="str">
        <f t="shared" si="288"/>
        <v/>
      </c>
      <c r="HR60" s="85" t="str">
        <f t="shared" si="391"/>
        <v/>
      </c>
      <c r="HS60" s="86"/>
      <c r="HT60" s="91" t="str">
        <f t="shared" si="289"/>
        <v/>
      </c>
      <c r="HU60" s="85" t="str">
        <f t="shared" si="392"/>
        <v/>
      </c>
      <c r="HV60" s="86"/>
      <c r="HW60" s="91" t="str">
        <f t="shared" si="290"/>
        <v/>
      </c>
      <c r="HX60" s="85" t="str">
        <f t="shared" si="393"/>
        <v/>
      </c>
      <c r="HY60" s="86"/>
      <c r="HZ60" s="91" t="str">
        <f t="shared" si="291"/>
        <v/>
      </c>
      <c r="IA60" s="85" t="str">
        <f t="shared" si="394"/>
        <v/>
      </c>
      <c r="IB60" s="86"/>
      <c r="IC60" s="91" t="str">
        <f t="shared" si="292"/>
        <v/>
      </c>
      <c r="ID60" s="85" t="str">
        <f t="shared" si="395"/>
        <v/>
      </c>
      <c r="IE60" s="86"/>
      <c r="IF60" s="91" t="str">
        <f t="shared" si="293"/>
        <v/>
      </c>
      <c r="IG60" s="85" t="str">
        <f t="shared" si="396"/>
        <v/>
      </c>
      <c r="IH60" s="86"/>
      <c r="II60" s="91" t="str">
        <f t="shared" si="294"/>
        <v/>
      </c>
      <c r="IJ60" s="85" t="str">
        <f t="shared" si="397"/>
        <v/>
      </c>
      <c r="IK60" s="86"/>
      <c r="IL60" s="91" t="str">
        <f t="shared" si="295"/>
        <v/>
      </c>
      <c r="IM60" s="85" t="str">
        <f t="shared" si="398"/>
        <v/>
      </c>
      <c r="IN60" s="86"/>
      <c r="IO60" s="91" t="str">
        <f t="shared" si="296"/>
        <v/>
      </c>
      <c r="IP60" s="85" t="str">
        <f t="shared" si="399"/>
        <v/>
      </c>
      <c r="IQ60" s="86"/>
      <c r="IR60" s="91" t="str">
        <f t="shared" si="297"/>
        <v/>
      </c>
      <c r="IS60" s="85" t="str">
        <f t="shared" si="400"/>
        <v/>
      </c>
      <c r="IT60" s="86"/>
      <c r="IU60" s="91" t="str">
        <f t="shared" si="298"/>
        <v/>
      </c>
      <c r="IV60" s="85" t="str">
        <f t="shared" si="401"/>
        <v/>
      </c>
      <c r="IW60" s="86"/>
      <c r="IX60" s="91" t="str">
        <f t="shared" si="299"/>
        <v/>
      </c>
      <c r="IY60" s="85" t="str">
        <f t="shared" si="402"/>
        <v/>
      </c>
      <c r="IZ60" s="86"/>
      <c r="JA60" s="91" t="str">
        <f t="shared" si="300"/>
        <v/>
      </c>
      <c r="JB60" s="85" t="str">
        <f t="shared" si="403"/>
        <v/>
      </c>
      <c r="JC60" s="86"/>
      <c r="JD60" s="91" t="str">
        <f t="shared" si="301"/>
        <v/>
      </c>
      <c r="JE60" s="85" t="str">
        <f t="shared" si="404"/>
        <v/>
      </c>
      <c r="JF60" s="86"/>
      <c r="JG60" s="91" t="str">
        <f t="shared" si="302"/>
        <v/>
      </c>
      <c r="JH60" s="85" t="str">
        <f t="shared" si="405"/>
        <v/>
      </c>
      <c r="JI60" s="86"/>
      <c r="JJ60" s="91" t="str">
        <f t="shared" si="303"/>
        <v/>
      </c>
      <c r="JK60" s="85" t="str">
        <f t="shared" si="406"/>
        <v/>
      </c>
      <c r="JL60" s="86"/>
      <c r="JM60" s="91" t="str">
        <f t="shared" si="304"/>
        <v/>
      </c>
      <c r="JN60" s="85" t="str">
        <f t="shared" si="407"/>
        <v/>
      </c>
      <c r="JO60" s="86"/>
      <c r="JP60" s="91" t="str">
        <f t="shared" si="305"/>
        <v/>
      </c>
      <c r="JQ60" s="85" t="str">
        <f t="shared" si="408"/>
        <v/>
      </c>
      <c r="JR60" s="86"/>
      <c r="JS60" s="91" t="str">
        <f t="shared" si="306"/>
        <v/>
      </c>
      <c r="JT60" s="85" t="str">
        <f t="shared" si="409"/>
        <v/>
      </c>
      <c r="JU60" s="86"/>
      <c r="JV60" s="91" t="str">
        <f t="shared" si="307"/>
        <v/>
      </c>
      <c r="JW60" s="85" t="str">
        <f t="shared" si="410"/>
        <v/>
      </c>
      <c r="JX60" s="86"/>
      <c r="JY60" s="91" t="str">
        <f t="shared" si="308"/>
        <v/>
      </c>
      <c r="JZ60" s="85" t="str">
        <f t="shared" si="411"/>
        <v/>
      </c>
      <c r="KA60" s="86"/>
      <c r="KB60" s="91" t="str">
        <f t="shared" si="309"/>
        <v/>
      </c>
      <c r="KC60" s="85" t="str">
        <f t="shared" si="412"/>
        <v/>
      </c>
      <c r="KD60" s="86"/>
      <c r="KE60" s="91" t="str">
        <f t="shared" si="310"/>
        <v/>
      </c>
      <c r="KF60" s="85" t="str">
        <f t="shared" si="413"/>
        <v/>
      </c>
      <c r="KG60" s="86"/>
      <c r="KH60" s="91" t="str">
        <f t="shared" si="311"/>
        <v/>
      </c>
      <c r="KI60" s="85" t="str">
        <f t="shared" si="414"/>
        <v/>
      </c>
      <c r="KJ60" s="86"/>
      <c r="KK60" s="91" t="str">
        <f t="shared" si="312"/>
        <v/>
      </c>
      <c r="KL60" s="85" t="str">
        <f t="shared" si="415"/>
        <v/>
      </c>
      <c r="KM60" s="86"/>
      <c r="KN60" s="91" t="str">
        <f t="shared" si="313"/>
        <v/>
      </c>
      <c r="KO60" s="85" t="str">
        <f t="shared" si="416"/>
        <v/>
      </c>
      <c r="KP60" s="86"/>
      <c r="KQ60" s="91" t="str">
        <f t="shared" si="314"/>
        <v/>
      </c>
      <c r="KR60" s="85" t="str">
        <f t="shared" si="417"/>
        <v/>
      </c>
      <c r="KS60" s="86"/>
      <c r="KT60" s="91" t="str">
        <f t="shared" si="315"/>
        <v/>
      </c>
      <c r="KU60" s="85" t="str">
        <f t="shared" si="418"/>
        <v/>
      </c>
      <c r="KV60" s="86"/>
      <c r="KW60" s="91" t="str">
        <f t="shared" si="316"/>
        <v/>
      </c>
      <c r="KX60" s="85" t="str">
        <f t="shared" si="419"/>
        <v/>
      </c>
      <c r="KY60" s="92"/>
      <c r="KZ60" s="91" t="str">
        <f t="shared" si="317"/>
        <v/>
      </c>
      <c r="LA60" s="85" t="str">
        <f t="shared" si="420"/>
        <v/>
      </c>
      <c r="LB60" s="50">
        <f t="shared" si="218"/>
        <v>89.8</v>
      </c>
      <c r="LC60" s="57">
        <f t="shared" si="421"/>
        <v>16</v>
      </c>
      <c r="LD60" s="50">
        <f t="shared" si="207"/>
        <v>0.33689082636935186</v>
      </c>
      <c r="LE60" s="57">
        <f t="shared" si="422"/>
        <v>23</v>
      </c>
      <c r="LF60" s="50">
        <f t="shared" si="208"/>
        <v>0.66666666666666663</v>
      </c>
      <c r="LG60" s="57">
        <f t="shared" si="423"/>
        <v>23</v>
      </c>
      <c r="LH60" s="58">
        <f t="shared" si="318"/>
        <v>45.504385964912281</v>
      </c>
      <c r="LI60" s="58">
        <f t="shared" si="319"/>
        <v>42.993797890405659</v>
      </c>
      <c r="LJ60" s="58">
        <f t="shared" si="320"/>
        <v>41.666666666666664</v>
      </c>
      <c r="LK60" s="58">
        <f t="shared" si="424"/>
        <v>80.16485052198459</v>
      </c>
      <c r="LL60" s="60">
        <f t="shared" si="425"/>
        <v>22</v>
      </c>
      <c r="LM60" s="55"/>
      <c r="LN60" s="61">
        <f t="shared" si="427"/>
        <v>4</v>
      </c>
      <c r="LO60" s="61">
        <f t="shared" si="214"/>
        <v>22</v>
      </c>
      <c r="LP60" s="64"/>
      <c r="LQ60" s="64"/>
      <c r="LR60" s="64"/>
    </row>
    <row r="61" spans="1:334" s="63" customFormat="1" ht="15" customHeight="1">
      <c r="A61" s="50">
        <f t="shared" si="211"/>
        <v>5</v>
      </c>
      <c r="B61" s="50">
        <f t="shared" si="212"/>
        <v>0</v>
      </c>
      <c r="C61" s="275">
        <v>49</v>
      </c>
      <c r="D61" s="276" t="s">
        <v>96</v>
      </c>
      <c r="E61" s="290" t="s">
        <v>667</v>
      </c>
      <c r="F61" s="290" t="s">
        <v>668</v>
      </c>
      <c r="G61" s="277"/>
      <c r="H61" s="277" t="s">
        <v>129</v>
      </c>
      <c r="I61" s="290" t="s">
        <v>582</v>
      </c>
      <c r="J61" s="277" t="s">
        <v>284</v>
      </c>
      <c r="K61" s="277" t="s">
        <v>8</v>
      </c>
      <c r="L61" s="277" t="s">
        <v>285</v>
      </c>
      <c r="M61" s="291" t="s">
        <v>35</v>
      </c>
      <c r="N61" s="278"/>
      <c r="O61" s="279" t="str">
        <f t="shared" si="219"/>
        <v/>
      </c>
      <c r="P61" s="279" t="str">
        <f t="shared" si="321"/>
        <v/>
      </c>
      <c r="Q61" s="278"/>
      <c r="R61" s="279" t="str">
        <f t="shared" si="220"/>
        <v/>
      </c>
      <c r="S61" s="279" t="str">
        <f t="shared" si="322"/>
        <v/>
      </c>
      <c r="T61" s="278"/>
      <c r="U61" s="279" t="str">
        <f t="shared" si="221"/>
        <v/>
      </c>
      <c r="V61" s="279" t="str">
        <f t="shared" si="323"/>
        <v/>
      </c>
      <c r="W61" s="278"/>
      <c r="X61" s="279" t="str">
        <f t="shared" si="222"/>
        <v/>
      </c>
      <c r="Y61" s="279" t="str">
        <f t="shared" si="324"/>
        <v/>
      </c>
      <c r="Z61" s="278"/>
      <c r="AA61" s="279" t="str">
        <f t="shared" si="223"/>
        <v/>
      </c>
      <c r="AB61" s="279" t="str">
        <f t="shared" si="325"/>
        <v/>
      </c>
      <c r="AC61" s="280"/>
      <c r="AD61" s="279" t="str">
        <f t="shared" si="224"/>
        <v/>
      </c>
      <c r="AE61" s="279" t="str">
        <f t="shared" si="326"/>
        <v/>
      </c>
      <c r="AF61" s="278"/>
      <c r="AG61" s="279" t="str">
        <f t="shared" si="225"/>
        <v/>
      </c>
      <c r="AH61" s="279" t="str">
        <f t="shared" si="327"/>
        <v/>
      </c>
      <c r="AI61" s="278"/>
      <c r="AJ61" s="279" t="str">
        <f t="shared" si="226"/>
        <v/>
      </c>
      <c r="AK61" s="279" t="str">
        <f t="shared" si="328"/>
        <v/>
      </c>
      <c r="AL61" s="278" t="s">
        <v>50</v>
      </c>
      <c r="AM61" s="279" t="str">
        <f t="shared" si="227"/>
        <v/>
      </c>
      <c r="AN61" s="279" t="str">
        <f t="shared" si="329"/>
        <v/>
      </c>
      <c r="AO61" s="278"/>
      <c r="AP61" s="279" t="str">
        <f t="shared" si="228"/>
        <v/>
      </c>
      <c r="AQ61" s="279" t="str">
        <f t="shared" si="330"/>
        <v/>
      </c>
      <c r="AR61" s="278"/>
      <c r="AS61" s="279" t="str">
        <f t="shared" si="229"/>
        <v/>
      </c>
      <c r="AT61" s="279" t="str">
        <f t="shared" si="331"/>
        <v/>
      </c>
      <c r="AU61" s="278"/>
      <c r="AV61" s="279" t="str">
        <f t="shared" si="230"/>
        <v/>
      </c>
      <c r="AW61" s="279" t="str">
        <f t="shared" si="332"/>
        <v/>
      </c>
      <c r="AX61" s="278"/>
      <c r="AY61" s="279" t="str">
        <f t="shared" si="231"/>
        <v/>
      </c>
      <c r="AZ61" s="279" t="str">
        <f t="shared" si="333"/>
        <v/>
      </c>
      <c r="BA61" s="278"/>
      <c r="BB61" s="279" t="str">
        <f t="shared" si="232"/>
        <v/>
      </c>
      <c r="BC61" s="279" t="str">
        <f t="shared" si="334"/>
        <v/>
      </c>
      <c r="BD61" s="281"/>
      <c r="BE61" s="279" t="str">
        <f t="shared" si="233"/>
        <v/>
      </c>
      <c r="BF61" s="279" t="str">
        <f t="shared" si="335"/>
        <v/>
      </c>
      <c r="BG61" s="278"/>
      <c r="BH61" s="279" t="str">
        <f t="shared" si="234"/>
        <v/>
      </c>
      <c r="BI61" s="279" t="str">
        <f t="shared" si="336"/>
        <v/>
      </c>
      <c r="BJ61" s="278"/>
      <c r="BK61" s="279" t="str">
        <f t="shared" si="235"/>
        <v/>
      </c>
      <c r="BL61" s="279" t="str">
        <f t="shared" si="337"/>
        <v/>
      </c>
      <c r="BM61" s="278"/>
      <c r="BN61" s="279" t="str">
        <f t="shared" si="236"/>
        <v/>
      </c>
      <c r="BO61" s="279" t="str">
        <f t="shared" si="338"/>
        <v/>
      </c>
      <c r="BP61" s="282"/>
      <c r="BQ61" s="279" t="str">
        <f t="shared" si="237"/>
        <v/>
      </c>
      <c r="BR61" s="279" t="str">
        <f t="shared" si="339"/>
        <v/>
      </c>
      <c r="BS61" s="278"/>
      <c r="BT61" s="279" t="str">
        <f t="shared" si="238"/>
        <v/>
      </c>
      <c r="BU61" s="279" t="str">
        <f t="shared" si="340"/>
        <v/>
      </c>
      <c r="BV61" s="278"/>
      <c r="BW61" s="279" t="str">
        <f t="shared" si="239"/>
        <v/>
      </c>
      <c r="BX61" s="279" t="str">
        <f t="shared" si="341"/>
        <v/>
      </c>
      <c r="BY61" s="278"/>
      <c r="BZ61" s="279" t="str">
        <f t="shared" si="240"/>
        <v/>
      </c>
      <c r="CA61" s="279" t="str">
        <f t="shared" si="342"/>
        <v/>
      </c>
      <c r="CB61" s="278" t="s">
        <v>62</v>
      </c>
      <c r="CC61" s="279" t="str">
        <f t="shared" si="241"/>
        <v/>
      </c>
      <c r="CD61" s="279" t="str">
        <f t="shared" si="343"/>
        <v/>
      </c>
      <c r="CE61" s="278"/>
      <c r="CF61" s="279" t="str">
        <f t="shared" si="242"/>
        <v/>
      </c>
      <c r="CG61" s="279" t="str">
        <f t="shared" si="344"/>
        <v/>
      </c>
      <c r="CH61" s="278"/>
      <c r="CI61" s="279" t="str">
        <f t="shared" si="243"/>
        <v/>
      </c>
      <c r="CJ61" s="279" t="str">
        <f t="shared" si="345"/>
        <v/>
      </c>
      <c r="CK61" s="278"/>
      <c r="CL61" s="279" t="str">
        <f t="shared" si="244"/>
        <v/>
      </c>
      <c r="CM61" s="279" t="str">
        <f t="shared" si="346"/>
        <v/>
      </c>
      <c r="CN61" s="278" t="s">
        <v>66</v>
      </c>
      <c r="CO61" s="279" t="str">
        <f t="shared" si="245"/>
        <v/>
      </c>
      <c r="CP61" s="279" t="str">
        <f t="shared" si="347"/>
        <v/>
      </c>
      <c r="CQ61" s="281"/>
      <c r="CR61" s="279" t="str">
        <f t="shared" si="246"/>
        <v/>
      </c>
      <c r="CS61" s="279" t="str">
        <f t="shared" si="348"/>
        <v/>
      </c>
      <c r="CT61" s="278"/>
      <c r="CU61" s="279" t="str">
        <f t="shared" si="247"/>
        <v/>
      </c>
      <c r="CV61" s="279" t="str">
        <f t="shared" si="349"/>
        <v/>
      </c>
      <c r="CW61" s="278"/>
      <c r="CX61" s="279" t="str">
        <f t="shared" si="248"/>
        <v/>
      </c>
      <c r="CY61" s="279" t="str">
        <f t="shared" si="350"/>
        <v/>
      </c>
      <c r="CZ61" s="281"/>
      <c r="DA61" s="279" t="str">
        <f t="shared" si="249"/>
        <v/>
      </c>
      <c r="DB61" s="279" t="str">
        <f t="shared" si="351"/>
        <v/>
      </c>
      <c r="DC61" s="278"/>
      <c r="DD61" s="279" t="str">
        <f t="shared" si="250"/>
        <v/>
      </c>
      <c r="DE61" s="279" t="str">
        <f t="shared" si="352"/>
        <v/>
      </c>
      <c r="DF61" s="278"/>
      <c r="DG61" s="279"/>
      <c r="DH61" s="279" t="str">
        <f t="shared" si="353"/>
        <v/>
      </c>
      <c r="DI61" s="278"/>
      <c r="DJ61" s="279" t="str">
        <f t="shared" si="251"/>
        <v/>
      </c>
      <c r="DK61" s="279" t="str">
        <f t="shared" si="354"/>
        <v/>
      </c>
      <c r="DL61" s="278"/>
      <c r="DM61" s="279" t="str">
        <f t="shared" si="252"/>
        <v/>
      </c>
      <c r="DN61" s="279" t="str">
        <f t="shared" si="355"/>
        <v/>
      </c>
      <c r="DO61" s="278"/>
      <c r="DP61" s="279" t="str">
        <f t="shared" si="253"/>
        <v/>
      </c>
      <c r="DQ61" s="279" t="str">
        <f t="shared" si="356"/>
        <v/>
      </c>
      <c r="DR61" s="278"/>
      <c r="DS61" s="279" t="str">
        <f t="shared" si="254"/>
        <v/>
      </c>
      <c r="DT61" s="279" t="str">
        <f t="shared" si="357"/>
        <v/>
      </c>
      <c r="DU61" s="278"/>
      <c r="DV61" s="279" t="str">
        <f t="shared" si="255"/>
        <v/>
      </c>
      <c r="DW61" s="279" t="str">
        <f t="shared" si="358"/>
        <v/>
      </c>
      <c r="DX61" s="278"/>
      <c r="DY61" s="279" t="str">
        <f t="shared" si="256"/>
        <v/>
      </c>
      <c r="DZ61" s="279" t="str">
        <f t="shared" si="359"/>
        <v/>
      </c>
      <c r="EA61" s="278"/>
      <c r="EB61" s="279" t="str">
        <f t="shared" si="257"/>
        <v/>
      </c>
      <c r="EC61" s="279" t="str">
        <f t="shared" si="360"/>
        <v/>
      </c>
      <c r="ED61" s="281"/>
      <c r="EE61" s="279" t="str">
        <f t="shared" si="258"/>
        <v/>
      </c>
      <c r="EF61" s="279" t="str">
        <f t="shared" si="361"/>
        <v/>
      </c>
      <c r="EG61" s="280" t="s">
        <v>81</v>
      </c>
      <c r="EH61" s="279" t="str">
        <f t="shared" si="259"/>
        <v/>
      </c>
      <c r="EI61" s="279" t="str">
        <f t="shared" si="362"/>
        <v/>
      </c>
      <c r="EJ61" s="278"/>
      <c r="EK61" s="279" t="str">
        <f t="shared" si="260"/>
        <v/>
      </c>
      <c r="EL61" s="279" t="str">
        <f t="shared" si="363"/>
        <v/>
      </c>
      <c r="EM61" s="278"/>
      <c r="EN61" s="279" t="str">
        <f t="shared" si="261"/>
        <v/>
      </c>
      <c r="EO61" s="279" t="str">
        <f t="shared" si="364"/>
        <v/>
      </c>
      <c r="EP61" s="278"/>
      <c r="EQ61" s="279" t="str">
        <f t="shared" si="262"/>
        <v/>
      </c>
      <c r="ER61" s="279" t="str">
        <f t="shared" si="365"/>
        <v/>
      </c>
      <c r="ES61" s="282"/>
      <c r="ET61" s="279" t="str">
        <f t="shared" si="263"/>
        <v/>
      </c>
      <c r="EU61" s="279" t="str">
        <f t="shared" si="366"/>
        <v/>
      </c>
      <c r="EV61" s="278"/>
      <c r="EW61" s="279" t="str">
        <f t="shared" si="264"/>
        <v/>
      </c>
      <c r="EX61" s="279" t="str">
        <f t="shared" si="367"/>
        <v/>
      </c>
      <c r="EY61" s="278"/>
      <c r="EZ61" s="279" t="str">
        <f t="shared" si="265"/>
        <v/>
      </c>
      <c r="FA61" s="279" t="str">
        <f t="shared" si="368"/>
        <v/>
      </c>
      <c r="FB61" s="278"/>
      <c r="FC61" s="279" t="str">
        <f t="shared" si="266"/>
        <v/>
      </c>
      <c r="FD61" s="279" t="str">
        <f t="shared" si="369"/>
        <v/>
      </c>
      <c r="FE61" s="278"/>
      <c r="FF61" s="279" t="str">
        <f t="shared" si="267"/>
        <v/>
      </c>
      <c r="FG61" s="279" t="str">
        <f t="shared" si="370"/>
        <v/>
      </c>
      <c r="FH61" s="278"/>
      <c r="FI61" s="279" t="str">
        <f t="shared" si="268"/>
        <v/>
      </c>
      <c r="FJ61" s="279" t="str">
        <f t="shared" si="371"/>
        <v/>
      </c>
      <c r="FK61" s="278"/>
      <c r="FL61" s="279" t="str">
        <f t="shared" si="269"/>
        <v/>
      </c>
      <c r="FM61" s="279" t="str">
        <f t="shared" si="372"/>
        <v/>
      </c>
      <c r="FN61" s="278"/>
      <c r="FO61" s="279" t="str">
        <f t="shared" si="270"/>
        <v/>
      </c>
      <c r="FP61" s="279" t="str">
        <f t="shared" si="373"/>
        <v/>
      </c>
      <c r="FQ61" s="278"/>
      <c r="FR61" s="279" t="str">
        <f t="shared" si="271"/>
        <v/>
      </c>
      <c r="FS61" s="279" t="str">
        <f t="shared" si="374"/>
        <v/>
      </c>
      <c r="FT61" s="278"/>
      <c r="FU61" s="279" t="str">
        <f t="shared" si="272"/>
        <v/>
      </c>
      <c r="FV61" s="279" t="str">
        <f t="shared" si="375"/>
        <v/>
      </c>
      <c r="FW61" s="283"/>
      <c r="FX61" s="279" t="str">
        <f t="shared" si="273"/>
        <v/>
      </c>
      <c r="FY61" s="279" t="str">
        <f t="shared" si="376"/>
        <v/>
      </c>
      <c r="FZ61" s="278"/>
      <c r="GA61" s="279" t="str">
        <f t="shared" si="274"/>
        <v/>
      </c>
      <c r="GB61" s="279" t="str">
        <f t="shared" si="377"/>
        <v/>
      </c>
      <c r="GC61" s="278"/>
      <c r="GD61" s="279" t="str">
        <f t="shared" si="275"/>
        <v/>
      </c>
      <c r="GE61" s="279" t="str">
        <f t="shared" si="378"/>
        <v/>
      </c>
      <c r="GF61" s="278"/>
      <c r="GG61" s="279" t="str">
        <f t="shared" si="276"/>
        <v/>
      </c>
      <c r="GH61" s="279" t="str">
        <f t="shared" si="379"/>
        <v/>
      </c>
      <c r="GI61" s="278"/>
      <c r="GJ61" s="279" t="str">
        <f t="shared" si="277"/>
        <v/>
      </c>
      <c r="GK61" s="279" t="str">
        <f t="shared" si="380"/>
        <v/>
      </c>
      <c r="GL61" s="278"/>
      <c r="GM61" s="279" t="str">
        <f t="shared" si="278"/>
        <v/>
      </c>
      <c r="GN61" s="279" t="str">
        <f t="shared" si="381"/>
        <v/>
      </c>
      <c r="GO61" s="281"/>
      <c r="GP61" s="279" t="str">
        <f t="shared" si="279"/>
        <v/>
      </c>
      <c r="GQ61" s="279" t="str">
        <f t="shared" si="382"/>
        <v/>
      </c>
      <c r="GR61" s="278" t="s">
        <v>313</v>
      </c>
      <c r="GS61" s="279" t="str">
        <f t="shared" si="280"/>
        <v/>
      </c>
      <c r="GT61" s="279" t="str">
        <f t="shared" si="383"/>
        <v/>
      </c>
      <c r="GU61" s="278"/>
      <c r="GV61" s="279" t="str">
        <f t="shared" si="281"/>
        <v/>
      </c>
      <c r="GW61" s="279" t="str">
        <f t="shared" si="384"/>
        <v/>
      </c>
      <c r="GX61" s="278"/>
      <c r="GY61" s="279" t="str">
        <f t="shared" si="282"/>
        <v/>
      </c>
      <c r="GZ61" s="279" t="str">
        <f t="shared" si="385"/>
        <v/>
      </c>
      <c r="HA61" s="278"/>
      <c r="HB61" s="279" t="str">
        <f t="shared" si="283"/>
        <v/>
      </c>
      <c r="HC61" s="279" t="str">
        <f t="shared" si="386"/>
        <v/>
      </c>
      <c r="HD61" s="278"/>
      <c r="HE61" s="91" t="str">
        <f t="shared" si="284"/>
        <v/>
      </c>
      <c r="HF61" s="85" t="str">
        <f t="shared" si="387"/>
        <v/>
      </c>
      <c r="HG61" s="86"/>
      <c r="HH61" s="91" t="str">
        <f t="shared" si="285"/>
        <v/>
      </c>
      <c r="HI61" s="85" t="str">
        <f t="shared" si="388"/>
        <v/>
      </c>
      <c r="HJ61" s="86"/>
      <c r="HK61" s="91" t="str">
        <f t="shared" si="286"/>
        <v/>
      </c>
      <c r="HL61" s="85" t="str">
        <f t="shared" si="389"/>
        <v/>
      </c>
      <c r="HM61" s="86"/>
      <c r="HN61" s="91" t="str">
        <f t="shared" si="287"/>
        <v/>
      </c>
      <c r="HO61" s="85" t="str">
        <f t="shared" si="390"/>
        <v/>
      </c>
      <c r="HP61" s="86"/>
      <c r="HQ61" s="91" t="str">
        <f t="shared" si="288"/>
        <v/>
      </c>
      <c r="HR61" s="85" t="str">
        <f t="shared" si="391"/>
        <v/>
      </c>
      <c r="HS61" s="86"/>
      <c r="HT61" s="91" t="str">
        <f t="shared" si="289"/>
        <v/>
      </c>
      <c r="HU61" s="85" t="str">
        <f t="shared" si="392"/>
        <v/>
      </c>
      <c r="HV61" s="86"/>
      <c r="HW61" s="91" t="str">
        <f t="shared" si="290"/>
        <v/>
      </c>
      <c r="HX61" s="85" t="str">
        <f t="shared" si="393"/>
        <v/>
      </c>
      <c r="HY61" s="86"/>
      <c r="HZ61" s="91" t="str">
        <f t="shared" si="291"/>
        <v/>
      </c>
      <c r="IA61" s="85" t="str">
        <f t="shared" si="394"/>
        <v/>
      </c>
      <c r="IB61" s="86"/>
      <c r="IC61" s="91" t="str">
        <f t="shared" si="292"/>
        <v/>
      </c>
      <c r="ID61" s="85" t="str">
        <f t="shared" si="395"/>
        <v/>
      </c>
      <c r="IE61" s="86"/>
      <c r="IF61" s="91" t="str">
        <f t="shared" si="293"/>
        <v/>
      </c>
      <c r="IG61" s="85" t="str">
        <f t="shared" si="396"/>
        <v/>
      </c>
      <c r="IH61" s="86"/>
      <c r="II61" s="91" t="str">
        <f t="shared" si="294"/>
        <v/>
      </c>
      <c r="IJ61" s="85" t="str">
        <f t="shared" si="397"/>
        <v/>
      </c>
      <c r="IK61" s="86"/>
      <c r="IL61" s="91" t="str">
        <f t="shared" si="295"/>
        <v/>
      </c>
      <c r="IM61" s="85" t="str">
        <f t="shared" si="398"/>
        <v/>
      </c>
      <c r="IN61" s="86"/>
      <c r="IO61" s="91" t="str">
        <f t="shared" si="296"/>
        <v/>
      </c>
      <c r="IP61" s="85" t="str">
        <f t="shared" si="399"/>
        <v/>
      </c>
      <c r="IQ61" s="86"/>
      <c r="IR61" s="91" t="str">
        <f t="shared" si="297"/>
        <v/>
      </c>
      <c r="IS61" s="85" t="str">
        <f t="shared" si="400"/>
        <v/>
      </c>
      <c r="IT61" s="86"/>
      <c r="IU61" s="91" t="str">
        <f t="shared" si="298"/>
        <v/>
      </c>
      <c r="IV61" s="85" t="str">
        <f t="shared" si="401"/>
        <v/>
      </c>
      <c r="IW61" s="86"/>
      <c r="IX61" s="91" t="str">
        <f t="shared" si="299"/>
        <v/>
      </c>
      <c r="IY61" s="85" t="str">
        <f t="shared" si="402"/>
        <v/>
      </c>
      <c r="IZ61" s="86"/>
      <c r="JA61" s="91" t="str">
        <f t="shared" si="300"/>
        <v/>
      </c>
      <c r="JB61" s="85" t="str">
        <f t="shared" si="403"/>
        <v/>
      </c>
      <c r="JC61" s="86"/>
      <c r="JD61" s="91" t="str">
        <f t="shared" si="301"/>
        <v/>
      </c>
      <c r="JE61" s="85" t="str">
        <f t="shared" si="404"/>
        <v/>
      </c>
      <c r="JF61" s="86"/>
      <c r="JG61" s="91" t="str">
        <f t="shared" si="302"/>
        <v/>
      </c>
      <c r="JH61" s="85" t="str">
        <f t="shared" si="405"/>
        <v/>
      </c>
      <c r="JI61" s="86"/>
      <c r="JJ61" s="91" t="str">
        <f t="shared" si="303"/>
        <v/>
      </c>
      <c r="JK61" s="85" t="str">
        <f t="shared" si="406"/>
        <v/>
      </c>
      <c r="JL61" s="86"/>
      <c r="JM61" s="91" t="str">
        <f t="shared" si="304"/>
        <v/>
      </c>
      <c r="JN61" s="85" t="str">
        <f t="shared" si="407"/>
        <v/>
      </c>
      <c r="JO61" s="86"/>
      <c r="JP61" s="91" t="str">
        <f t="shared" si="305"/>
        <v/>
      </c>
      <c r="JQ61" s="85" t="str">
        <f t="shared" si="408"/>
        <v/>
      </c>
      <c r="JR61" s="86"/>
      <c r="JS61" s="91" t="str">
        <f t="shared" si="306"/>
        <v/>
      </c>
      <c r="JT61" s="85" t="str">
        <f t="shared" si="409"/>
        <v/>
      </c>
      <c r="JU61" s="86"/>
      <c r="JV61" s="91" t="str">
        <f t="shared" si="307"/>
        <v/>
      </c>
      <c r="JW61" s="85" t="str">
        <f t="shared" si="410"/>
        <v/>
      </c>
      <c r="JX61" s="86"/>
      <c r="JY61" s="91" t="str">
        <f t="shared" si="308"/>
        <v/>
      </c>
      <c r="JZ61" s="85" t="str">
        <f t="shared" si="411"/>
        <v/>
      </c>
      <c r="KA61" s="86"/>
      <c r="KB61" s="91" t="str">
        <f t="shared" si="309"/>
        <v/>
      </c>
      <c r="KC61" s="85" t="str">
        <f t="shared" si="412"/>
        <v/>
      </c>
      <c r="KD61" s="86"/>
      <c r="KE61" s="91" t="str">
        <f t="shared" si="310"/>
        <v/>
      </c>
      <c r="KF61" s="85" t="str">
        <f t="shared" si="413"/>
        <v/>
      </c>
      <c r="KG61" s="86"/>
      <c r="KH61" s="91" t="str">
        <f t="shared" si="311"/>
        <v/>
      </c>
      <c r="KI61" s="85" t="str">
        <f t="shared" si="414"/>
        <v/>
      </c>
      <c r="KJ61" s="86"/>
      <c r="KK61" s="91" t="str">
        <f t="shared" si="312"/>
        <v/>
      </c>
      <c r="KL61" s="85" t="str">
        <f t="shared" si="415"/>
        <v/>
      </c>
      <c r="KM61" s="86"/>
      <c r="KN61" s="91" t="str">
        <f t="shared" si="313"/>
        <v/>
      </c>
      <c r="KO61" s="85" t="str">
        <f t="shared" si="416"/>
        <v/>
      </c>
      <c r="KP61" s="86"/>
      <c r="KQ61" s="91" t="str">
        <f t="shared" si="314"/>
        <v/>
      </c>
      <c r="KR61" s="85" t="str">
        <f t="shared" si="417"/>
        <v/>
      </c>
      <c r="KS61" s="86"/>
      <c r="KT61" s="91" t="str">
        <f t="shared" si="315"/>
        <v/>
      </c>
      <c r="KU61" s="85" t="str">
        <f t="shared" si="418"/>
        <v/>
      </c>
      <c r="KV61" s="86"/>
      <c r="KW61" s="91" t="str">
        <f t="shared" si="316"/>
        <v/>
      </c>
      <c r="KX61" s="85" t="str">
        <f t="shared" si="419"/>
        <v/>
      </c>
      <c r="KY61" s="92"/>
      <c r="KZ61" s="91" t="str">
        <f t="shared" si="317"/>
        <v/>
      </c>
      <c r="LA61" s="85" t="str">
        <f t="shared" si="420"/>
        <v/>
      </c>
      <c r="LB61" s="50" t="str">
        <f t="shared" si="218"/>
        <v/>
      </c>
      <c r="LC61" s="57" t="str">
        <f t="shared" si="421"/>
        <v/>
      </c>
      <c r="LD61" s="50" t="str">
        <f t="shared" si="207"/>
        <v/>
      </c>
      <c r="LE61" s="57" t="str">
        <f t="shared" si="422"/>
        <v/>
      </c>
      <c r="LF61" s="50" t="str">
        <f t="shared" si="208"/>
        <v/>
      </c>
      <c r="LG61" s="57" t="str">
        <f t="shared" si="423"/>
        <v/>
      </c>
      <c r="LH61" s="58" t="str">
        <f t="shared" si="318"/>
        <v/>
      </c>
      <c r="LI61" s="58" t="str">
        <f t="shared" si="319"/>
        <v/>
      </c>
      <c r="LJ61" s="58" t="str">
        <f t="shared" si="320"/>
        <v/>
      </c>
      <c r="LK61" s="58" t="str">
        <f t="shared" si="424"/>
        <v/>
      </c>
      <c r="LL61" s="60" t="str">
        <f t="shared" si="425"/>
        <v/>
      </c>
      <c r="LM61" s="55"/>
      <c r="LN61" s="61" t="str">
        <f t="shared" si="427"/>
        <v/>
      </c>
      <c r="LO61" s="61" t="str">
        <f t="shared" si="214"/>
        <v/>
      </c>
      <c r="LP61" s="64"/>
      <c r="LQ61" s="64"/>
      <c r="LR61" s="64"/>
    </row>
    <row r="62" spans="1:334" s="63" customFormat="1" ht="15" customHeight="1">
      <c r="A62" s="106">
        <f t="shared" si="211"/>
        <v>5</v>
      </c>
      <c r="B62" s="106">
        <f t="shared" si="212"/>
        <v>0</v>
      </c>
      <c r="C62" s="275">
        <v>35</v>
      </c>
      <c r="D62" s="276" t="s">
        <v>286</v>
      </c>
      <c r="E62" s="290" t="s">
        <v>669</v>
      </c>
      <c r="F62" s="290" t="s">
        <v>670</v>
      </c>
      <c r="G62" s="277"/>
      <c r="H62" s="277" t="s">
        <v>129</v>
      </c>
      <c r="I62" s="290" t="s">
        <v>583</v>
      </c>
      <c r="J62" s="277" t="s">
        <v>287</v>
      </c>
      <c r="K62" s="277" t="s">
        <v>8</v>
      </c>
      <c r="L62" s="277" t="s">
        <v>288</v>
      </c>
      <c r="M62" s="291" t="s">
        <v>35</v>
      </c>
      <c r="N62" s="278"/>
      <c r="O62" s="279" t="str">
        <f t="shared" si="219"/>
        <v/>
      </c>
      <c r="P62" s="279" t="str">
        <f t="shared" si="321"/>
        <v/>
      </c>
      <c r="Q62" s="278"/>
      <c r="R62" s="279" t="str">
        <f t="shared" si="220"/>
        <v/>
      </c>
      <c r="S62" s="279" t="str">
        <f t="shared" si="322"/>
        <v/>
      </c>
      <c r="T62" s="278"/>
      <c r="U62" s="279" t="str">
        <f t="shared" si="221"/>
        <v/>
      </c>
      <c r="V62" s="279" t="str">
        <f t="shared" si="323"/>
        <v/>
      </c>
      <c r="W62" s="278"/>
      <c r="X62" s="279" t="str">
        <f t="shared" si="222"/>
        <v/>
      </c>
      <c r="Y62" s="279" t="str">
        <f t="shared" si="324"/>
        <v/>
      </c>
      <c r="Z62" s="278"/>
      <c r="AA62" s="279" t="str">
        <f t="shared" si="223"/>
        <v/>
      </c>
      <c r="AB62" s="279" t="str">
        <f t="shared" si="325"/>
        <v/>
      </c>
      <c r="AC62" s="280" t="s">
        <v>47</v>
      </c>
      <c r="AD62" s="279" t="str">
        <f t="shared" si="224"/>
        <v/>
      </c>
      <c r="AE62" s="279" t="str">
        <f t="shared" si="326"/>
        <v/>
      </c>
      <c r="AF62" s="278"/>
      <c r="AG62" s="279" t="str">
        <f t="shared" si="225"/>
        <v/>
      </c>
      <c r="AH62" s="279" t="str">
        <f t="shared" si="327"/>
        <v/>
      </c>
      <c r="AI62" s="278"/>
      <c r="AJ62" s="279" t="str">
        <f t="shared" si="226"/>
        <v/>
      </c>
      <c r="AK62" s="279" t="str">
        <f t="shared" si="328"/>
        <v/>
      </c>
      <c r="AL62" s="278"/>
      <c r="AM62" s="279" t="str">
        <f t="shared" si="227"/>
        <v/>
      </c>
      <c r="AN62" s="279" t="str">
        <f t="shared" si="329"/>
        <v/>
      </c>
      <c r="AO62" s="278"/>
      <c r="AP62" s="279" t="str">
        <f t="shared" si="228"/>
        <v/>
      </c>
      <c r="AQ62" s="279" t="str">
        <f t="shared" si="330"/>
        <v/>
      </c>
      <c r="AR62" s="278"/>
      <c r="AS62" s="279" t="str">
        <f t="shared" si="229"/>
        <v/>
      </c>
      <c r="AT62" s="279" t="str">
        <f t="shared" si="331"/>
        <v/>
      </c>
      <c r="AU62" s="278"/>
      <c r="AV62" s="279" t="str">
        <f t="shared" si="230"/>
        <v/>
      </c>
      <c r="AW62" s="279" t="str">
        <f t="shared" si="332"/>
        <v/>
      </c>
      <c r="AX62" s="278" t="s">
        <v>102</v>
      </c>
      <c r="AY62" s="279" t="str">
        <f t="shared" si="231"/>
        <v/>
      </c>
      <c r="AZ62" s="279" t="str">
        <f t="shared" si="333"/>
        <v/>
      </c>
      <c r="BA62" s="278"/>
      <c r="BB62" s="279" t="str">
        <f t="shared" si="232"/>
        <v/>
      </c>
      <c r="BC62" s="279" t="str">
        <f t="shared" si="334"/>
        <v/>
      </c>
      <c r="BD62" s="278"/>
      <c r="BE62" s="279" t="str">
        <f t="shared" si="233"/>
        <v/>
      </c>
      <c r="BF62" s="279" t="str">
        <f t="shared" si="335"/>
        <v/>
      </c>
      <c r="BG62" s="278" t="s">
        <v>55</v>
      </c>
      <c r="BH62" s="279" t="str">
        <f t="shared" si="234"/>
        <v/>
      </c>
      <c r="BI62" s="279" t="str">
        <f t="shared" si="336"/>
        <v/>
      </c>
      <c r="BJ62" s="278"/>
      <c r="BK62" s="279" t="str">
        <f t="shared" si="235"/>
        <v/>
      </c>
      <c r="BL62" s="279" t="str">
        <f t="shared" si="337"/>
        <v/>
      </c>
      <c r="BM62" s="278"/>
      <c r="BN62" s="279" t="str">
        <f t="shared" si="236"/>
        <v/>
      </c>
      <c r="BO62" s="279" t="str">
        <f t="shared" si="338"/>
        <v/>
      </c>
      <c r="BP62" s="282"/>
      <c r="BQ62" s="279" t="str">
        <f t="shared" si="237"/>
        <v/>
      </c>
      <c r="BR62" s="279" t="str">
        <f t="shared" si="339"/>
        <v/>
      </c>
      <c r="BS62" s="278"/>
      <c r="BT62" s="279" t="str">
        <f t="shared" si="238"/>
        <v/>
      </c>
      <c r="BU62" s="279" t="str">
        <f t="shared" si="340"/>
        <v/>
      </c>
      <c r="BV62" s="278"/>
      <c r="BW62" s="279" t="str">
        <f t="shared" si="239"/>
        <v/>
      </c>
      <c r="BX62" s="279" t="str">
        <f t="shared" si="341"/>
        <v/>
      </c>
      <c r="BY62" s="278"/>
      <c r="BZ62" s="279" t="str">
        <f t="shared" si="240"/>
        <v/>
      </c>
      <c r="CA62" s="279" t="str">
        <f t="shared" si="342"/>
        <v/>
      </c>
      <c r="CB62" s="278"/>
      <c r="CC62" s="279" t="str">
        <f t="shared" si="241"/>
        <v/>
      </c>
      <c r="CD62" s="279" t="str">
        <f t="shared" si="343"/>
        <v/>
      </c>
      <c r="CE62" s="278"/>
      <c r="CF62" s="279" t="str">
        <f t="shared" si="242"/>
        <v/>
      </c>
      <c r="CG62" s="279" t="str">
        <f t="shared" si="344"/>
        <v/>
      </c>
      <c r="CH62" s="278"/>
      <c r="CI62" s="279" t="str">
        <f t="shared" si="243"/>
        <v/>
      </c>
      <c r="CJ62" s="279" t="str">
        <f t="shared" si="345"/>
        <v/>
      </c>
      <c r="CK62" s="278"/>
      <c r="CL62" s="279" t="str">
        <f t="shared" si="244"/>
        <v/>
      </c>
      <c r="CM62" s="279" t="str">
        <f t="shared" si="346"/>
        <v/>
      </c>
      <c r="CN62" s="278"/>
      <c r="CO62" s="279" t="str">
        <f t="shared" si="245"/>
        <v/>
      </c>
      <c r="CP62" s="279" t="str">
        <f t="shared" si="347"/>
        <v/>
      </c>
      <c r="CQ62" s="278"/>
      <c r="CR62" s="279" t="str">
        <f t="shared" si="246"/>
        <v/>
      </c>
      <c r="CS62" s="279" t="str">
        <f t="shared" si="348"/>
        <v/>
      </c>
      <c r="CT62" s="278"/>
      <c r="CU62" s="279" t="str">
        <f t="shared" si="247"/>
        <v/>
      </c>
      <c r="CV62" s="279" t="str">
        <f t="shared" si="349"/>
        <v/>
      </c>
      <c r="CW62" s="278"/>
      <c r="CX62" s="279" t="str">
        <f t="shared" si="248"/>
        <v/>
      </c>
      <c r="CY62" s="279" t="str">
        <f t="shared" si="350"/>
        <v/>
      </c>
      <c r="CZ62" s="278"/>
      <c r="DA62" s="279" t="str">
        <f t="shared" si="249"/>
        <v/>
      </c>
      <c r="DB62" s="279" t="str">
        <f t="shared" si="351"/>
        <v/>
      </c>
      <c r="DC62" s="278"/>
      <c r="DD62" s="279" t="str">
        <f t="shared" si="250"/>
        <v/>
      </c>
      <c r="DE62" s="279" t="str">
        <f t="shared" si="352"/>
        <v/>
      </c>
      <c r="DF62" s="278"/>
      <c r="DG62" s="279"/>
      <c r="DH62" s="279" t="str">
        <f t="shared" si="353"/>
        <v/>
      </c>
      <c r="DI62" s="278"/>
      <c r="DJ62" s="279" t="str">
        <f t="shared" si="251"/>
        <v/>
      </c>
      <c r="DK62" s="279" t="str">
        <f t="shared" si="354"/>
        <v/>
      </c>
      <c r="DL62" s="278"/>
      <c r="DM62" s="279" t="str">
        <f t="shared" si="252"/>
        <v/>
      </c>
      <c r="DN62" s="279" t="str">
        <f t="shared" si="355"/>
        <v/>
      </c>
      <c r="DO62" s="278"/>
      <c r="DP62" s="279" t="str">
        <f t="shared" si="253"/>
        <v/>
      </c>
      <c r="DQ62" s="279" t="str">
        <f t="shared" si="356"/>
        <v/>
      </c>
      <c r="DR62" s="278"/>
      <c r="DS62" s="279" t="str">
        <f t="shared" si="254"/>
        <v/>
      </c>
      <c r="DT62" s="279" t="str">
        <f t="shared" si="357"/>
        <v/>
      </c>
      <c r="DU62" s="278"/>
      <c r="DV62" s="279" t="str">
        <f t="shared" si="255"/>
        <v/>
      </c>
      <c r="DW62" s="279" t="str">
        <f t="shared" si="358"/>
        <v/>
      </c>
      <c r="DX62" s="278"/>
      <c r="DY62" s="279" t="str">
        <f t="shared" si="256"/>
        <v/>
      </c>
      <c r="DZ62" s="279" t="str">
        <f t="shared" si="359"/>
        <v/>
      </c>
      <c r="EA62" s="278"/>
      <c r="EB62" s="279" t="str">
        <f t="shared" si="257"/>
        <v/>
      </c>
      <c r="EC62" s="279" t="str">
        <f t="shared" si="360"/>
        <v/>
      </c>
      <c r="ED62" s="278"/>
      <c r="EE62" s="279" t="str">
        <f t="shared" si="258"/>
        <v/>
      </c>
      <c r="EF62" s="279" t="str">
        <f t="shared" si="361"/>
        <v/>
      </c>
      <c r="EG62" s="280" t="s">
        <v>81</v>
      </c>
      <c r="EH62" s="279" t="str">
        <f t="shared" si="259"/>
        <v/>
      </c>
      <c r="EI62" s="279" t="str">
        <f t="shared" si="362"/>
        <v/>
      </c>
      <c r="EJ62" s="278"/>
      <c r="EK62" s="279" t="str">
        <f t="shared" si="260"/>
        <v/>
      </c>
      <c r="EL62" s="279" t="str">
        <f t="shared" si="363"/>
        <v/>
      </c>
      <c r="EM62" s="278"/>
      <c r="EN62" s="279" t="str">
        <f t="shared" si="261"/>
        <v/>
      </c>
      <c r="EO62" s="279" t="str">
        <f t="shared" si="364"/>
        <v/>
      </c>
      <c r="EP62" s="278"/>
      <c r="EQ62" s="279" t="str">
        <f t="shared" si="262"/>
        <v/>
      </c>
      <c r="ER62" s="279" t="str">
        <f t="shared" si="365"/>
        <v/>
      </c>
      <c r="ES62" s="282"/>
      <c r="ET62" s="279" t="str">
        <f t="shared" si="263"/>
        <v/>
      </c>
      <c r="EU62" s="279" t="str">
        <f t="shared" si="366"/>
        <v/>
      </c>
      <c r="EV62" s="278"/>
      <c r="EW62" s="279" t="str">
        <f t="shared" si="264"/>
        <v/>
      </c>
      <c r="EX62" s="279" t="str">
        <f t="shared" si="367"/>
        <v/>
      </c>
      <c r="EY62" s="283"/>
      <c r="EZ62" s="279" t="str">
        <f t="shared" si="265"/>
        <v/>
      </c>
      <c r="FA62" s="279" t="str">
        <f t="shared" si="368"/>
        <v/>
      </c>
      <c r="FB62" s="278"/>
      <c r="FC62" s="279" t="str">
        <f t="shared" si="266"/>
        <v/>
      </c>
      <c r="FD62" s="279" t="str">
        <f t="shared" si="369"/>
        <v/>
      </c>
      <c r="FE62" s="278"/>
      <c r="FF62" s="279" t="str">
        <f t="shared" si="267"/>
        <v/>
      </c>
      <c r="FG62" s="279" t="str">
        <f t="shared" si="370"/>
        <v/>
      </c>
      <c r="FH62" s="278" t="s">
        <v>88</v>
      </c>
      <c r="FI62" s="279" t="str">
        <f t="shared" si="268"/>
        <v/>
      </c>
      <c r="FJ62" s="279" t="str">
        <f t="shared" si="371"/>
        <v/>
      </c>
      <c r="FK62" s="278"/>
      <c r="FL62" s="279" t="str">
        <f t="shared" si="269"/>
        <v/>
      </c>
      <c r="FM62" s="279" t="str">
        <f t="shared" si="372"/>
        <v/>
      </c>
      <c r="FN62" s="278"/>
      <c r="FO62" s="279" t="str">
        <f t="shared" si="270"/>
        <v/>
      </c>
      <c r="FP62" s="279" t="str">
        <f t="shared" si="373"/>
        <v/>
      </c>
      <c r="FQ62" s="278"/>
      <c r="FR62" s="279" t="str">
        <f t="shared" si="271"/>
        <v/>
      </c>
      <c r="FS62" s="279" t="str">
        <f t="shared" si="374"/>
        <v/>
      </c>
      <c r="FT62" s="278"/>
      <c r="FU62" s="279" t="str">
        <f t="shared" si="272"/>
        <v/>
      </c>
      <c r="FV62" s="279" t="str">
        <f t="shared" si="375"/>
        <v/>
      </c>
      <c r="FW62" s="283"/>
      <c r="FX62" s="279" t="str">
        <f t="shared" si="273"/>
        <v/>
      </c>
      <c r="FY62" s="279" t="str">
        <f t="shared" si="376"/>
        <v/>
      </c>
      <c r="FZ62" s="278"/>
      <c r="GA62" s="279" t="str">
        <f t="shared" si="274"/>
        <v/>
      </c>
      <c r="GB62" s="279" t="str">
        <f t="shared" si="377"/>
        <v/>
      </c>
      <c r="GC62" s="278"/>
      <c r="GD62" s="279" t="str">
        <f t="shared" si="275"/>
        <v/>
      </c>
      <c r="GE62" s="279" t="str">
        <f t="shared" si="378"/>
        <v/>
      </c>
      <c r="GF62" s="278"/>
      <c r="GG62" s="279" t="str">
        <f t="shared" si="276"/>
        <v/>
      </c>
      <c r="GH62" s="279" t="str">
        <f t="shared" si="379"/>
        <v/>
      </c>
      <c r="GI62" s="278"/>
      <c r="GJ62" s="279" t="str">
        <f t="shared" si="277"/>
        <v/>
      </c>
      <c r="GK62" s="279" t="str">
        <f t="shared" si="380"/>
        <v/>
      </c>
      <c r="GL62" s="278"/>
      <c r="GM62" s="279" t="str">
        <f t="shared" si="278"/>
        <v/>
      </c>
      <c r="GN62" s="279" t="str">
        <f t="shared" si="381"/>
        <v/>
      </c>
      <c r="GO62" s="278"/>
      <c r="GP62" s="279" t="str">
        <f t="shared" si="279"/>
        <v/>
      </c>
      <c r="GQ62" s="279" t="str">
        <f t="shared" si="382"/>
        <v/>
      </c>
      <c r="GR62" s="278"/>
      <c r="GS62" s="279" t="str">
        <f t="shared" si="280"/>
        <v/>
      </c>
      <c r="GT62" s="279" t="str">
        <f t="shared" si="383"/>
        <v/>
      </c>
      <c r="GU62" s="278"/>
      <c r="GV62" s="279" t="str">
        <f t="shared" si="281"/>
        <v/>
      </c>
      <c r="GW62" s="279" t="str">
        <f t="shared" si="384"/>
        <v/>
      </c>
      <c r="GX62" s="278"/>
      <c r="GY62" s="279" t="str">
        <f t="shared" si="282"/>
        <v/>
      </c>
      <c r="GZ62" s="279" t="str">
        <f t="shared" si="385"/>
        <v/>
      </c>
      <c r="HA62" s="278"/>
      <c r="HB62" s="279" t="str">
        <f t="shared" si="283"/>
        <v/>
      </c>
      <c r="HC62" s="279" t="str">
        <f t="shared" si="386"/>
        <v/>
      </c>
      <c r="HD62" s="278"/>
      <c r="HE62" s="91" t="str">
        <f t="shared" si="284"/>
        <v/>
      </c>
      <c r="HF62" s="91" t="str">
        <f t="shared" si="387"/>
        <v/>
      </c>
      <c r="HG62" s="86"/>
      <c r="HH62" s="91" t="str">
        <f t="shared" si="285"/>
        <v/>
      </c>
      <c r="HI62" s="91" t="str">
        <f t="shared" si="388"/>
        <v/>
      </c>
      <c r="HJ62" s="86"/>
      <c r="HK62" s="91" t="str">
        <f t="shared" si="286"/>
        <v/>
      </c>
      <c r="HL62" s="91" t="str">
        <f t="shared" si="389"/>
        <v/>
      </c>
      <c r="HM62" s="86"/>
      <c r="HN62" s="91" t="str">
        <f t="shared" si="287"/>
        <v/>
      </c>
      <c r="HO62" s="91" t="str">
        <f t="shared" si="390"/>
        <v/>
      </c>
      <c r="HP62" s="86"/>
      <c r="HQ62" s="91" t="str">
        <f t="shared" si="288"/>
        <v/>
      </c>
      <c r="HR62" s="91" t="str">
        <f t="shared" si="391"/>
        <v/>
      </c>
      <c r="HS62" s="86"/>
      <c r="HT62" s="91" t="str">
        <f t="shared" si="289"/>
        <v/>
      </c>
      <c r="HU62" s="91" t="str">
        <f t="shared" si="392"/>
        <v/>
      </c>
      <c r="HV62" s="86"/>
      <c r="HW62" s="91" t="str">
        <f t="shared" si="290"/>
        <v/>
      </c>
      <c r="HX62" s="91" t="str">
        <f t="shared" si="393"/>
        <v/>
      </c>
      <c r="HY62" s="86"/>
      <c r="HZ62" s="91" t="str">
        <f t="shared" si="291"/>
        <v/>
      </c>
      <c r="IA62" s="91" t="str">
        <f t="shared" si="394"/>
        <v/>
      </c>
      <c r="IB62" s="86"/>
      <c r="IC62" s="91" t="str">
        <f t="shared" si="292"/>
        <v/>
      </c>
      <c r="ID62" s="91" t="str">
        <f t="shared" si="395"/>
        <v/>
      </c>
      <c r="IE62" s="86"/>
      <c r="IF62" s="91" t="str">
        <f t="shared" si="293"/>
        <v/>
      </c>
      <c r="IG62" s="91" t="str">
        <f t="shared" si="396"/>
        <v/>
      </c>
      <c r="IH62" s="86"/>
      <c r="II62" s="91" t="str">
        <f t="shared" si="294"/>
        <v/>
      </c>
      <c r="IJ62" s="91" t="str">
        <f t="shared" si="397"/>
        <v/>
      </c>
      <c r="IK62" s="86"/>
      <c r="IL62" s="91" t="str">
        <f t="shared" si="295"/>
        <v/>
      </c>
      <c r="IM62" s="91" t="str">
        <f t="shared" si="398"/>
        <v/>
      </c>
      <c r="IN62" s="86"/>
      <c r="IO62" s="91" t="str">
        <f t="shared" si="296"/>
        <v/>
      </c>
      <c r="IP62" s="91" t="str">
        <f t="shared" si="399"/>
        <v/>
      </c>
      <c r="IQ62" s="86"/>
      <c r="IR62" s="91" t="str">
        <f t="shared" si="297"/>
        <v/>
      </c>
      <c r="IS62" s="91" t="str">
        <f t="shared" si="400"/>
        <v/>
      </c>
      <c r="IT62" s="86"/>
      <c r="IU62" s="91" t="str">
        <f t="shared" si="298"/>
        <v/>
      </c>
      <c r="IV62" s="91" t="str">
        <f t="shared" si="401"/>
        <v/>
      </c>
      <c r="IW62" s="86"/>
      <c r="IX62" s="91" t="str">
        <f t="shared" si="299"/>
        <v/>
      </c>
      <c r="IY62" s="91" t="str">
        <f t="shared" si="402"/>
        <v/>
      </c>
      <c r="IZ62" s="86"/>
      <c r="JA62" s="91" t="str">
        <f t="shared" si="300"/>
        <v/>
      </c>
      <c r="JB62" s="91" t="str">
        <f t="shared" si="403"/>
        <v/>
      </c>
      <c r="JC62" s="86"/>
      <c r="JD62" s="91" t="str">
        <f t="shared" si="301"/>
        <v/>
      </c>
      <c r="JE62" s="91" t="str">
        <f t="shared" si="404"/>
        <v/>
      </c>
      <c r="JF62" s="86"/>
      <c r="JG62" s="91" t="str">
        <f t="shared" si="302"/>
        <v/>
      </c>
      <c r="JH62" s="91" t="str">
        <f t="shared" si="405"/>
        <v/>
      </c>
      <c r="JI62" s="86"/>
      <c r="JJ62" s="91" t="str">
        <f t="shared" si="303"/>
        <v/>
      </c>
      <c r="JK62" s="91" t="str">
        <f t="shared" si="406"/>
        <v/>
      </c>
      <c r="JL62" s="86"/>
      <c r="JM62" s="91" t="str">
        <f t="shared" si="304"/>
        <v/>
      </c>
      <c r="JN62" s="91" t="str">
        <f t="shared" si="407"/>
        <v/>
      </c>
      <c r="JO62" s="86"/>
      <c r="JP62" s="91" t="str">
        <f t="shared" si="305"/>
        <v/>
      </c>
      <c r="JQ62" s="91" t="str">
        <f t="shared" si="408"/>
        <v/>
      </c>
      <c r="JR62" s="86"/>
      <c r="JS62" s="91" t="str">
        <f t="shared" si="306"/>
        <v/>
      </c>
      <c r="JT62" s="91" t="str">
        <f t="shared" si="409"/>
        <v/>
      </c>
      <c r="JU62" s="86"/>
      <c r="JV62" s="91" t="str">
        <f t="shared" si="307"/>
        <v/>
      </c>
      <c r="JW62" s="91" t="str">
        <f t="shared" si="410"/>
        <v/>
      </c>
      <c r="JX62" s="86"/>
      <c r="JY62" s="91" t="str">
        <f t="shared" si="308"/>
        <v/>
      </c>
      <c r="JZ62" s="91" t="str">
        <f t="shared" si="411"/>
        <v/>
      </c>
      <c r="KA62" s="86"/>
      <c r="KB62" s="91" t="str">
        <f t="shared" si="309"/>
        <v/>
      </c>
      <c r="KC62" s="91" t="str">
        <f t="shared" si="412"/>
        <v/>
      </c>
      <c r="KD62" s="86"/>
      <c r="KE62" s="91" t="str">
        <f t="shared" si="310"/>
        <v/>
      </c>
      <c r="KF62" s="91" t="str">
        <f t="shared" si="413"/>
        <v/>
      </c>
      <c r="KG62" s="86"/>
      <c r="KH62" s="91" t="str">
        <f t="shared" si="311"/>
        <v/>
      </c>
      <c r="KI62" s="91" t="str">
        <f t="shared" si="414"/>
        <v/>
      </c>
      <c r="KJ62" s="86"/>
      <c r="KK62" s="91" t="str">
        <f t="shared" si="312"/>
        <v/>
      </c>
      <c r="KL62" s="91" t="str">
        <f t="shared" si="415"/>
        <v/>
      </c>
      <c r="KM62" s="86"/>
      <c r="KN62" s="91" t="str">
        <f t="shared" si="313"/>
        <v/>
      </c>
      <c r="KO62" s="91" t="str">
        <f t="shared" si="416"/>
        <v/>
      </c>
      <c r="KP62" s="86"/>
      <c r="KQ62" s="91" t="str">
        <f t="shared" si="314"/>
        <v/>
      </c>
      <c r="KR62" s="91" t="str">
        <f t="shared" si="417"/>
        <v/>
      </c>
      <c r="KS62" s="86"/>
      <c r="KT62" s="91" t="str">
        <f t="shared" si="315"/>
        <v/>
      </c>
      <c r="KU62" s="91" t="str">
        <f t="shared" si="418"/>
        <v/>
      </c>
      <c r="KV62" s="86"/>
      <c r="KW62" s="91" t="str">
        <f t="shared" si="316"/>
        <v/>
      </c>
      <c r="KX62" s="91" t="str">
        <f t="shared" si="419"/>
        <v/>
      </c>
      <c r="KY62" s="92"/>
      <c r="KZ62" s="91" t="str">
        <f t="shared" si="317"/>
        <v/>
      </c>
      <c r="LA62" s="91" t="str">
        <f t="shared" si="420"/>
        <v/>
      </c>
      <c r="LB62" s="106" t="str">
        <f t="shared" si="218"/>
        <v/>
      </c>
      <c r="LC62" s="108" t="str">
        <f t="shared" si="421"/>
        <v/>
      </c>
      <c r="LD62" s="106" t="str">
        <f t="shared" si="207"/>
        <v/>
      </c>
      <c r="LE62" s="108" t="str">
        <f t="shared" si="422"/>
        <v/>
      </c>
      <c r="LF62" s="106" t="str">
        <f t="shared" si="208"/>
        <v/>
      </c>
      <c r="LG62" s="108" t="str">
        <f t="shared" si="423"/>
        <v/>
      </c>
      <c r="LH62" s="109" t="str">
        <f t="shared" si="318"/>
        <v/>
      </c>
      <c r="LI62" s="109" t="str">
        <f t="shared" si="319"/>
        <v/>
      </c>
      <c r="LJ62" s="109" t="str">
        <f t="shared" si="320"/>
        <v/>
      </c>
      <c r="LK62" s="109" t="str">
        <f t="shared" si="424"/>
        <v/>
      </c>
      <c r="LL62" s="111" t="str">
        <f t="shared" si="425"/>
        <v/>
      </c>
      <c r="LM62" s="64"/>
      <c r="LN62" s="61" t="str">
        <f t="shared" si="427"/>
        <v/>
      </c>
      <c r="LO62" s="113" t="str">
        <f t="shared" ref="LO62:LO65" si="428">LL62</f>
        <v/>
      </c>
      <c r="LP62" s="64"/>
      <c r="LQ62" s="64"/>
      <c r="LR62" s="64"/>
      <c r="LS62" s="62"/>
      <c r="LT62" s="62"/>
      <c r="LU62" s="62"/>
      <c r="LV62" s="62"/>
    </row>
    <row r="63" spans="1:334" s="62" customFormat="1" ht="15" customHeight="1">
      <c r="A63" s="65">
        <f t="shared" si="211"/>
        <v>6</v>
      </c>
      <c r="B63" s="65">
        <f t="shared" si="212"/>
        <v>5</v>
      </c>
      <c r="C63" s="117">
        <v>29</v>
      </c>
      <c r="D63" s="121" t="s">
        <v>289</v>
      </c>
      <c r="E63" s="120" t="s">
        <v>671</v>
      </c>
      <c r="F63" s="120" t="s">
        <v>687</v>
      </c>
      <c r="G63" s="120"/>
      <c r="H63" s="120" t="s">
        <v>5</v>
      </c>
      <c r="I63" s="287" t="s">
        <v>584</v>
      </c>
      <c r="J63" s="120" t="s">
        <v>290</v>
      </c>
      <c r="K63" s="120" t="s">
        <v>12</v>
      </c>
      <c r="L63" s="67" t="s">
        <v>291</v>
      </c>
      <c r="M63" s="120" t="s">
        <v>35</v>
      </c>
      <c r="N63" s="93"/>
      <c r="O63" s="94" t="str">
        <f t="shared" si="219"/>
        <v/>
      </c>
      <c r="P63" s="94" t="str">
        <f t="shared" si="321"/>
        <v/>
      </c>
      <c r="Q63" s="93"/>
      <c r="R63" s="94" t="str">
        <f t="shared" si="220"/>
        <v/>
      </c>
      <c r="S63" s="94" t="str">
        <f t="shared" si="322"/>
        <v/>
      </c>
      <c r="T63" s="93"/>
      <c r="U63" s="94" t="str">
        <f t="shared" si="221"/>
        <v/>
      </c>
      <c r="V63" s="94" t="str">
        <f t="shared" si="323"/>
        <v/>
      </c>
      <c r="W63" s="93"/>
      <c r="X63" s="94" t="str">
        <f t="shared" si="222"/>
        <v/>
      </c>
      <c r="Y63" s="94" t="str">
        <f t="shared" si="324"/>
        <v/>
      </c>
      <c r="Z63" s="93"/>
      <c r="AA63" s="94" t="str">
        <f t="shared" si="223"/>
        <v/>
      </c>
      <c r="AB63" s="94" t="str">
        <f t="shared" si="325"/>
        <v/>
      </c>
      <c r="AC63" s="93"/>
      <c r="AD63" s="94" t="str">
        <f t="shared" si="224"/>
        <v/>
      </c>
      <c r="AE63" s="94" t="str">
        <f t="shared" si="326"/>
        <v/>
      </c>
      <c r="AF63" s="93"/>
      <c r="AG63" s="94" t="str">
        <f t="shared" si="225"/>
        <v/>
      </c>
      <c r="AH63" s="94" t="str">
        <f t="shared" si="327"/>
        <v/>
      </c>
      <c r="AI63" s="93"/>
      <c r="AJ63" s="94" t="str">
        <f t="shared" si="226"/>
        <v/>
      </c>
      <c r="AK63" s="94" t="str">
        <f t="shared" si="328"/>
        <v/>
      </c>
      <c r="AL63" s="93"/>
      <c r="AM63" s="94" t="str">
        <f t="shared" si="227"/>
        <v/>
      </c>
      <c r="AN63" s="94" t="str">
        <f t="shared" si="329"/>
        <v/>
      </c>
      <c r="AO63" s="93"/>
      <c r="AP63" s="94" t="str">
        <f t="shared" si="228"/>
        <v/>
      </c>
      <c r="AQ63" s="94" t="str">
        <f t="shared" si="330"/>
        <v/>
      </c>
      <c r="AR63" s="93"/>
      <c r="AS63" s="94" t="str">
        <f t="shared" si="229"/>
        <v/>
      </c>
      <c r="AT63" s="94" t="str">
        <f t="shared" si="331"/>
        <v/>
      </c>
      <c r="AU63" s="93"/>
      <c r="AV63" s="94" t="str">
        <f t="shared" si="230"/>
        <v/>
      </c>
      <c r="AW63" s="94" t="str">
        <f t="shared" si="332"/>
        <v/>
      </c>
      <c r="AX63" s="93"/>
      <c r="AY63" s="94" t="str">
        <f t="shared" si="231"/>
        <v/>
      </c>
      <c r="AZ63" s="94" t="str">
        <f t="shared" si="333"/>
        <v/>
      </c>
      <c r="BA63" s="272">
        <v>89</v>
      </c>
      <c r="BB63" s="94">
        <f t="shared" si="232"/>
        <v>-0.97094666700473198</v>
      </c>
      <c r="BC63" s="94">
        <f t="shared" si="334"/>
        <v>0</v>
      </c>
      <c r="BD63" s="93"/>
      <c r="BE63" s="94" t="str">
        <f t="shared" si="233"/>
        <v/>
      </c>
      <c r="BF63" s="94" t="str">
        <f t="shared" si="335"/>
        <v/>
      </c>
      <c r="BG63" s="93"/>
      <c r="BH63" s="94" t="str">
        <f t="shared" si="234"/>
        <v/>
      </c>
      <c r="BI63" s="94" t="str">
        <f t="shared" si="336"/>
        <v/>
      </c>
      <c r="BJ63" s="93"/>
      <c r="BK63" s="94" t="str">
        <f t="shared" si="235"/>
        <v/>
      </c>
      <c r="BL63" s="94" t="str">
        <f t="shared" si="337"/>
        <v/>
      </c>
      <c r="BM63" s="93">
        <v>84</v>
      </c>
      <c r="BN63" s="94">
        <f t="shared" si="236"/>
        <v>-1.5825131361498879</v>
      </c>
      <c r="BO63" s="94">
        <f t="shared" si="338"/>
        <v>0</v>
      </c>
      <c r="BP63" s="66">
        <v>89</v>
      </c>
      <c r="BQ63" s="94">
        <f t="shared" si="237"/>
        <v>0.22808920983055331</v>
      </c>
      <c r="BR63" s="94">
        <f t="shared" si="339"/>
        <v>0.5</v>
      </c>
      <c r="BS63" s="93"/>
      <c r="BT63" s="94" t="str">
        <f t="shared" si="238"/>
        <v/>
      </c>
      <c r="BU63" s="94" t="str">
        <f t="shared" si="340"/>
        <v/>
      </c>
      <c r="BV63" s="93"/>
      <c r="BW63" s="94" t="str">
        <f t="shared" si="239"/>
        <v/>
      </c>
      <c r="BX63" s="94" t="str">
        <f t="shared" si="341"/>
        <v/>
      </c>
      <c r="BY63" s="93"/>
      <c r="BZ63" s="94" t="str">
        <f t="shared" si="240"/>
        <v/>
      </c>
      <c r="CA63" s="94" t="str">
        <f t="shared" si="342"/>
        <v/>
      </c>
      <c r="CB63" s="93"/>
      <c r="CC63" s="94" t="str">
        <f t="shared" si="241"/>
        <v/>
      </c>
      <c r="CD63" s="94" t="str">
        <f t="shared" si="343"/>
        <v/>
      </c>
      <c r="CE63" s="93" t="s">
        <v>63</v>
      </c>
      <c r="CF63" s="94" t="str">
        <f t="shared" si="242"/>
        <v/>
      </c>
      <c r="CG63" s="94" t="str">
        <f t="shared" si="344"/>
        <v/>
      </c>
      <c r="CH63" s="93"/>
      <c r="CI63" s="94" t="str">
        <f t="shared" si="243"/>
        <v/>
      </c>
      <c r="CJ63" s="94" t="str">
        <f t="shared" si="345"/>
        <v/>
      </c>
      <c r="CK63" s="93"/>
      <c r="CL63" s="94" t="str">
        <f t="shared" si="244"/>
        <v/>
      </c>
      <c r="CM63" s="94" t="str">
        <f t="shared" si="346"/>
        <v/>
      </c>
      <c r="CN63" s="93"/>
      <c r="CO63" s="94" t="str">
        <f t="shared" si="245"/>
        <v/>
      </c>
      <c r="CP63" s="94" t="str">
        <f t="shared" si="347"/>
        <v/>
      </c>
      <c r="CQ63" s="93">
        <v>93</v>
      </c>
      <c r="CR63" s="94">
        <f t="shared" si="246"/>
        <v>-0.38533731779422542</v>
      </c>
      <c r="CS63" s="94">
        <f t="shared" si="348"/>
        <v>0.2</v>
      </c>
      <c r="CT63" s="93"/>
      <c r="CU63" s="94" t="str">
        <f t="shared" si="247"/>
        <v/>
      </c>
      <c r="CV63" s="94" t="str">
        <f t="shared" si="349"/>
        <v/>
      </c>
      <c r="CW63" s="93"/>
      <c r="CX63" s="94" t="str">
        <f t="shared" si="248"/>
        <v/>
      </c>
      <c r="CY63" s="94" t="str">
        <f t="shared" si="350"/>
        <v/>
      </c>
      <c r="CZ63" s="93"/>
      <c r="DA63" s="94" t="str">
        <f t="shared" si="249"/>
        <v/>
      </c>
      <c r="DB63" s="94" t="str">
        <f t="shared" si="351"/>
        <v/>
      </c>
      <c r="DC63" s="93"/>
      <c r="DD63" s="94" t="str">
        <f t="shared" si="250"/>
        <v/>
      </c>
      <c r="DE63" s="94" t="str">
        <f t="shared" si="352"/>
        <v/>
      </c>
      <c r="DF63" s="93"/>
      <c r="DG63" s="94"/>
      <c r="DH63" s="94" t="str">
        <f t="shared" si="353"/>
        <v/>
      </c>
      <c r="DI63" s="93"/>
      <c r="DJ63" s="94" t="str">
        <f t="shared" si="251"/>
        <v/>
      </c>
      <c r="DK63" s="94" t="str">
        <f t="shared" si="354"/>
        <v/>
      </c>
      <c r="DL63" s="93"/>
      <c r="DM63" s="94" t="str">
        <f t="shared" si="252"/>
        <v/>
      </c>
      <c r="DN63" s="94" t="str">
        <f t="shared" si="355"/>
        <v/>
      </c>
      <c r="DO63" s="93"/>
      <c r="DP63" s="94" t="str">
        <f t="shared" si="253"/>
        <v/>
      </c>
      <c r="DQ63" s="94" t="str">
        <f t="shared" si="356"/>
        <v/>
      </c>
      <c r="DR63" s="93"/>
      <c r="DS63" s="94" t="str">
        <f t="shared" si="254"/>
        <v/>
      </c>
      <c r="DT63" s="94" t="str">
        <f t="shared" si="357"/>
        <v/>
      </c>
      <c r="DU63" s="93"/>
      <c r="DV63" s="94" t="str">
        <f t="shared" si="255"/>
        <v/>
      </c>
      <c r="DW63" s="94" t="str">
        <f t="shared" si="358"/>
        <v/>
      </c>
      <c r="DX63" s="93"/>
      <c r="DY63" s="94" t="str">
        <f t="shared" si="256"/>
        <v/>
      </c>
      <c r="DZ63" s="94" t="str">
        <f t="shared" si="359"/>
        <v/>
      </c>
      <c r="EA63" s="93"/>
      <c r="EB63" s="94" t="str">
        <f t="shared" si="257"/>
        <v/>
      </c>
      <c r="EC63" s="94" t="str">
        <f t="shared" si="360"/>
        <v/>
      </c>
      <c r="ED63" s="93"/>
      <c r="EE63" s="94" t="str">
        <f t="shared" si="258"/>
        <v/>
      </c>
      <c r="EF63" s="94" t="str">
        <f t="shared" si="361"/>
        <v/>
      </c>
      <c r="EG63" s="93"/>
      <c r="EH63" s="94" t="str">
        <f t="shared" si="259"/>
        <v/>
      </c>
      <c r="EI63" s="94" t="str">
        <f t="shared" si="362"/>
        <v/>
      </c>
      <c r="EJ63" s="93"/>
      <c r="EK63" s="94" t="str">
        <f t="shared" si="260"/>
        <v/>
      </c>
      <c r="EL63" s="94" t="str">
        <f t="shared" si="363"/>
        <v/>
      </c>
      <c r="EM63" s="93"/>
      <c r="EN63" s="94" t="str">
        <f t="shared" si="261"/>
        <v/>
      </c>
      <c r="EO63" s="94" t="str">
        <f t="shared" si="364"/>
        <v/>
      </c>
      <c r="EP63" s="93"/>
      <c r="EQ63" s="94" t="str">
        <f t="shared" si="262"/>
        <v/>
      </c>
      <c r="ER63" s="94" t="str">
        <f t="shared" si="365"/>
        <v/>
      </c>
      <c r="ES63" s="66"/>
      <c r="ET63" s="94" t="str">
        <f t="shared" si="263"/>
        <v/>
      </c>
      <c r="EU63" s="94" t="str">
        <f t="shared" si="366"/>
        <v/>
      </c>
      <c r="EV63" s="93"/>
      <c r="EW63" s="94" t="str">
        <f t="shared" si="264"/>
        <v/>
      </c>
      <c r="EX63" s="94" t="str">
        <f t="shared" si="367"/>
        <v/>
      </c>
      <c r="EY63" s="93"/>
      <c r="EZ63" s="94" t="str">
        <f t="shared" si="265"/>
        <v/>
      </c>
      <c r="FA63" s="94" t="str">
        <f t="shared" si="368"/>
        <v/>
      </c>
      <c r="FB63" s="93"/>
      <c r="FC63" s="94" t="str">
        <f t="shared" si="266"/>
        <v/>
      </c>
      <c r="FD63" s="94" t="str">
        <f t="shared" si="369"/>
        <v/>
      </c>
      <c r="FE63" s="93"/>
      <c r="FF63" s="94" t="str">
        <f t="shared" si="267"/>
        <v/>
      </c>
      <c r="FG63" s="94" t="str">
        <f t="shared" si="370"/>
        <v/>
      </c>
      <c r="FH63" s="93"/>
      <c r="FI63" s="94" t="str">
        <f t="shared" si="268"/>
        <v/>
      </c>
      <c r="FJ63" s="94" t="str">
        <f t="shared" si="371"/>
        <v/>
      </c>
      <c r="FK63" s="93"/>
      <c r="FL63" s="94" t="str">
        <f t="shared" si="269"/>
        <v/>
      </c>
      <c r="FM63" s="94" t="str">
        <f t="shared" si="372"/>
        <v/>
      </c>
      <c r="FN63" s="93"/>
      <c r="FO63" s="94" t="str">
        <f t="shared" si="270"/>
        <v/>
      </c>
      <c r="FP63" s="94" t="str">
        <f t="shared" si="373"/>
        <v/>
      </c>
      <c r="FQ63" s="93"/>
      <c r="FR63" s="94" t="str">
        <f t="shared" si="271"/>
        <v/>
      </c>
      <c r="FS63" s="94" t="str">
        <f t="shared" si="374"/>
        <v/>
      </c>
      <c r="FT63" s="93"/>
      <c r="FU63" s="94" t="str">
        <f t="shared" si="272"/>
        <v/>
      </c>
      <c r="FV63" s="94" t="str">
        <f t="shared" si="375"/>
        <v/>
      </c>
      <c r="FW63" s="96"/>
      <c r="FX63" s="94" t="str">
        <f t="shared" si="273"/>
        <v/>
      </c>
      <c r="FY63" s="94" t="str">
        <f t="shared" si="376"/>
        <v/>
      </c>
      <c r="FZ63" s="93"/>
      <c r="GA63" s="94" t="str">
        <f t="shared" si="274"/>
        <v/>
      </c>
      <c r="GB63" s="94" t="str">
        <f t="shared" si="377"/>
        <v/>
      </c>
      <c r="GC63" s="93"/>
      <c r="GD63" s="94" t="str">
        <f t="shared" si="275"/>
        <v/>
      </c>
      <c r="GE63" s="94" t="str">
        <f t="shared" si="378"/>
        <v/>
      </c>
      <c r="GF63" s="93"/>
      <c r="GG63" s="94" t="str">
        <f t="shared" si="276"/>
        <v/>
      </c>
      <c r="GH63" s="94" t="str">
        <f t="shared" si="379"/>
        <v/>
      </c>
      <c r="GI63" s="93">
        <v>81</v>
      </c>
      <c r="GJ63" s="94">
        <f t="shared" si="277"/>
        <v>-1.2541194257249118</v>
      </c>
      <c r="GK63" s="94">
        <f t="shared" si="380"/>
        <v>0</v>
      </c>
      <c r="GL63" s="93"/>
      <c r="GM63" s="94" t="str">
        <f t="shared" si="278"/>
        <v/>
      </c>
      <c r="GN63" s="94" t="str">
        <f t="shared" si="381"/>
        <v/>
      </c>
      <c r="GO63" s="93"/>
      <c r="GP63" s="94" t="str">
        <f t="shared" si="279"/>
        <v/>
      </c>
      <c r="GQ63" s="94" t="str">
        <f t="shared" si="382"/>
        <v/>
      </c>
      <c r="GR63" s="93"/>
      <c r="GS63" s="94" t="str">
        <f t="shared" si="280"/>
        <v/>
      </c>
      <c r="GT63" s="94" t="str">
        <f t="shared" si="383"/>
        <v/>
      </c>
      <c r="GU63" s="93"/>
      <c r="GV63" s="94" t="str">
        <f t="shared" si="281"/>
        <v/>
      </c>
      <c r="GW63" s="94" t="str">
        <f t="shared" si="384"/>
        <v/>
      </c>
      <c r="GX63" s="93"/>
      <c r="GY63" s="94" t="str">
        <f t="shared" si="282"/>
        <v/>
      </c>
      <c r="GZ63" s="94" t="str">
        <f t="shared" si="385"/>
        <v/>
      </c>
      <c r="HA63" s="93"/>
      <c r="HB63" s="94" t="str">
        <f t="shared" si="283"/>
        <v/>
      </c>
      <c r="HC63" s="94" t="str">
        <f t="shared" si="386"/>
        <v/>
      </c>
      <c r="HD63" s="93"/>
      <c r="HE63" s="94" t="str">
        <f t="shared" si="284"/>
        <v/>
      </c>
      <c r="HF63" s="94" t="str">
        <f t="shared" si="387"/>
        <v/>
      </c>
      <c r="HG63" s="93"/>
      <c r="HH63" s="94" t="str">
        <f t="shared" si="285"/>
        <v/>
      </c>
      <c r="HI63" s="94" t="str">
        <f t="shared" si="388"/>
        <v/>
      </c>
      <c r="HJ63" s="93"/>
      <c r="HK63" s="94" t="str">
        <f t="shared" si="286"/>
        <v/>
      </c>
      <c r="HL63" s="94" t="str">
        <f t="shared" si="389"/>
        <v/>
      </c>
      <c r="HM63" s="93"/>
      <c r="HN63" s="94" t="str">
        <f t="shared" si="287"/>
        <v/>
      </c>
      <c r="HO63" s="94" t="str">
        <f t="shared" si="390"/>
        <v/>
      </c>
      <c r="HP63" s="93"/>
      <c r="HQ63" s="94" t="str">
        <f t="shared" si="288"/>
        <v/>
      </c>
      <c r="HR63" s="94" t="str">
        <f t="shared" si="391"/>
        <v/>
      </c>
      <c r="HS63" s="93"/>
      <c r="HT63" s="94" t="str">
        <f t="shared" si="289"/>
        <v/>
      </c>
      <c r="HU63" s="94" t="str">
        <f t="shared" si="392"/>
        <v/>
      </c>
      <c r="HV63" s="93"/>
      <c r="HW63" s="94" t="str">
        <f t="shared" si="290"/>
        <v/>
      </c>
      <c r="HX63" s="94" t="str">
        <f t="shared" si="393"/>
        <v/>
      </c>
      <c r="HY63" s="93"/>
      <c r="HZ63" s="94" t="str">
        <f t="shared" si="291"/>
        <v/>
      </c>
      <c r="IA63" s="94" t="str">
        <f t="shared" si="394"/>
        <v/>
      </c>
      <c r="IB63" s="93"/>
      <c r="IC63" s="94" t="str">
        <f t="shared" si="292"/>
        <v/>
      </c>
      <c r="ID63" s="94" t="str">
        <f t="shared" si="395"/>
        <v/>
      </c>
      <c r="IE63" s="93"/>
      <c r="IF63" s="94" t="str">
        <f t="shared" si="293"/>
        <v/>
      </c>
      <c r="IG63" s="94" t="str">
        <f t="shared" si="396"/>
        <v/>
      </c>
      <c r="IH63" s="93"/>
      <c r="II63" s="94" t="str">
        <f t="shared" si="294"/>
        <v/>
      </c>
      <c r="IJ63" s="94" t="str">
        <f t="shared" si="397"/>
        <v/>
      </c>
      <c r="IK63" s="93"/>
      <c r="IL63" s="94" t="str">
        <f t="shared" si="295"/>
        <v/>
      </c>
      <c r="IM63" s="94" t="str">
        <f t="shared" si="398"/>
        <v/>
      </c>
      <c r="IN63" s="93"/>
      <c r="IO63" s="94" t="str">
        <f t="shared" si="296"/>
        <v/>
      </c>
      <c r="IP63" s="94" t="str">
        <f t="shared" si="399"/>
        <v/>
      </c>
      <c r="IQ63" s="93"/>
      <c r="IR63" s="94" t="str">
        <f t="shared" si="297"/>
        <v/>
      </c>
      <c r="IS63" s="94" t="str">
        <f t="shared" si="400"/>
        <v/>
      </c>
      <c r="IT63" s="93"/>
      <c r="IU63" s="94" t="str">
        <f t="shared" si="298"/>
        <v/>
      </c>
      <c r="IV63" s="94" t="str">
        <f t="shared" si="401"/>
        <v/>
      </c>
      <c r="IW63" s="93"/>
      <c r="IX63" s="94" t="str">
        <f t="shared" si="299"/>
        <v/>
      </c>
      <c r="IY63" s="94" t="str">
        <f t="shared" si="402"/>
        <v/>
      </c>
      <c r="IZ63" s="93"/>
      <c r="JA63" s="94" t="str">
        <f t="shared" si="300"/>
        <v/>
      </c>
      <c r="JB63" s="94" t="str">
        <f t="shared" si="403"/>
        <v/>
      </c>
      <c r="JC63" s="93"/>
      <c r="JD63" s="94" t="str">
        <f t="shared" si="301"/>
        <v/>
      </c>
      <c r="JE63" s="94" t="str">
        <f t="shared" si="404"/>
        <v/>
      </c>
      <c r="JF63" s="93"/>
      <c r="JG63" s="94" t="str">
        <f t="shared" si="302"/>
        <v/>
      </c>
      <c r="JH63" s="94" t="str">
        <f t="shared" si="405"/>
        <v/>
      </c>
      <c r="JI63" s="93"/>
      <c r="JJ63" s="94" t="str">
        <f t="shared" si="303"/>
        <v/>
      </c>
      <c r="JK63" s="94" t="str">
        <f t="shared" si="406"/>
        <v/>
      </c>
      <c r="JL63" s="93"/>
      <c r="JM63" s="94" t="str">
        <f t="shared" si="304"/>
        <v/>
      </c>
      <c r="JN63" s="94" t="str">
        <f t="shared" si="407"/>
        <v/>
      </c>
      <c r="JO63" s="93"/>
      <c r="JP63" s="94" t="str">
        <f t="shared" si="305"/>
        <v/>
      </c>
      <c r="JQ63" s="94" t="str">
        <f t="shared" si="408"/>
        <v/>
      </c>
      <c r="JR63" s="93"/>
      <c r="JS63" s="94" t="str">
        <f t="shared" si="306"/>
        <v/>
      </c>
      <c r="JT63" s="94" t="str">
        <f t="shared" si="409"/>
        <v/>
      </c>
      <c r="JU63" s="93"/>
      <c r="JV63" s="94" t="str">
        <f t="shared" si="307"/>
        <v/>
      </c>
      <c r="JW63" s="94" t="str">
        <f t="shared" si="410"/>
        <v/>
      </c>
      <c r="JX63" s="93"/>
      <c r="JY63" s="94" t="str">
        <f t="shared" si="308"/>
        <v/>
      </c>
      <c r="JZ63" s="94" t="str">
        <f t="shared" si="411"/>
        <v/>
      </c>
      <c r="KA63" s="93"/>
      <c r="KB63" s="94" t="str">
        <f t="shared" si="309"/>
        <v/>
      </c>
      <c r="KC63" s="94" t="str">
        <f t="shared" si="412"/>
        <v/>
      </c>
      <c r="KD63" s="93"/>
      <c r="KE63" s="94" t="str">
        <f t="shared" si="310"/>
        <v/>
      </c>
      <c r="KF63" s="94" t="str">
        <f t="shared" si="413"/>
        <v/>
      </c>
      <c r="KG63" s="93"/>
      <c r="KH63" s="94" t="str">
        <f t="shared" si="311"/>
        <v/>
      </c>
      <c r="KI63" s="94" t="str">
        <f t="shared" si="414"/>
        <v/>
      </c>
      <c r="KJ63" s="93"/>
      <c r="KK63" s="94" t="str">
        <f t="shared" si="312"/>
        <v/>
      </c>
      <c r="KL63" s="94" t="str">
        <f t="shared" si="415"/>
        <v/>
      </c>
      <c r="KM63" s="93"/>
      <c r="KN63" s="94" t="str">
        <f t="shared" si="313"/>
        <v/>
      </c>
      <c r="KO63" s="94" t="str">
        <f t="shared" si="416"/>
        <v/>
      </c>
      <c r="KP63" s="93"/>
      <c r="KQ63" s="94" t="str">
        <f t="shared" si="314"/>
        <v/>
      </c>
      <c r="KR63" s="94" t="str">
        <f t="shared" si="417"/>
        <v/>
      </c>
      <c r="KS63" s="93"/>
      <c r="KT63" s="94" t="str">
        <f t="shared" si="315"/>
        <v/>
      </c>
      <c r="KU63" s="94" t="str">
        <f t="shared" si="418"/>
        <v/>
      </c>
      <c r="KV63" s="93"/>
      <c r="KW63" s="94" t="str">
        <f t="shared" si="316"/>
        <v/>
      </c>
      <c r="KX63" s="94" t="str">
        <f t="shared" si="419"/>
        <v/>
      </c>
      <c r="KY63" s="96"/>
      <c r="KZ63" s="94" t="str">
        <f t="shared" si="317"/>
        <v/>
      </c>
      <c r="LA63" s="94" t="str">
        <f t="shared" si="420"/>
        <v/>
      </c>
      <c r="LB63" s="65">
        <f t="shared" si="218"/>
        <v>87.2</v>
      </c>
      <c r="LC63" s="115">
        <f t="shared" si="421"/>
        <v>27</v>
      </c>
      <c r="LD63" s="65">
        <f t="shared" si="207"/>
        <v>-0.79296546736864071</v>
      </c>
      <c r="LE63" s="115">
        <f t="shared" si="422"/>
        <v>50</v>
      </c>
      <c r="LF63" s="65">
        <f t="shared" si="208"/>
        <v>0.13999999999999999</v>
      </c>
      <c r="LG63" s="115">
        <f t="shared" si="423"/>
        <v>54</v>
      </c>
      <c r="LH63" s="69">
        <f t="shared" si="318"/>
        <v>44.078947368421055</v>
      </c>
      <c r="LI63" s="69">
        <f t="shared" si="319"/>
        <v>32.445966449152472</v>
      </c>
      <c r="LJ63" s="69">
        <f t="shared" si="320"/>
        <v>28.5</v>
      </c>
      <c r="LK63" s="69">
        <f t="shared" si="424"/>
        <v>55.02491381757352</v>
      </c>
      <c r="LL63" s="71">
        <f t="shared" si="425"/>
        <v>47</v>
      </c>
      <c r="LM63" s="68"/>
      <c r="LN63" s="72">
        <f>IFERROR(RANK(LK63,(LK$63:LK$66),0),"")</f>
        <v>4</v>
      </c>
      <c r="LO63" s="73">
        <f t="shared" si="428"/>
        <v>47</v>
      </c>
      <c r="LP63" s="68"/>
      <c r="LQ63" s="68"/>
      <c r="LR63" s="68"/>
      <c r="LS63" s="74"/>
      <c r="LT63" s="74"/>
      <c r="LU63" s="74"/>
      <c r="LV63" s="74"/>
    </row>
    <row r="64" spans="1:334" s="74" customFormat="1" ht="15" customHeight="1">
      <c r="A64" s="65">
        <f t="shared" si="211"/>
        <v>5</v>
      </c>
      <c r="B64" s="65">
        <f t="shared" si="212"/>
        <v>4</v>
      </c>
      <c r="C64" s="117">
        <v>50</v>
      </c>
      <c r="D64" s="121" t="s">
        <v>292</v>
      </c>
      <c r="E64" s="120" t="s">
        <v>672</v>
      </c>
      <c r="F64" s="120"/>
      <c r="G64" s="120"/>
      <c r="H64" s="120" t="s">
        <v>7</v>
      </c>
      <c r="I64" s="287" t="s">
        <v>585</v>
      </c>
      <c r="J64" s="120" t="s">
        <v>293</v>
      </c>
      <c r="K64" s="120" t="s">
        <v>12</v>
      </c>
      <c r="L64" s="67" t="s">
        <v>294</v>
      </c>
      <c r="M64" s="120" t="s">
        <v>35</v>
      </c>
      <c r="N64" s="93"/>
      <c r="O64" s="94" t="str">
        <f t="shared" si="219"/>
        <v/>
      </c>
      <c r="P64" s="94" t="str">
        <f t="shared" si="321"/>
        <v/>
      </c>
      <c r="Q64" s="93"/>
      <c r="R64" s="94" t="str">
        <f t="shared" si="220"/>
        <v/>
      </c>
      <c r="S64" s="94" t="str">
        <f t="shared" si="322"/>
        <v/>
      </c>
      <c r="T64" s="93"/>
      <c r="U64" s="94" t="str">
        <f t="shared" si="221"/>
        <v/>
      </c>
      <c r="V64" s="94" t="str">
        <f t="shared" si="323"/>
        <v/>
      </c>
      <c r="W64" s="93"/>
      <c r="X64" s="94" t="str">
        <f t="shared" si="222"/>
        <v/>
      </c>
      <c r="Y64" s="94" t="str">
        <f t="shared" si="324"/>
        <v/>
      </c>
      <c r="Z64" s="93"/>
      <c r="AA64" s="94" t="str">
        <f t="shared" si="223"/>
        <v/>
      </c>
      <c r="AB64" s="94" t="str">
        <f t="shared" si="325"/>
        <v/>
      </c>
      <c r="AC64" s="93"/>
      <c r="AD64" s="94" t="str">
        <f t="shared" si="224"/>
        <v/>
      </c>
      <c r="AE64" s="94" t="str">
        <f t="shared" si="326"/>
        <v/>
      </c>
      <c r="AF64" s="93"/>
      <c r="AG64" s="94" t="str">
        <f t="shared" si="225"/>
        <v/>
      </c>
      <c r="AH64" s="94" t="str">
        <f t="shared" si="327"/>
        <v/>
      </c>
      <c r="AI64" s="93"/>
      <c r="AJ64" s="94" t="str">
        <f t="shared" si="226"/>
        <v/>
      </c>
      <c r="AK64" s="94" t="str">
        <f t="shared" si="328"/>
        <v/>
      </c>
      <c r="AL64" s="93"/>
      <c r="AM64" s="94" t="str">
        <f t="shared" si="227"/>
        <v/>
      </c>
      <c r="AN64" s="94" t="str">
        <f t="shared" si="329"/>
        <v/>
      </c>
      <c r="AO64" s="93"/>
      <c r="AP64" s="94" t="str">
        <f t="shared" si="228"/>
        <v/>
      </c>
      <c r="AQ64" s="94" t="str">
        <f t="shared" si="330"/>
        <v/>
      </c>
      <c r="AR64" s="93"/>
      <c r="AS64" s="94" t="str">
        <f t="shared" si="229"/>
        <v/>
      </c>
      <c r="AT64" s="94" t="str">
        <f t="shared" si="331"/>
        <v/>
      </c>
      <c r="AU64" s="93"/>
      <c r="AV64" s="94" t="str">
        <f t="shared" si="230"/>
        <v/>
      </c>
      <c r="AW64" s="94" t="str">
        <f t="shared" si="332"/>
        <v/>
      </c>
      <c r="AX64" s="93"/>
      <c r="AY64" s="94" t="str">
        <f t="shared" si="231"/>
        <v/>
      </c>
      <c r="AZ64" s="94" t="str">
        <f t="shared" si="333"/>
        <v/>
      </c>
      <c r="BA64" s="272">
        <v>91</v>
      </c>
      <c r="BB64" s="94">
        <f t="shared" si="232"/>
        <v>-0.45310844460220823</v>
      </c>
      <c r="BC64" s="94">
        <f t="shared" si="334"/>
        <v>0.33333333333333331</v>
      </c>
      <c r="BD64" s="93"/>
      <c r="BE64" s="94" t="str">
        <f t="shared" si="233"/>
        <v/>
      </c>
      <c r="BF64" s="94" t="str">
        <f t="shared" si="335"/>
        <v/>
      </c>
      <c r="BG64" s="93"/>
      <c r="BH64" s="94" t="str">
        <f t="shared" si="234"/>
        <v/>
      </c>
      <c r="BI64" s="94" t="str">
        <f t="shared" si="336"/>
        <v/>
      </c>
      <c r="BJ64" s="93"/>
      <c r="BK64" s="94" t="str">
        <f t="shared" si="235"/>
        <v/>
      </c>
      <c r="BL64" s="94" t="str">
        <f t="shared" si="337"/>
        <v/>
      </c>
      <c r="BM64" s="93">
        <v>92</v>
      </c>
      <c r="BN64" s="94">
        <f t="shared" si="236"/>
        <v>-0.26375218935831385</v>
      </c>
      <c r="BO64" s="94">
        <f t="shared" si="338"/>
        <v>0.25</v>
      </c>
      <c r="BP64" s="66"/>
      <c r="BQ64" s="94" t="str">
        <f t="shared" si="237"/>
        <v/>
      </c>
      <c r="BR64" s="94" t="str">
        <f t="shared" si="339"/>
        <v/>
      </c>
      <c r="BS64" s="93"/>
      <c r="BT64" s="94" t="str">
        <f t="shared" si="238"/>
        <v/>
      </c>
      <c r="BU64" s="94" t="str">
        <f t="shared" si="340"/>
        <v/>
      </c>
      <c r="BV64" s="93"/>
      <c r="BW64" s="94" t="str">
        <f t="shared" si="239"/>
        <v/>
      </c>
      <c r="BX64" s="94" t="str">
        <f t="shared" si="341"/>
        <v/>
      </c>
      <c r="BY64" s="93"/>
      <c r="BZ64" s="94" t="str">
        <f t="shared" si="240"/>
        <v/>
      </c>
      <c r="CA64" s="94" t="str">
        <f t="shared" si="342"/>
        <v/>
      </c>
      <c r="CB64" s="93"/>
      <c r="CC64" s="94" t="str">
        <f t="shared" si="241"/>
        <v/>
      </c>
      <c r="CD64" s="94" t="str">
        <f t="shared" si="343"/>
        <v/>
      </c>
      <c r="CE64" s="93" t="s">
        <v>63</v>
      </c>
      <c r="CF64" s="94" t="str">
        <f t="shared" si="242"/>
        <v/>
      </c>
      <c r="CG64" s="94" t="str">
        <f t="shared" si="344"/>
        <v/>
      </c>
      <c r="CH64" s="93"/>
      <c r="CI64" s="94" t="str">
        <f t="shared" si="243"/>
        <v/>
      </c>
      <c r="CJ64" s="94" t="str">
        <f t="shared" si="345"/>
        <v/>
      </c>
      <c r="CK64" s="93"/>
      <c r="CL64" s="94" t="str">
        <f t="shared" si="244"/>
        <v/>
      </c>
      <c r="CM64" s="94" t="str">
        <f t="shared" si="346"/>
        <v/>
      </c>
      <c r="CN64" s="93"/>
      <c r="CO64" s="94" t="str">
        <f t="shared" si="245"/>
        <v/>
      </c>
      <c r="CP64" s="94" t="str">
        <f t="shared" si="347"/>
        <v/>
      </c>
      <c r="CQ64" s="93">
        <v>99</v>
      </c>
      <c r="CR64" s="94">
        <f t="shared" si="246"/>
        <v>0.60553007081949906</v>
      </c>
      <c r="CS64" s="94">
        <f t="shared" si="348"/>
        <v>0.8</v>
      </c>
      <c r="CT64" s="93"/>
      <c r="CU64" s="94" t="str">
        <f t="shared" si="247"/>
        <v/>
      </c>
      <c r="CV64" s="94" t="str">
        <f t="shared" si="349"/>
        <v/>
      </c>
      <c r="CW64" s="93"/>
      <c r="CX64" s="94" t="str">
        <f t="shared" si="248"/>
        <v/>
      </c>
      <c r="CY64" s="94" t="str">
        <f t="shared" si="350"/>
        <v/>
      </c>
      <c r="CZ64" s="93"/>
      <c r="DA64" s="94" t="str">
        <f t="shared" si="249"/>
        <v/>
      </c>
      <c r="DB64" s="94" t="str">
        <f t="shared" si="351"/>
        <v/>
      </c>
      <c r="DC64" s="93"/>
      <c r="DD64" s="94" t="str">
        <f t="shared" si="250"/>
        <v/>
      </c>
      <c r="DE64" s="94" t="str">
        <f t="shared" si="352"/>
        <v/>
      </c>
      <c r="DF64" s="93"/>
      <c r="DG64" s="94"/>
      <c r="DH64" s="94" t="str">
        <f t="shared" si="353"/>
        <v/>
      </c>
      <c r="DI64" s="93"/>
      <c r="DJ64" s="94" t="str">
        <f t="shared" si="251"/>
        <v/>
      </c>
      <c r="DK64" s="94" t="str">
        <f t="shared" si="354"/>
        <v/>
      </c>
      <c r="DL64" s="93"/>
      <c r="DM64" s="94" t="str">
        <f t="shared" si="252"/>
        <v/>
      </c>
      <c r="DN64" s="94" t="str">
        <f t="shared" si="355"/>
        <v/>
      </c>
      <c r="DO64" s="93"/>
      <c r="DP64" s="94" t="str">
        <f t="shared" si="253"/>
        <v/>
      </c>
      <c r="DQ64" s="94" t="str">
        <f t="shared" si="356"/>
        <v/>
      </c>
      <c r="DR64" s="93"/>
      <c r="DS64" s="94" t="str">
        <f t="shared" si="254"/>
        <v/>
      </c>
      <c r="DT64" s="94" t="str">
        <f t="shared" si="357"/>
        <v/>
      </c>
      <c r="DU64" s="93"/>
      <c r="DV64" s="94" t="str">
        <f t="shared" si="255"/>
        <v/>
      </c>
      <c r="DW64" s="94" t="str">
        <f t="shared" si="358"/>
        <v/>
      </c>
      <c r="DX64" s="93"/>
      <c r="DY64" s="94" t="str">
        <f t="shared" si="256"/>
        <v/>
      </c>
      <c r="DZ64" s="94" t="str">
        <f t="shared" si="359"/>
        <v/>
      </c>
      <c r="EA64" s="93"/>
      <c r="EB64" s="94" t="str">
        <f t="shared" si="257"/>
        <v/>
      </c>
      <c r="EC64" s="94" t="str">
        <f t="shared" si="360"/>
        <v/>
      </c>
      <c r="ED64" s="93"/>
      <c r="EE64" s="94" t="str">
        <f t="shared" si="258"/>
        <v/>
      </c>
      <c r="EF64" s="94" t="str">
        <f t="shared" si="361"/>
        <v/>
      </c>
      <c r="EG64" s="93"/>
      <c r="EH64" s="94" t="str">
        <f t="shared" si="259"/>
        <v/>
      </c>
      <c r="EI64" s="94" t="str">
        <f t="shared" si="362"/>
        <v/>
      </c>
      <c r="EJ64" s="93"/>
      <c r="EK64" s="94" t="str">
        <f t="shared" si="260"/>
        <v/>
      </c>
      <c r="EL64" s="94" t="str">
        <f t="shared" si="363"/>
        <v/>
      </c>
      <c r="EM64" s="93"/>
      <c r="EN64" s="94" t="str">
        <f t="shared" si="261"/>
        <v/>
      </c>
      <c r="EO64" s="94" t="str">
        <f t="shared" si="364"/>
        <v/>
      </c>
      <c r="EP64" s="93"/>
      <c r="EQ64" s="94" t="str">
        <f t="shared" si="262"/>
        <v/>
      </c>
      <c r="ER64" s="94" t="str">
        <f t="shared" si="365"/>
        <v/>
      </c>
      <c r="ES64" s="66"/>
      <c r="ET64" s="94" t="str">
        <f t="shared" si="263"/>
        <v/>
      </c>
      <c r="EU64" s="94" t="str">
        <f t="shared" si="366"/>
        <v/>
      </c>
      <c r="EV64" s="93"/>
      <c r="EW64" s="94" t="str">
        <f t="shared" si="264"/>
        <v/>
      </c>
      <c r="EX64" s="94" t="str">
        <f t="shared" si="367"/>
        <v/>
      </c>
      <c r="EY64" s="93"/>
      <c r="EZ64" s="94" t="str">
        <f t="shared" si="265"/>
        <v/>
      </c>
      <c r="FA64" s="94" t="str">
        <f t="shared" si="368"/>
        <v/>
      </c>
      <c r="FB64" s="93"/>
      <c r="FC64" s="94" t="str">
        <f t="shared" si="266"/>
        <v/>
      </c>
      <c r="FD64" s="94" t="str">
        <f t="shared" si="369"/>
        <v/>
      </c>
      <c r="FE64" s="93"/>
      <c r="FF64" s="94" t="str">
        <f t="shared" si="267"/>
        <v/>
      </c>
      <c r="FG64" s="94" t="str">
        <f t="shared" si="370"/>
        <v/>
      </c>
      <c r="FH64" s="93"/>
      <c r="FI64" s="94" t="str">
        <f t="shared" si="268"/>
        <v/>
      </c>
      <c r="FJ64" s="94" t="str">
        <f t="shared" si="371"/>
        <v/>
      </c>
      <c r="FK64" s="93"/>
      <c r="FL64" s="94" t="str">
        <f t="shared" si="269"/>
        <v/>
      </c>
      <c r="FM64" s="94" t="str">
        <f t="shared" si="372"/>
        <v/>
      </c>
      <c r="FN64" s="93"/>
      <c r="FO64" s="94" t="str">
        <f t="shared" si="270"/>
        <v/>
      </c>
      <c r="FP64" s="94" t="str">
        <f t="shared" si="373"/>
        <v/>
      </c>
      <c r="FQ64" s="93"/>
      <c r="FR64" s="94" t="str">
        <f t="shared" si="271"/>
        <v/>
      </c>
      <c r="FS64" s="94" t="str">
        <f t="shared" si="374"/>
        <v/>
      </c>
      <c r="FT64" s="93"/>
      <c r="FU64" s="94" t="str">
        <f t="shared" si="272"/>
        <v/>
      </c>
      <c r="FV64" s="94" t="str">
        <f t="shared" si="375"/>
        <v/>
      </c>
      <c r="FW64" s="96"/>
      <c r="FX64" s="94" t="str">
        <f t="shared" si="273"/>
        <v/>
      </c>
      <c r="FY64" s="94" t="str">
        <f t="shared" si="376"/>
        <v/>
      </c>
      <c r="FZ64" s="93"/>
      <c r="GA64" s="94" t="str">
        <f t="shared" si="274"/>
        <v/>
      </c>
      <c r="GB64" s="94" t="str">
        <f t="shared" si="377"/>
        <v/>
      </c>
      <c r="GC64" s="93"/>
      <c r="GD64" s="94" t="str">
        <f t="shared" si="275"/>
        <v/>
      </c>
      <c r="GE64" s="94" t="str">
        <f t="shared" si="378"/>
        <v/>
      </c>
      <c r="GF64" s="93"/>
      <c r="GG64" s="94" t="str">
        <f t="shared" si="276"/>
        <v/>
      </c>
      <c r="GH64" s="94" t="str">
        <f t="shared" si="379"/>
        <v/>
      </c>
      <c r="GI64" s="93">
        <v>84</v>
      </c>
      <c r="GJ64" s="94">
        <f t="shared" si="277"/>
        <v>-0.83607961714994117</v>
      </c>
      <c r="GK64" s="94">
        <f t="shared" si="380"/>
        <v>0.25</v>
      </c>
      <c r="GL64" s="93"/>
      <c r="GM64" s="94" t="str">
        <f t="shared" si="278"/>
        <v/>
      </c>
      <c r="GN64" s="94" t="str">
        <f t="shared" si="381"/>
        <v/>
      </c>
      <c r="GO64" s="93"/>
      <c r="GP64" s="94" t="str">
        <f t="shared" si="279"/>
        <v/>
      </c>
      <c r="GQ64" s="94" t="str">
        <f t="shared" si="382"/>
        <v/>
      </c>
      <c r="GR64" s="93"/>
      <c r="GS64" s="94" t="str">
        <f t="shared" si="280"/>
        <v/>
      </c>
      <c r="GT64" s="94" t="str">
        <f t="shared" si="383"/>
        <v/>
      </c>
      <c r="GU64" s="93"/>
      <c r="GV64" s="94" t="str">
        <f t="shared" si="281"/>
        <v/>
      </c>
      <c r="GW64" s="94" t="str">
        <f t="shared" si="384"/>
        <v/>
      </c>
      <c r="GX64" s="93"/>
      <c r="GY64" s="94" t="str">
        <f t="shared" si="282"/>
        <v/>
      </c>
      <c r="GZ64" s="94" t="str">
        <f t="shared" si="385"/>
        <v/>
      </c>
      <c r="HA64" s="93"/>
      <c r="HB64" s="94" t="str">
        <f t="shared" si="283"/>
        <v/>
      </c>
      <c r="HC64" s="94" t="str">
        <f t="shared" si="386"/>
        <v/>
      </c>
      <c r="HD64" s="93"/>
      <c r="HE64" s="94" t="str">
        <f t="shared" si="284"/>
        <v/>
      </c>
      <c r="HF64" s="94" t="str">
        <f t="shared" si="387"/>
        <v/>
      </c>
      <c r="HG64" s="93"/>
      <c r="HH64" s="94" t="str">
        <f t="shared" si="285"/>
        <v/>
      </c>
      <c r="HI64" s="94" t="str">
        <f t="shared" si="388"/>
        <v/>
      </c>
      <c r="HJ64" s="93"/>
      <c r="HK64" s="94" t="str">
        <f t="shared" si="286"/>
        <v/>
      </c>
      <c r="HL64" s="94" t="str">
        <f t="shared" si="389"/>
        <v/>
      </c>
      <c r="HM64" s="93"/>
      <c r="HN64" s="94" t="str">
        <f t="shared" si="287"/>
        <v/>
      </c>
      <c r="HO64" s="94" t="str">
        <f t="shared" si="390"/>
        <v/>
      </c>
      <c r="HP64" s="93"/>
      <c r="HQ64" s="94" t="str">
        <f t="shared" si="288"/>
        <v/>
      </c>
      <c r="HR64" s="94" t="str">
        <f t="shared" si="391"/>
        <v/>
      </c>
      <c r="HS64" s="93"/>
      <c r="HT64" s="94" t="str">
        <f t="shared" si="289"/>
        <v/>
      </c>
      <c r="HU64" s="94" t="str">
        <f t="shared" si="392"/>
        <v/>
      </c>
      <c r="HV64" s="93"/>
      <c r="HW64" s="94" t="str">
        <f t="shared" si="290"/>
        <v/>
      </c>
      <c r="HX64" s="94" t="str">
        <f t="shared" si="393"/>
        <v/>
      </c>
      <c r="HY64" s="93"/>
      <c r="HZ64" s="94" t="str">
        <f t="shared" si="291"/>
        <v/>
      </c>
      <c r="IA64" s="94" t="str">
        <f t="shared" si="394"/>
        <v/>
      </c>
      <c r="IB64" s="93"/>
      <c r="IC64" s="94" t="str">
        <f t="shared" si="292"/>
        <v/>
      </c>
      <c r="ID64" s="94" t="str">
        <f t="shared" si="395"/>
        <v/>
      </c>
      <c r="IE64" s="93"/>
      <c r="IF64" s="94" t="str">
        <f t="shared" si="293"/>
        <v/>
      </c>
      <c r="IG64" s="94" t="str">
        <f t="shared" si="396"/>
        <v/>
      </c>
      <c r="IH64" s="93"/>
      <c r="II64" s="94" t="str">
        <f t="shared" si="294"/>
        <v/>
      </c>
      <c r="IJ64" s="94" t="str">
        <f t="shared" si="397"/>
        <v/>
      </c>
      <c r="IK64" s="93"/>
      <c r="IL64" s="94" t="str">
        <f t="shared" si="295"/>
        <v/>
      </c>
      <c r="IM64" s="94" t="str">
        <f t="shared" si="398"/>
        <v/>
      </c>
      <c r="IN64" s="93"/>
      <c r="IO64" s="94" t="str">
        <f t="shared" si="296"/>
        <v/>
      </c>
      <c r="IP64" s="94" t="str">
        <f t="shared" si="399"/>
        <v/>
      </c>
      <c r="IQ64" s="93"/>
      <c r="IR64" s="94" t="str">
        <f t="shared" si="297"/>
        <v/>
      </c>
      <c r="IS64" s="94" t="str">
        <f t="shared" si="400"/>
        <v/>
      </c>
      <c r="IT64" s="93"/>
      <c r="IU64" s="94" t="str">
        <f t="shared" si="298"/>
        <v/>
      </c>
      <c r="IV64" s="94" t="str">
        <f t="shared" si="401"/>
        <v/>
      </c>
      <c r="IW64" s="93"/>
      <c r="IX64" s="94" t="str">
        <f t="shared" si="299"/>
        <v/>
      </c>
      <c r="IY64" s="94" t="str">
        <f t="shared" si="402"/>
        <v/>
      </c>
      <c r="IZ64" s="93"/>
      <c r="JA64" s="94" t="str">
        <f t="shared" si="300"/>
        <v/>
      </c>
      <c r="JB64" s="94" t="str">
        <f t="shared" si="403"/>
        <v/>
      </c>
      <c r="JC64" s="93"/>
      <c r="JD64" s="94" t="str">
        <f t="shared" si="301"/>
        <v/>
      </c>
      <c r="JE64" s="94" t="str">
        <f t="shared" si="404"/>
        <v/>
      </c>
      <c r="JF64" s="93"/>
      <c r="JG64" s="94" t="str">
        <f t="shared" si="302"/>
        <v/>
      </c>
      <c r="JH64" s="94" t="str">
        <f t="shared" si="405"/>
        <v/>
      </c>
      <c r="JI64" s="93"/>
      <c r="JJ64" s="94" t="str">
        <f t="shared" si="303"/>
        <v/>
      </c>
      <c r="JK64" s="94" t="str">
        <f t="shared" si="406"/>
        <v/>
      </c>
      <c r="JL64" s="93"/>
      <c r="JM64" s="94" t="str">
        <f t="shared" si="304"/>
        <v/>
      </c>
      <c r="JN64" s="94" t="str">
        <f t="shared" si="407"/>
        <v/>
      </c>
      <c r="JO64" s="93"/>
      <c r="JP64" s="94" t="str">
        <f t="shared" si="305"/>
        <v/>
      </c>
      <c r="JQ64" s="94" t="str">
        <f t="shared" si="408"/>
        <v/>
      </c>
      <c r="JR64" s="93"/>
      <c r="JS64" s="94" t="str">
        <f t="shared" si="306"/>
        <v/>
      </c>
      <c r="JT64" s="94" t="str">
        <f t="shared" si="409"/>
        <v/>
      </c>
      <c r="JU64" s="93"/>
      <c r="JV64" s="94" t="str">
        <f t="shared" si="307"/>
        <v/>
      </c>
      <c r="JW64" s="94" t="str">
        <f t="shared" si="410"/>
        <v/>
      </c>
      <c r="JX64" s="93"/>
      <c r="JY64" s="94" t="str">
        <f t="shared" si="308"/>
        <v/>
      </c>
      <c r="JZ64" s="94" t="str">
        <f t="shared" si="411"/>
        <v/>
      </c>
      <c r="KA64" s="93"/>
      <c r="KB64" s="94" t="str">
        <f t="shared" si="309"/>
        <v/>
      </c>
      <c r="KC64" s="94" t="str">
        <f t="shared" si="412"/>
        <v/>
      </c>
      <c r="KD64" s="93"/>
      <c r="KE64" s="94" t="str">
        <f t="shared" si="310"/>
        <v/>
      </c>
      <c r="KF64" s="94" t="str">
        <f t="shared" si="413"/>
        <v/>
      </c>
      <c r="KG64" s="93"/>
      <c r="KH64" s="94" t="str">
        <f t="shared" si="311"/>
        <v/>
      </c>
      <c r="KI64" s="94" t="str">
        <f t="shared" si="414"/>
        <v/>
      </c>
      <c r="KJ64" s="93"/>
      <c r="KK64" s="94" t="str">
        <f t="shared" si="312"/>
        <v/>
      </c>
      <c r="KL64" s="94" t="str">
        <f t="shared" si="415"/>
        <v/>
      </c>
      <c r="KM64" s="93"/>
      <c r="KN64" s="94" t="str">
        <f t="shared" si="313"/>
        <v/>
      </c>
      <c r="KO64" s="94" t="str">
        <f t="shared" si="416"/>
        <v/>
      </c>
      <c r="KP64" s="93"/>
      <c r="KQ64" s="94" t="str">
        <f t="shared" si="314"/>
        <v/>
      </c>
      <c r="KR64" s="94" t="str">
        <f t="shared" si="417"/>
        <v/>
      </c>
      <c r="KS64" s="93"/>
      <c r="KT64" s="94" t="str">
        <f t="shared" si="315"/>
        <v/>
      </c>
      <c r="KU64" s="94" t="str">
        <f t="shared" si="418"/>
        <v/>
      </c>
      <c r="KV64" s="93"/>
      <c r="KW64" s="94" t="str">
        <f t="shared" si="316"/>
        <v/>
      </c>
      <c r="KX64" s="94" t="str">
        <f t="shared" si="419"/>
        <v/>
      </c>
      <c r="KY64" s="96"/>
      <c r="KZ64" s="94" t="str">
        <f t="shared" si="317"/>
        <v/>
      </c>
      <c r="LA64" s="94" t="str">
        <f t="shared" si="420"/>
        <v/>
      </c>
      <c r="LB64" s="65">
        <f t="shared" si="218"/>
        <v>91.5</v>
      </c>
      <c r="LC64" s="115">
        <f t="shared" si="421"/>
        <v>12</v>
      </c>
      <c r="LD64" s="65">
        <f t="shared" si="207"/>
        <v>-0.23685254507274106</v>
      </c>
      <c r="LE64" s="115">
        <f t="shared" si="422"/>
        <v>41</v>
      </c>
      <c r="LF64" s="65">
        <f t="shared" si="208"/>
        <v>0.40833333333333333</v>
      </c>
      <c r="LG64" s="115">
        <f t="shared" si="423"/>
        <v>41</v>
      </c>
      <c r="LH64" s="69">
        <f t="shared" si="318"/>
        <v>46.436403508771932</v>
      </c>
      <c r="LI64" s="69">
        <f t="shared" si="319"/>
        <v>37.637587188170215</v>
      </c>
      <c r="LJ64" s="69">
        <f t="shared" si="320"/>
        <v>35.208333333333336</v>
      </c>
      <c r="LK64" s="69">
        <f t="shared" si="424"/>
        <v>69.282324030275475</v>
      </c>
      <c r="LL64" s="71">
        <f t="shared" si="425"/>
        <v>37</v>
      </c>
      <c r="LM64" s="68"/>
      <c r="LN64" s="72">
        <f t="shared" ref="LN64:LN66" si="429">IFERROR(RANK(LK64,(LK$63:LK$66),0),"")</f>
        <v>3</v>
      </c>
      <c r="LO64" s="73">
        <f t="shared" si="428"/>
        <v>37</v>
      </c>
      <c r="LP64" s="68"/>
      <c r="LQ64" s="68"/>
      <c r="LR64" s="68"/>
    </row>
    <row r="65" spans="1:334" s="74" customFormat="1" ht="15" customHeight="1">
      <c r="A65" s="65">
        <f t="shared" si="211"/>
        <v>6</v>
      </c>
      <c r="B65" s="65">
        <f t="shared" si="212"/>
        <v>5</v>
      </c>
      <c r="C65" s="117">
        <v>51</v>
      </c>
      <c r="D65" s="121" t="s">
        <v>295</v>
      </c>
      <c r="E65" s="120" t="s">
        <v>673</v>
      </c>
      <c r="F65" s="120"/>
      <c r="G65" s="120"/>
      <c r="H65" s="120" t="s">
        <v>11</v>
      </c>
      <c r="I65" s="287" t="s">
        <v>586</v>
      </c>
      <c r="J65" s="120" t="s">
        <v>296</v>
      </c>
      <c r="K65" s="120" t="s">
        <v>12</v>
      </c>
      <c r="L65" s="105" t="s">
        <v>297</v>
      </c>
      <c r="M65" s="120" t="s">
        <v>35</v>
      </c>
      <c r="N65" s="93"/>
      <c r="O65" s="94" t="str">
        <f t="shared" si="219"/>
        <v/>
      </c>
      <c r="P65" s="94" t="str">
        <f t="shared" si="321"/>
        <v/>
      </c>
      <c r="Q65" s="93"/>
      <c r="R65" s="94" t="str">
        <f t="shared" si="220"/>
        <v/>
      </c>
      <c r="S65" s="94" t="str">
        <f t="shared" si="322"/>
        <v/>
      </c>
      <c r="T65" s="93"/>
      <c r="U65" s="94" t="str">
        <f t="shared" si="221"/>
        <v/>
      </c>
      <c r="V65" s="94" t="str">
        <f t="shared" si="323"/>
        <v/>
      </c>
      <c r="W65" s="93"/>
      <c r="X65" s="94" t="str">
        <f t="shared" si="222"/>
        <v/>
      </c>
      <c r="Y65" s="94" t="str">
        <f t="shared" si="324"/>
        <v/>
      </c>
      <c r="Z65" s="93"/>
      <c r="AA65" s="94" t="str">
        <f t="shared" si="223"/>
        <v/>
      </c>
      <c r="AB65" s="94" t="str">
        <f t="shared" si="325"/>
        <v/>
      </c>
      <c r="AC65" s="93"/>
      <c r="AD65" s="94" t="str">
        <f t="shared" si="224"/>
        <v/>
      </c>
      <c r="AE65" s="94" t="str">
        <f t="shared" si="326"/>
        <v/>
      </c>
      <c r="AF65" s="93"/>
      <c r="AG65" s="94" t="str">
        <f t="shared" si="225"/>
        <v/>
      </c>
      <c r="AH65" s="94" t="str">
        <f t="shared" si="327"/>
        <v/>
      </c>
      <c r="AI65" s="93"/>
      <c r="AJ65" s="94" t="str">
        <f t="shared" si="226"/>
        <v/>
      </c>
      <c r="AK65" s="94" t="str">
        <f t="shared" si="328"/>
        <v/>
      </c>
      <c r="AL65" s="93"/>
      <c r="AM65" s="94" t="str">
        <f t="shared" si="227"/>
        <v/>
      </c>
      <c r="AN65" s="94" t="str">
        <f t="shared" si="329"/>
        <v/>
      </c>
      <c r="AO65" s="93"/>
      <c r="AP65" s="94" t="str">
        <f t="shared" si="228"/>
        <v/>
      </c>
      <c r="AQ65" s="94" t="str">
        <f t="shared" si="330"/>
        <v/>
      </c>
      <c r="AR65" s="93"/>
      <c r="AS65" s="94" t="str">
        <f t="shared" si="229"/>
        <v/>
      </c>
      <c r="AT65" s="94" t="str">
        <f t="shared" si="331"/>
        <v/>
      </c>
      <c r="AU65" s="93"/>
      <c r="AV65" s="94" t="str">
        <f t="shared" si="230"/>
        <v/>
      </c>
      <c r="AW65" s="94" t="str">
        <f t="shared" si="332"/>
        <v/>
      </c>
      <c r="AX65" s="93"/>
      <c r="AY65" s="94" t="str">
        <f t="shared" si="231"/>
        <v/>
      </c>
      <c r="AZ65" s="94" t="str">
        <f t="shared" si="333"/>
        <v/>
      </c>
      <c r="BA65" s="93"/>
      <c r="BB65" s="94" t="str">
        <f t="shared" si="232"/>
        <v/>
      </c>
      <c r="BC65" s="94" t="str">
        <f t="shared" si="334"/>
        <v/>
      </c>
      <c r="BD65" s="93"/>
      <c r="BE65" s="94" t="str">
        <f t="shared" si="233"/>
        <v/>
      </c>
      <c r="BF65" s="94" t="str">
        <f t="shared" si="335"/>
        <v/>
      </c>
      <c r="BG65" s="93"/>
      <c r="BH65" s="94" t="str">
        <f t="shared" si="234"/>
        <v/>
      </c>
      <c r="BI65" s="94" t="str">
        <f t="shared" si="336"/>
        <v/>
      </c>
      <c r="BJ65" s="93"/>
      <c r="BK65" s="94" t="str">
        <f t="shared" si="235"/>
        <v/>
      </c>
      <c r="BL65" s="94" t="str">
        <f t="shared" si="337"/>
        <v/>
      </c>
      <c r="BM65" s="93">
        <v>96</v>
      </c>
      <c r="BN65" s="94">
        <f t="shared" si="236"/>
        <v>0.39562828403747313</v>
      </c>
      <c r="BO65" s="94">
        <f t="shared" si="338"/>
        <v>0.75</v>
      </c>
      <c r="BP65" s="66">
        <v>95</v>
      </c>
      <c r="BQ65" s="94">
        <f t="shared" si="237"/>
        <v>0.62724532703402136</v>
      </c>
      <c r="BR65" s="94">
        <f t="shared" si="339"/>
        <v>0.66666666666666663</v>
      </c>
      <c r="BS65" s="93"/>
      <c r="BT65" s="94" t="str">
        <f t="shared" si="238"/>
        <v/>
      </c>
      <c r="BU65" s="94" t="str">
        <f t="shared" si="340"/>
        <v/>
      </c>
      <c r="BV65" s="93"/>
      <c r="BW65" s="94" t="str">
        <f t="shared" si="239"/>
        <v/>
      </c>
      <c r="BX65" s="94" t="str">
        <f t="shared" si="341"/>
        <v/>
      </c>
      <c r="BY65" s="93"/>
      <c r="BZ65" s="94" t="str">
        <f t="shared" si="240"/>
        <v/>
      </c>
      <c r="CA65" s="94" t="str">
        <f t="shared" si="342"/>
        <v/>
      </c>
      <c r="CB65" s="93"/>
      <c r="CC65" s="94" t="str">
        <f t="shared" si="241"/>
        <v/>
      </c>
      <c r="CD65" s="94" t="str">
        <f t="shared" si="343"/>
        <v/>
      </c>
      <c r="CE65" s="93" t="s">
        <v>63</v>
      </c>
      <c r="CF65" s="94" t="str">
        <f t="shared" si="242"/>
        <v/>
      </c>
      <c r="CG65" s="94" t="str">
        <f t="shared" si="344"/>
        <v/>
      </c>
      <c r="CH65" s="93"/>
      <c r="CI65" s="94" t="str">
        <f t="shared" si="243"/>
        <v/>
      </c>
      <c r="CJ65" s="94" t="str">
        <f t="shared" si="345"/>
        <v/>
      </c>
      <c r="CK65" s="93"/>
      <c r="CL65" s="94" t="str">
        <f t="shared" si="244"/>
        <v/>
      </c>
      <c r="CM65" s="94" t="str">
        <f t="shared" si="346"/>
        <v/>
      </c>
      <c r="CN65" s="93"/>
      <c r="CO65" s="94" t="str">
        <f t="shared" si="245"/>
        <v/>
      </c>
      <c r="CP65" s="94" t="str">
        <f t="shared" si="347"/>
        <v/>
      </c>
      <c r="CQ65" s="93">
        <v>98</v>
      </c>
      <c r="CR65" s="94">
        <f t="shared" si="246"/>
        <v>0.44038550605054499</v>
      </c>
      <c r="CS65" s="94">
        <f t="shared" si="348"/>
        <v>0.6</v>
      </c>
      <c r="CT65" s="93"/>
      <c r="CU65" s="94" t="str">
        <f t="shared" si="247"/>
        <v/>
      </c>
      <c r="CV65" s="94" t="str">
        <f t="shared" si="349"/>
        <v/>
      </c>
      <c r="CW65" s="93"/>
      <c r="CX65" s="94" t="str">
        <f t="shared" si="248"/>
        <v/>
      </c>
      <c r="CY65" s="94" t="str">
        <f t="shared" si="350"/>
        <v/>
      </c>
      <c r="CZ65" s="93"/>
      <c r="DA65" s="94" t="str">
        <f t="shared" si="249"/>
        <v/>
      </c>
      <c r="DB65" s="94" t="str">
        <f t="shared" si="351"/>
        <v/>
      </c>
      <c r="DC65" s="93"/>
      <c r="DD65" s="94" t="str">
        <f t="shared" si="250"/>
        <v/>
      </c>
      <c r="DE65" s="94" t="str">
        <f t="shared" si="352"/>
        <v/>
      </c>
      <c r="DF65" s="93"/>
      <c r="DG65" s="94"/>
      <c r="DH65" s="94" t="str">
        <f t="shared" si="353"/>
        <v/>
      </c>
      <c r="DI65" s="93"/>
      <c r="DJ65" s="94" t="str">
        <f t="shared" si="251"/>
        <v/>
      </c>
      <c r="DK65" s="94" t="str">
        <f t="shared" si="354"/>
        <v/>
      </c>
      <c r="DL65" s="93"/>
      <c r="DM65" s="94" t="str">
        <f t="shared" si="252"/>
        <v/>
      </c>
      <c r="DN65" s="94" t="str">
        <f t="shared" si="355"/>
        <v/>
      </c>
      <c r="DO65" s="93"/>
      <c r="DP65" s="94" t="str">
        <f t="shared" si="253"/>
        <v/>
      </c>
      <c r="DQ65" s="94" t="str">
        <f t="shared" si="356"/>
        <v/>
      </c>
      <c r="DR65" s="93"/>
      <c r="DS65" s="94" t="str">
        <f t="shared" si="254"/>
        <v/>
      </c>
      <c r="DT65" s="94" t="str">
        <f t="shared" si="357"/>
        <v/>
      </c>
      <c r="DU65" s="93"/>
      <c r="DV65" s="94" t="str">
        <f t="shared" si="255"/>
        <v/>
      </c>
      <c r="DW65" s="94" t="str">
        <f t="shared" si="358"/>
        <v/>
      </c>
      <c r="DX65" s="93"/>
      <c r="DY65" s="94" t="str">
        <f t="shared" si="256"/>
        <v/>
      </c>
      <c r="DZ65" s="94" t="str">
        <f t="shared" si="359"/>
        <v/>
      </c>
      <c r="EA65" s="93"/>
      <c r="EB65" s="94" t="str">
        <f t="shared" si="257"/>
        <v/>
      </c>
      <c r="EC65" s="94" t="str">
        <f t="shared" si="360"/>
        <v/>
      </c>
      <c r="ED65" s="93"/>
      <c r="EE65" s="94" t="str">
        <f t="shared" si="258"/>
        <v/>
      </c>
      <c r="EF65" s="94" t="str">
        <f t="shared" si="361"/>
        <v/>
      </c>
      <c r="EG65" s="93"/>
      <c r="EH65" s="94" t="str">
        <f t="shared" si="259"/>
        <v/>
      </c>
      <c r="EI65" s="94" t="str">
        <f t="shared" si="362"/>
        <v/>
      </c>
      <c r="EJ65" s="93"/>
      <c r="EK65" s="94" t="str">
        <f t="shared" si="260"/>
        <v/>
      </c>
      <c r="EL65" s="94" t="str">
        <f t="shared" si="363"/>
        <v/>
      </c>
      <c r="EM65" s="93"/>
      <c r="EN65" s="94" t="str">
        <f t="shared" si="261"/>
        <v/>
      </c>
      <c r="EO65" s="94" t="str">
        <f t="shared" si="364"/>
        <v/>
      </c>
      <c r="EP65" s="93"/>
      <c r="EQ65" s="94" t="str">
        <f t="shared" si="262"/>
        <v/>
      </c>
      <c r="ER65" s="94" t="str">
        <f t="shared" si="365"/>
        <v/>
      </c>
      <c r="ES65" s="66"/>
      <c r="ET65" s="94" t="str">
        <f t="shared" si="263"/>
        <v/>
      </c>
      <c r="EU65" s="94" t="str">
        <f t="shared" si="366"/>
        <v/>
      </c>
      <c r="EV65" s="93"/>
      <c r="EW65" s="94" t="str">
        <f t="shared" si="264"/>
        <v/>
      </c>
      <c r="EX65" s="94" t="str">
        <f t="shared" si="367"/>
        <v/>
      </c>
      <c r="EY65" s="93"/>
      <c r="EZ65" s="94" t="str">
        <f t="shared" si="265"/>
        <v/>
      </c>
      <c r="FA65" s="94" t="str">
        <f t="shared" si="368"/>
        <v/>
      </c>
      <c r="FB65" s="93"/>
      <c r="FC65" s="94" t="str">
        <f t="shared" si="266"/>
        <v/>
      </c>
      <c r="FD65" s="94" t="str">
        <f t="shared" si="369"/>
        <v/>
      </c>
      <c r="FE65" s="93"/>
      <c r="FF65" s="94" t="str">
        <f t="shared" si="267"/>
        <v/>
      </c>
      <c r="FG65" s="94" t="str">
        <f t="shared" si="370"/>
        <v/>
      </c>
      <c r="FH65" s="93"/>
      <c r="FI65" s="94" t="str">
        <f t="shared" si="268"/>
        <v/>
      </c>
      <c r="FJ65" s="94" t="str">
        <f t="shared" si="371"/>
        <v/>
      </c>
      <c r="FK65" s="93"/>
      <c r="FL65" s="94" t="str">
        <f t="shared" si="269"/>
        <v/>
      </c>
      <c r="FM65" s="94" t="str">
        <f t="shared" si="372"/>
        <v/>
      </c>
      <c r="FN65" s="93"/>
      <c r="FO65" s="94" t="str">
        <f t="shared" si="270"/>
        <v/>
      </c>
      <c r="FP65" s="94" t="str">
        <f t="shared" si="373"/>
        <v/>
      </c>
      <c r="FQ65" s="93"/>
      <c r="FR65" s="94" t="str">
        <f t="shared" si="271"/>
        <v/>
      </c>
      <c r="FS65" s="94" t="str">
        <f t="shared" si="374"/>
        <v/>
      </c>
      <c r="FT65" s="93"/>
      <c r="FU65" s="94" t="str">
        <f t="shared" si="272"/>
        <v/>
      </c>
      <c r="FV65" s="94" t="str">
        <f t="shared" si="375"/>
        <v/>
      </c>
      <c r="FW65" s="96"/>
      <c r="FX65" s="94" t="str">
        <f t="shared" si="273"/>
        <v/>
      </c>
      <c r="FY65" s="94" t="str">
        <f t="shared" si="376"/>
        <v/>
      </c>
      <c r="FZ65" s="93"/>
      <c r="GA65" s="94" t="str">
        <f t="shared" si="274"/>
        <v/>
      </c>
      <c r="GB65" s="94" t="str">
        <f t="shared" si="377"/>
        <v/>
      </c>
      <c r="GC65" s="93"/>
      <c r="GD65" s="94" t="str">
        <f t="shared" si="275"/>
        <v/>
      </c>
      <c r="GE65" s="94" t="str">
        <f t="shared" si="378"/>
        <v/>
      </c>
      <c r="GF65" s="93"/>
      <c r="GG65" s="94" t="str">
        <f t="shared" si="276"/>
        <v/>
      </c>
      <c r="GH65" s="94" t="str">
        <f t="shared" si="379"/>
        <v/>
      </c>
      <c r="GI65" s="93">
        <v>94</v>
      </c>
      <c r="GJ65" s="94">
        <f t="shared" si="277"/>
        <v>0.55738641143329415</v>
      </c>
      <c r="GK65" s="94">
        <f t="shared" si="380"/>
        <v>0.75</v>
      </c>
      <c r="GL65" s="93"/>
      <c r="GM65" s="94" t="str">
        <f t="shared" si="278"/>
        <v/>
      </c>
      <c r="GN65" s="94" t="str">
        <f t="shared" si="381"/>
        <v/>
      </c>
      <c r="GO65" s="93"/>
      <c r="GP65" s="94" t="str">
        <f t="shared" si="279"/>
        <v/>
      </c>
      <c r="GQ65" s="94" t="str">
        <f t="shared" si="382"/>
        <v/>
      </c>
      <c r="GR65" s="93"/>
      <c r="GS65" s="94" t="str">
        <f t="shared" si="280"/>
        <v/>
      </c>
      <c r="GT65" s="94" t="str">
        <f t="shared" si="383"/>
        <v/>
      </c>
      <c r="GU65" s="93"/>
      <c r="GV65" s="94" t="str">
        <f t="shared" si="281"/>
        <v/>
      </c>
      <c r="GW65" s="94" t="str">
        <f t="shared" si="384"/>
        <v/>
      </c>
      <c r="GX65" s="93"/>
      <c r="GY65" s="94" t="str">
        <f t="shared" si="282"/>
        <v/>
      </c>
      <c r="GZ65" s="94" t="str">
        <f t="shared" si="385"/>
        <v/>
      </c>
      <c r="HA65" s="272">
        <v>95</v>
      </c>
      <c r="HB65" s="94">
        <f t="shared" si="283"/>
        <v>0.76509205567600591</v>
      </c>
      <c r="HC65" s="94">
        <f t="shared" si="386"/>
        <v>1</v>
      </c>
      <c r="HD65" s="93"/>
      <c r="HE65" s="94" t="str">
        <f t="shared" si="284"/>
        <v/>
      </c>
      <c r="HF65" s="94" t="str">
        <f t="shared" si="387"/>
        <v/>
      </c>
      <c r="HG65" s="93"/>
      <c r="HH65" s="94" t="str">
        <f t="shared" si="285"/>
        <v/>
      </c>
      <c r="HI65" s="94" t="str">
        <f t="shared" si="388"/>
        <v/>
      </c>
      <c r="HJ65" s="93"/>
      <c r="HK65" s="94" t="str">
        <f t="shared" si="286"/>
        <v/>
      </c>
      <c r="HL65" s="94" t="str">
        <f t="shared" si="389"/>
        <v/>
      </c>
      <c r="HM65" s="93"/>
      <c r="HN65" s="94" t="str">
        <f t="shared" si="287"/>
        <v/>
      </c>
      <c r="HO65" s="94" t="str">
        <f t="shared" si="390"/>
        <v/>
      </c>
      <c r="HP65" s="93"/>
      <c r="HQ65" s="94" t="str">
        <f t="shared" si="288"/>
        <v/>
      </c>
      <c r="HR65" s="94" t="str">
        <f t="shared" si="391"/>
        <v/>
      </c>
      <c r="HS65" s="93"/>
      <c r="HT65" s="94" t="str">
        <f t="shared" si="289"/>
        <v/>
      </c>
      <c r="HU65" s="94" t="str">
        <f t="shared" si="392"/>
        <v/>
      </c>
      <c r="HV65" s="93"/>
      <c r="HW65" s="94" t="str">
        <f t="shared" si="290"/>
        <v/>
      </c>
      <c r="HX65" s="94" t="str">
        <f t="shared" si="393"/>
        <v/>
      </c>
      <c r="HY65" s="93"/>
      <c r="HZ65" s="94" t="str">
        <f t="shared" si="291"/>
        <v/>
      </c>
      <c r="IA65" s="94" t="str">
        <f t="shared" si="394"/>
        <v/>
      </c>
      <c r="IB65" s="93"/>
      <c r="IC65" s="94" t="str">
        <f t="shared" si="292"/>
        <v/>
      </c>
      <c r="ID65" s="94" t="str">
        <f t="shared" si="395"/>
        <v/>
      </c>
      <c r="IE65" s="93"/>
      <c r="IF65" s="94" t="str">
        <f t="shared" si="293"/>
        <v/>
      </c>
      <c r="IG65" s="94" t="str">
        <f t="shared" si="396"/>
        <v/>
      </c>
      <c r="IH65" s="93"/>
      <c r="II65" s="94" t="str">
        <f t="shared" si="294"/>
        <v/>
      </c>
      <c r="IJ65" s="94" t="str">
        <f t="shared" si="397"/>
        <v/>
      </c>
      <c r="IK65" s="93"/>
      <c r="IL65" s="94" t="str">
        <f t="shared" si="295"/>
        <v/>
      </c>
      <c r="IM65" s="94" t="str">
        <f t="shared" si="398"/>
        <v/>
      </c>
      <c r="IN65" s="93"/>
      <c r="IO65" s="94" t="str">
        <f t="shared" si="296"/>
        <v/>
      </c>
      <c r="IP65" s="94" t="str">
        <f t="shared" si="399"/>
        <v/>
      </c>
      <c r="IQ65" s="93"/>
      <c r="IR65" s="94" t="str">
        <f t="shared" si="297"/>
        <v/>
      </c>
      <c r="IS65" s="94" t="str">
        <f t="shared" si="400"/>
        <v/>
      </c>
      <c r="IT65" s="93"/>
      <c r="IU65" s="94" t="str">
        <f t="shared" si="298"/>
        <v/>
      </c>
      <c r="IV65" s="94" t="str">
        <f t="shared" si="401"/>
        <v/>
      </c>
      <c r="IW65" s="93"/>
      <c r="IX65" s="94" t="str">
        <f t="shared" si="299"/>
        <v/>
      </c>
      <c r="IY65" s="94" t="str">
        <f t="shared" si="402"/>
        <v/>
      </c>
      <c r="IZ65" s="93"/>
      <c r="JA65" s="94" t="str">
        <f t="shared" si="300"/>
        <v/>
      </c>
      <c r="JB65" s="94" t="str">
        <f t="shared" si="403"/>
        <v/>
      </c>
      <c r="JC65" s="93"/>
      <c r="JD65" s="94" t="str">
        <f t="shared" si="301"/>
        <v/>
      </c>
      <c r="JE65" s="94" t="str">
        <f t="shared" si="404"/>
        <v/>
      </c>
      <c r="JF65" s="93"/>
      <c r="JG65" s="94" t="str">
        <f t="shared" si="302"/>
        <v/>
      </c>
      <c r="JH65" s="94" t="str">
        <f t="shared" si="405"/>
        <v/>
      </c>
      <c r="JI65" s="93"/>
      <c r="JJ65" s="94" t="str">
        <f t="shared" si="303"/>
        <v/>
      </c>
      <c r="JK65" s="94" t="str">
        <f t="shared" si="406"/>
        <v/>
      </c>
      <c r="JL65" s="93"/>
      <c r="JM65" s="94" t="str">
        <f t="shared" si="304"/>
        <v/>
      </c>
      <c r="JN65" s="94" t="str">
        <f t="shared" si="407"/>
        <v/>
      </c>
      <c r="JO65" s="93"/>
      <c r="JP65" s="94" t="str">
        <f t="shared" si="305"/>
        <v/>
      </c>
      <c r="JQ65" s="94" t="str">
        <f t="shared" si="408"/>
        <v/>
      </c>
      <c r="JR65" s="93"/>
      <c r="JS65" s="94" t="str">
        <f t="shared" si="306"/>
        <v/>
      </c>
      <c r="JT65" s="94" t="str">
        <f t="shared" si="409"/>
        <v/>
      </c>
      <c r="JU65" s="93"/>
      <c r="JV65" s="94" t="str">
        <f t="shared" si="307"/>
        <v/>
      </c>
      <c r="JW65" s="94" t="str">
        <f t="shared" si="410"/>
        <v/>
      </c>
      <c r="JX65" s="93"/>
      <c r="JY65" s="94" t="str">
        <f t="shared" si="308"/>
        <v/>
      </c>
      <c r="JZ65" s="94" t="str">
        <f t="shared" si="411"/>
        <v/>
      </c>
      <c r="KA65" s="93"/>
      <c r="KB65" s="94" t="str">
        <f t="shared" si="309"/>
        <v/>
      </c>
      <c r="KC65" s="94" t="str">
        <f t="shared" si="412"/>
        <v/>
      </c>
      <c r="KD65" s="93"/>
      <c r="KE65" s="94" t="str">
        <f t="shared" si="310"/>
        <v/>
      </c>
      <c r="KF65" s="94" t="str">
        <f t="shared" si="413"/>
        <v/>
      </c>
      <c r="KG65" s="93"/>
      <c r="KH65" s="94" t="str">
        <f t="shared" si="311"/>
        <v/>
      </c>
      <c r="KI65" s="94" t="str">
        <f t="shared" si="414"/>
        <v/>
      </c>
      <c r="KJ65" s="93"/>
      <c r="KK65" s="94" t="str">
        <f t="shared" si="312"/>
        <v/>
      </c>
      <c r="KL65" s="94" t="str">
        <f t="shared" si="415"/>
        <v/>
      </c>
      <c r="KM65" s="93"/>
      <c r="KN65" s="94" t="str">
        <f t="shared" si="313"/>
        <v/>
      </c>
      <c r="KO65" s="94" t="str">
        <f t="shared" si="416"/>
        <v/>
      </c>
      <c r="KP65" s="93"/>
      <c r="KQ65" s="94" t="str">
        <f t="shared" si="314"/>
        <v/>
      </c>
      <c r="KR65" s="94" t="str">
        <f t="shared" si="417"/>
        <v/>
      </c>
      <c r="KS65" s="93"/>
      <c r="KT65" s="94" t="str">
        <f t="shared" si="315"/>
        <v/>
      </c>
      <c r="KU65" s="94" t="str">
        <f t="shared" si="418"/>
        <v/>
      </c>
      <c r="KV65" s="93"/>
      <c r="KW65" s="94" t="str">
        <f t="shared" si="316"/>
        <v/>
      </c>
      <c r="KX65" s="94" t="str">
        <f t="shared" si="419"/>
        <v/>
      </c>
      <c r="KY65" s="96"/>
      <c r="KZ65" s="94" t="str">
        <f t="shared" si="317"/>
        <v/>
      </c>
      <c r="LA65" s="94" t="str">
        <f t="shared" si="420"/>
        <v/>
      </c>
      <c r="LB65" s="65">
        <f t="shared" si="218"/>
        <v>95.6</v>
      </c>
      <c r="LC65" s="115">
        <f t="shared" si="421"/>
        <v>4</v>
      </c>
      <c r="LD65" s="65">
        <f t="shared" si="207"/>
        <v>0.55714751684626795</v>
      </c>
      <c r="LE65" s="115">
        <f t="shared" si="422"/>
        <v>16</v>
      </c>
      <c r="LF65" s="65">
        <f t="shared" si="208"/>
        <v>0.7533333333333333</v>
      </c>
      <c r="LG65" s="115">
        <f t="shared" si="423"/>
        <v>14</v>
      </c>
      <c r="LH65" s="69">
        <f t="shared" si="318"/>
        <v>48.68421052631578</v>
      </c>
      <c r="LI65" s="69">
        <f t="shared" si="319"/>
        <v>45.050015533157968</v>
      </c>
      <c r="LJ65" s="69">
        <f t="shared" si="320"/>
        <v>43.833333333333329</v>
      </c>
      <c r="LK65" s="69">
        <f t="shared" si="424"/>
        <v>87.567559392807084</v>
      </c>
      <c r="LL65" s="71">
        <f t="shared" si="425"/>
        <v>10</v>
      </c>
      <c r="LM65" s="68"/>
      <c r="LN65" s="72">
        <f t="shared" si="429"/>
        <v>1</v>
      </c>
      <c r="LO65" s="73">
        <f t="shared" si="428"/>
        <v>10</v>
      </c>
      <c r="LP65" s="68"/>
      <c r="LQ65" s="68"/>
      <c r="LR65" s="68"/>
    </row>
    <row r="66" spans="1:334" s="74" customFormat="1" ht="15" customHeight="1">
      <c r="A66" s="65">
        <f t="shared" si="211"/>
        <v>5</v>
      </c>
      <c r="B66" s="65">
        <f t="shared" si="212"/>
        <v>4</v>
      </c>
      <c r="C66" s="117">
        <v>43</v>
      </c>
      <c r="D66" s="121" t="s">
        <v>298</v>
      </c>
      <c r="E66" s="120" t="s">
        <v>674</v>
      </c>
      <c r="F66" s="120"/>
      <c r="G66" s="120"/>
      <c r="H66" s="120" t="s">
        <v>11</v>
      </c>
      <c r="I66" s="287" t="s">
        <v>587</v>
      </c>
      <c r="J66" s="120" t="s">
        <v>299</v>
      </c>
      <c r="K66" s="120" t="s">
        <v>12</v>
      </c>
      <c r="L66" s="105" t="s">
        <v>300</v>
      </c>
      <c r="M66" s="120" t="s">
        <v>35</v>
      </c>
      <c r="N66" s="93"/>
      <c r="O66" s="94" t="str">
        <f t="shared" si="219"/>
        <v/>
      </c>
      <c r="P66" s="94" t="str">
        <f t="shared" si="321"/>
        <v/>
      </c>
      <c r="Q66" s="93"/>
      <c r="R66" s="94" t="str">
        <f t="shared" si="220"/>
        <v/>
      </c>
      <c r="S66" s="94" t="str">
        <f t="shared" si="322"/>
        <v/>
      </c>
      <c r="T66" s="93"/>
      <c r="U66" s="94" t="str">
        <f t="shared" si="221"/>
        <v/>
      </c>
      <c r="V66" s="94" t="str">
        <f t="shared" si="323"/>
        <v/>
      </c>
      <c r="W66" s="93"/>
      <c r="X66" s="94" t="str">
        <f t="shared" si="222"/>
        <v/>
      </c>
      <c r="Y66" s="94" t="str">
        <f t="shared" si="324"/>
        <v/>
      </c>
      <c r="Z66" s="93"/>
      <c r="AA66" s="94" t="str">
        <f t="shared" si="223"/>
        <v/>
      </c>
      <c r="AB66" s="94" t="str">
        <f t="shared" si="325"/>
        <v/>
      </c>
      <c r="AC66" s="93"/>
      <c r="AD66" s="94" t="str">
        <f t="shared" si="224"/>
        <v/>
      </c>
      <c r="AE66" s="94" t="str">
        <f t="shared" si="326"/>
        <v/>
      </c>
      <c r="AF66" s="93"/>
      <c r="AG66" s="94" t="str">
        <f t="shared" si="225"/>
        <v/>
      </c>
      <c r="AH66" s="94" t="str">
        <f t="shared" si="327"/>
        <v/>
      </c>
      <c r="AI66" s="93"/>
      <c r="AJ66" s="94" t="str">
        <f t="shared" si="226"/>
        <v/>
      </c>
      <c r="AK66" s="94" t="str">
        <f t="shared" si="328"/>
        <v/>
      </c>
      <c r="AL66" s="114"/>
      <c r="AM66" s="94" t="str">
        <f t="shared" si="227"/>
        <v/>
      </c>
      <c r="AN66" s="94" t="str">
        <f t="shared" si="329"/>
        <v/>
      </c>
      <c r="AO66" s="93"/>
      <c r="AP66" s="94" t="str">
        <f t="shared" si="228"/>
        <v/>
      </c>
      <c r="AQ66" s="94" t="str">
        <f t="shared" si="330"/>
        <v/>
      </c>
      <c r="AR66" s="93"/>
      <c r="AS66" s="94" t="str">
        <f t="shared" si="229"/>
        <v/>
      </c>
      <c r="AT66" s="94" t="str">
        <f t="shared" si="331"/>
        <v/>
      </c>
      <c r="AU66" s="93"/>
      <c r="AV66" s="94" t="str">
        <f t="shared" si="230"/>
        <v/>
      </c>
      <c r="AW66" s="94" t="str">
        <f t="shared" si="332"/>
        <v/>
      </c>
      <c r="AX66" s="93"/>
      <c r="AY66" s="94" t="str">
        <f t="shared" si="231"/>
        <v/>
      </c>
      <c r="AZ66" s="94" t="str">
        <f t="shared" si="333"/>
        <v/>
      </c>
      <c r="BA66" s="93"/>
      <c r="BB66" s="94" t="str">
        <f t="shared" si="232"/>
        <v/>
      </c>
      <c r="BC66" s="94" t="str">
        <f t="shared" si="334"/>
        <v/>
      </c>
      <c r="BD66" s="93"/>
      <c r="BE66" s="94" t="str">
        <f t="shared" si="233"/>
        <v/>
      </c>
      <c r="BF66" s="94" t="str">
        <f t="shared" si="335"/>
        <v/>
      </c>
      <c r="BG66" s="93"/>
      <c r="BH66" s="94" t="str">
        <f t="shared" si="234"/>
        <v/>
      </c>
      <c r="BI66" s="94" t="str">
        <f t="shared" si="336"/>
        <v/>
      </c>
      <c r="BJ66" s="93"/>
      <c r="BK66" s="94" t="str">
        <f t="shared" si="235"/>
        <v/>
      </c>
      <c r="BL66" s="94" t="str">
        <f t="shared" si="337"/>
        <v/>
      </c>
      <c r="BM66" s="93">
        <v>100</v>
      </c>
      <c r="BN66" s="94">
        <f t="shared" si="236"/>
        <v>1.0550087574332601</v>
      </c>
      <c r="BO66" s="94">
        <f t="shared" si="338"/>
        <v>1</v>
      </c>
      <c r="BP66" s="66"/>
      <c r="BQ66" s="94" t="str">
        <f t="shared" si="237"/>
        <v/>
      </c>
      <c r="BR66" s="94" t="str">
        <f t="shared" si="339"/>
        <v/>
      </c>
      <c r="BS66" s="93"/>
      <c r="BT66" s="94" t="str">
        <f t="shared" si="238"/>
        <v/>
      </c>
      <c r="BU66" s="94" t="str">
        <f t="shared" si="340"/>
        <v/>
      </c>
      <c r="BV66" s="93"/>
      <c r="BW66" s="94" t="str">
        <f t="shared" si="239"/>
        <v/>
      </c>
      <c r="BX66" s="94" t="str">
        <f t="shared" si="341"/>
        <v/>
      </c>
      <c r="BY66" s="114"/>
      <c r="BZ66" s="94" t="str">
        <f t="shared" si="240"/>
        <v/>
      </c>
      <c r="CA66" s="94" t="str">
        <f t="shared" si="342"/>
        <v/>
      </c>
      <c r="CB66" s="93"/>
      <c r="CC66" s="94" t="str">
        <f t="shared" si="241"/>
        <v/>
      </c>
      <c r="CD66" s="94" t="str">
        <f t="shared" si="343"/>
        <v/>
      </c>
      <c r="CE66" s="93" t="s">
        <v>63</v>
      </c>
      <c r="CF66" s="94" t="str">
        <f t="shared" si="242"/>
        <v/>
      </c>
      <c r="CG66" s="94" t="str">
        <f t="shared" si="344"/>
        <v/>
      </c>
      <c r="CH66" s="93"/>
      <c r="CI66" s="94" t="str">
        <f t="shared" si="243"/>
        <v/>
      </c>
      <c r="CJ66" s="94" t="str">
        <f t="shared" si="345"/>
        <v/>
      </c>
      <c r="CK66" s="93"/>
      <c r="CL66" s="94" t="str">
        <f t="shared" si="244"/>
        <v/>
      </c>
      <c r="CM66" s="94" t="str">
        <f t="shared" si="346"/>
        <v/>
      </c>
      <c r="CN66" s="114"/>
      <c r="CO66" s="94" t="str">
        <f t="shared" si="245"/>
        <v/>
      </c>
      <c r="CP66" s="94" t="str">
        <f t="shared" si="347"/>
        <v/>
      </c>
      <c r="CQ66" s="93">
        <v>84</v>
      </c>
      <c r="CR66" s="94">
        <f t="shared" si="246"/>
        <v>-1.8716384007148121</v>
      </c>
      <c r="CS66" s="94">
        <f t="shared" si="348"/>
        <v>0</v>
      </c>
      <c r="CT66" s="93"/>
      <c r="CU66" s="94" t="str">
        <f t="shared" si="247"/>
        <v/>
      </c>
      <c r="CV66" s="94" t="str">
        <f t="shared" si="349"/>
        <v/>
      </c>
      <c r="CW66" s="93"/>
      <c r="CX66" s="94" t="str">
        <f t="shared" si="248"/>
        <v/>
      </c>
      <c r="CY66" s="94" t="str">
        <f t="shared" si="350"/>
        <v/>
      </c>
      <c r="CZ66" s="93"/>
      <c r="DA66" s="94" t="str">
        <f t="shared" si="249"/>
        <v/>
      </c>
      <c r="DB66" s="94" t="str">
        <f t="shared" si="351"/>
        <v/>
      </c>
      <c r="DC66" s="93"/>
      <c r="DD66" s="94" t="str">
        <f t="shared" si="250"/>
        <v/>
      </c>
      <c r="DE66" s="94" t="str">
        <f t="shared" si="352"/>
        <v/>
      </c>
      <c r="DF66" s="93"/>
      <c r="DG66" s="94"/>
      <c r="DH66" s="94" t="str">
        <f t="shared" si="353"/>
        <v/>
      </c>
      <c r="DI66" s="93"/>
      <c r="DJ66" s="94" t="str">
        <f t="shared" si="251"/>
        <v/>
      </c>
      <c r="DK66" s="94" t="str">
        <f t="shared" si="354"/>
        <v/>
      </c>
      <c r="DL66" s="93"/>
      <c r="DM66" s="94" t="str">
        <f t="shared" si="252"/>
        <v/>
      </c>
      <c r="DN66" s="94" t="str">
        <f t="shared" si="355"/>
        <v/>
      </c>
      <c r="DO66" s="114"/>
      <c r="DP66" s="94" t="str">
        <f t="shared" si="253"/>
        <v/>
      </c>
      <c r="DQ66" s="94" t="str">
        <f t="shared" si="356"/>
        <v/>
      </c>
      <c r="DR66" s="93"/>
      <c r="DS66" s="94" t="str">
        <f t="shared" si="254"/>
        <v/>
      </c>
      <c r="DT66" s="94" t="str">
        <f t="shared" si="357"/>
        <v/>
      </c>
      <c r="DU66" s="93"/>
      <c r="DV66" s="94" t="str">
        <f t="shared" si="255"/>
        <v/>
      </c>
      <c r="DW66" s="94" t="str">
        <f t="shared" si="358"/>
        <v/>
      </c>
      <c r="DX66" s="93"/>
      <c r="DY66" s="94" t="str">
        <f t="shared" si="256"/>
        <v/>
      </c>
      <c r="DZ66" s="94" t="str">
        <f t="shared" si="359"/>
        <v/>
      </c>
      <c r="EA66" s="93"/>
      <c r="EB66" s="94" t="str">
        <f t="shared" si="257"/>
        <v/>
      </c>
      <c r="EC66" s="94" t="str">
        <f t="shared" si="360"/>
        <v/>
      </c>
      <c r="ED66" s="93"/>
      <c r="EE66" s="94" t="str">
        <f t="shared" si="258"/>
        <v/>
      </c>
      <c r="EF66" s="94" t="str">
        <f t="shared" si="361"/>
        <v/>
      </c>
      <c r="EG66" s="93"/>
      <c r="EH66" s="94" t="str">
        <f t="shared" si="259"/>
        <v/>
      </c>
      <c r="EI66" s="94" t="str">
        <f t="shared" si="362"/>
        <v/>
      </c>
      <c r="EJ66" s="93"/>
      <c r="EK66" s="94" t="str">
        <f t="shared" si="260"/>
        <v/>
      </c>
      <c r="EL66" s="94" t="str">
        <f t="shared" si="363"/>
        <v/>
      </c>
      <c r="EM66" s="93"/>
      <c r="EN66" s="94" t="str">
        <f t="shared" si="261"/>
        <v/>
      </c>
      <c r="EO66" s="94" t="str">
        <f t="shared" si="364"/>
        <v/>
      </c>
      <c r="EP66" s="93"/>
      <c r="EQ66" s="94" t="str">
        <f t="shared" si="262"/>
        <v/>
      </c>
      <c r="ER66" s="94" t="str">
        <f t="shared" si="365"/>
        <v/>
      </c>
      <c r="ES66" s="66"/>
      <c r="ET66" s="94" t="str">
        <f t="shared" si="263"/>
        <v/>
      </c>
      <c r="EU66" s="94" t="str">
        <f t="shared" si="366"/>
        <v/>
      </c>
      <c r="EV66" s="93"/>
      <c r="EW66" s="94" t="str">
        <f t="shared" si="264"/>
        <v/>
      </c>
      <c r="EX66" s="94" t="str">
        <f t="shared" si="367"/>
        <v/>
      </c>
      <c r="EY66" s="93"/>
      <c r="EZ66" s="94" t="str">
        <f t="shared" si="265"/>
        <v/>
      </c>
      <c r="FA66" s="94" t="str">
        <f t="shared" si="368"/>
        <v/>
      </c>
      <c r="FB66" s="93"/>
      <c r="FC66" s="94" t="str">
        <f t="shared" si="266"/>
        <v/>
      </c>
      <c r="FD66" s="94" t="str">
        <f t="shared" si="369"/>
        <v/>
      </c>
      <c r="FE66" s="93"/>
      <c r="FF66" s="94" t="str">
        <f t="shared" si="267"/>
        <v/>
      </c>
      <c r="FG66" s="94" t="str">
        <f t="shared" si="370"/>
        <v/>
      </c>
      <c r="FH66" s="93"/>
      <c r="FI66" s="94" t="str">
        <f t="shared" si="268"/>
        <v/>
      </c>
      <c r="FJ66" s="94" t="str">
        <f t="shared" si="371"/>
        <v/>
      </c>
      <c r="FK66" s="93"/>
      <c r="FL66" s="94" t="str">
        <f t="shared" si="269"/>
        <v/>
      </c>
      <c r="FM66" s="94" t="str">
        <f t="shared" si="372"/>
        <v/>
      </c>
      <c r="FN66" s="93"/>
      <c r="FO66" s="94" t="str">
        <f t="shared" si="270"/>
        <v/>
      </c>
      <c r="FP66" s="94" t="str">
        <f t="shared" si="373"/>
        <v/>
      </c>
      <c r="FQ66" s="93"/>
      <c r="FR66" s="94" t="str">
        <f t="shared" si="271"/>
        <v/>
      </c>
      <c r="FS66" s="94" t="str">
        <f t="shared" si="374"/>
        <v/>
      </c>
      <c r="FT66" s="93"/>
      <c r="FU66" s="94" t="str">
        <f t="shared" si="272"/>
        <v/>
      </c>
      <c r="FV66" s="94" t="str">
        <f t="shared" si="375"/>
        <v/>
      </c>
      <c r="FW66" s="96"/>
      <c r="FX66" s="94" t="str">
        <f t="shared" si="273"/>
        <v/>
      </c>
      <c r="FY66" s="94" t="str">
        <f t="shared" si="376"/>
        <v/>
      </c>
      <c r="FZ66" s="93"/>
      <c r="GA66" s="94" t="str">
        <f t="shared" si="274"/>
        <v/>
      </c>
      <c r="GB66" s="94" t="str">
        <f t="shared" si="377"/>
        <v/>
      </c>
      <c r="GC66" s="93"/>
      <c r="GD66" s="94" t="str">
        <f t="shared" si="275"/>
        <v/>
      </c>
      <c r="GE66" s="94" t="str">
        <f t="shared" si="378"/>
        <v/>
      </c>
      <c r="GF66" s="93"/>
      <c r="GG66" s="94" t="str">
        <f t="shared" si="276"/>
        <v/>
      </c>
      <c r="GH66" s="94" t="str">
        <f t="shared" si="379"/>
        <v/>
      </c>
      <c r="GI66" s="93">
        <v>93</v>
      </c>
      <c r="GJ66" s="94">
        <f t="shared" si="277"/>
        <v>0.41803980857497058</v>
      </c>
      <c r="GK66" s="94">
        <f t="shared" si="380"/>
        <v>0.5</v>
      </c>
      <c r="GL66" s="93"/>
      <c r="GM66" s="94" t="str">
        <f t="shared" si="278"/>
        <v/>
      </c>
      <c r="GN66" s="94" t="str">
        <f t="shared" si="381"/>
        <v/>
      </c>
      <c r="GO66" s="93"/>
      <c r="GP66" s="94" t="str">
        <f t="shared" si="279"/>
        <v/>
      </c>
      <c r="GQ66" s="94" t="str">
        <f t="shared" si="382"/>
        <v/>
      </c>
      <c r="GR66" s="93"/>
      <c r="GS66" s="94" t="str">
        <f t="shared" si="280"/>
        <v/>
      </c>
      <c r="GT66" s="94" t="str">
        <f t="shared" si="383"/>
        <v/>
      </c>
      <c r="GU66" s="93"/>
      <c r="GV66" s="94" t="str">
        <f t="shared" si="281"/>
        <v/>
      </c>
      <c r="GW66" s="94" t="str">
        <f t="shared" si="384"/>
        <v/>
      </c>
      <c r="GX66" s="93"/>
      <c r="GY66" s="94" t="str">
        <f t="shared" si="282"/>
        <v/>
      </c>
      <c r="GZ66" s="94" t="str">
        <f t="shared" si="385"/>
        <v/>
      </c>
      <c r="HA66" s="274">
        <v>95</v>
      </c>
      <c r="HB66" s="94">
        <f t="shared" si="283"/>
        <v>0.76509205567600591</v>
      </c>
      <c r="HC66" s="94">
        <f t="shared" si="386"/>
        <v>1</v>
      </c>
      <c r="HD66" s="93"/>
      <c r="HE66" s="94" t="str">
        <f t="shared" si="284"/>
        <v/>
      </c>
      <c r="HF66" s="94" t="str">
        <f t="shared" si="387"/>
        <v/>
      </c>
      <c r="HG66" s="93"/>
      <c r="HH66" s="94" t="str">
        <f t="shared" si="285"/>
        <v/>
      </c>
      <c r="HI66" s="94" t="str">
        <f t="shared" si="388"/>
        <v/>
      </c>
      <c r="HJ66" s="93"/>
      <c r="HK66" s="94" t="str">
        <f t="shared" si="286"/>
        <v/>
      </c>
      <c r="HL66" s="94" t="str">
        <f t="shared" si="389"/>
        <v/>
      </c>
      <c r="HM66" s="93"/>
      <c r="HN66" s="94" t="str">
        <f t="shared" si="287"/>
        <v/>
      </c>
      <c r="HO66" s="94" t="str">
        <f t="shared" si="390"/>
        <v/>
      </c>
      <c r="HP66" s="93"/>
      <c r="HQ66" s="94" t="str">
        <f t="shared" si="288"/>
        <v/>
      </c>
      <c r="HR66" s="94" t="str">
        <f t="shared" si="391"/>
        <v/>
      </c>
      <c r="HS66" s="114"/>
      <c r="HT66" s="94" t="str">
        <f t="shared" si="289"/>
        <v/>
      </c>
      <c r="HU66" s="94" t="str">
        <f t="shared" si="392"/>
        <v/>
      </c>
      <c r="HV66" s="93"/>
      <c r="HW66" s="94" t="str">
        <f t="shared" si="290"/>
        <v/>
      </c>
      <c r="HX66" s="94" t="str">
        <f t="shared" si="393"/>
        <v/>
      </c>
      <c r="HY66" s="93"/>
      <c r="HZ66" s="94" t="str">
        <f t="shared" si="291"/>
        <v/>
      </c>
      <c r="IA66" s="94" t="str">
        <f t="shared" si="394"/>
        <v/>
      </c>
      <c r="IB66" s="93"/>
      <c r="IC66" s="94" t="str">
        <f t="shared" si="292"/>
        <v/>
      </c>
      <c r="ID66" s="94" t="str">
        <f t="shared" si="395"/>
        <v/>
      </c>
      <c r="IE66" s="93"/>
      <c r="IF66" s="94" t="str">
        <f t="shared" si="293"/>
        <v/>
      </c>
      <c r="IG66" s="94" t="str">
        <f t="shared" si="396"/>
        <v/>
      </c>
      <c r="IH66" s="93"/>
      <c r="II66" s="94" t="str">
        <f t="shared" si="294"/>
        <v/>
      </c>
      <c r="IJ66" s="94" t="str">
        <f t="shared" si="397"/>
        <v/>
      </c>
      <c r="IK66" s="93"/>
      <c r="IL66" s="94" t="str">
        <f t="shared" si="295"/>
        <v/>
      </c>
      <c r="IM66" s="94" t="str">
        <f t="shared" si="398"/>
        <v/>
      </c>
      <c r="IN66" s="93"/>
      <c r="IO66" s="94" t="str">
        <f t="shared" si="296"/>
        <v/>
      </c>
      <c r="IP66" s="94" t="str">
        <f t="shared" si="399"/>
        <v/>
      </c>
      <c r="IQ66" s="93"/>
      <c r="IR66" s="94" t="str">
        <f t="shared" si="297"/>
        <v/>
      </c>
      <c r="IS66" s="94" t="str">
        <f t="shared" si="400"/>
        <v/>
      </c>
      <c r="IT66" s="93"/>
      <c r="IU66" s="94" t="str">
        <f t="shared" si="298"/>
        <v/>
      </c>
      <c r="IV66" s="94" t="str">
        <f t="shared" si="401"/>
        <v/>
      </c>
      <c r="IW66" s="93"/>
      <c r="IX66" s="94" t="str">
        <f t="shared" si="299"/>
        <v/>
      </c>
      <c r="IY66" s="94" t="str">
        <f t="shared" si="402"/>
        <v/>
      </c>
      <c r="IZ66" s="93"/>
      <c r="JA66" s="94" t="str">
        <f t="shared" si="300"/>
        <v/>
      </c>
      <c r="JB66" s="94" t="str">
        <f t="shared" si="403"/>
        <v/>
      </c>
      <c r="JC66" s="93"/>
      <c r="JD66" s="94" t="str">
        <f t="shared" si="301"/>
        <v/>
      </c>
      <c r="JE66" s="94" t="str">
        <f t="shared" si="404"/>
        <v/>
      </c>
      <c r="JF66" s="93"/>
      <c r="JG66" s="94" t="str">
        <f t="shared" si="302"/>
        <v/>
      </c>
      <c r="JH66" s="94" t="str">
        <f t="shared" si="405"/>
        <v/>
      </c>
      <c r="JI66" s="93"/>
      <c r="JJ66" s="94" t="str">
        <f t="shared" si="303"/>
        <v/>
      </c>
      <c r="JK66" s="94" t="str">
        <f t="shared" si="406"/>
        <v/>
      </c>
      <c r="JL66" s="93"/>
      <c r="JM66" s="94" t="str">
        <f t="shared" si="304"/>
        <v/>
      </c>
      <c r="JN66" s="94" t="str">
        <f t="shared" si="407"/>
        <v/>
      </c>
      <c r="JO66" s="93"/>
      <c r="JP66" s="94" t="str">
        <f t="shared" si="305"/>
        <v/>
      </c>
      <c r="JQ66" s="94" t="str">
        <f t="shared" si="408"/>
        <v/>
      </c>
      <c r="JR66" s="93"/>
      <c r="JS66" s="94" t="str">
        <f t="shared" si="306"/>
        <v/>
      </c>
      <c r="JT66" s="94" t="str">
        <f t="shared" si="409"/>
        <v/>
      </c>
      <c r="JU66" s="93"/>
      <c r="JV66" s="94" t="str">
        <f t="shared" si="307"/>
        <v/>
      </c>
      <c r="JW66" s="94" t="str">
        <f t="shared" si="410"/>
        <v/>
      </c>
      <c r="JX66" s="93"/>
      <c r="JY66" s="94" t="str">
        <f t="shared" si="308"/>
        <v/>
      </c>
      <c r="JZ66" s="94" t="str">
        <f t="shared" si="411"/>
        <v/>
      </c>
      <c r="KA66" s="93"/>
      <c r="KB66" s="94" t="str">
        <f t="shared" si="309"/>
        <v/>
      </c>
      <c r="KC66" s="94" t="str">
        <f t="shared" si="412"/>
        <v/>
      </c>
      <c r="KD66" s="93"/>
      <c r="KE66" s="94" t="str">
        <f t="shared" si="310"/>
        <v/>
      </c>
      <c r="KF66" s="94" t="str">
        <f t="shared" si="413"/>
        <v/>
      </c>
      <c r="KG66" s="93"/>
      <c r="KH66" s="94" t="str">
        <f t="shared" si="311"/>
        <v/>
      </c>
      <c r="KI66" s="94" t="str">
        <f t="shared" si="414"/>
        <v/>
      </c>
      <c r="KJ66" s="93"/>
      <c r="KK66" s="94" t="str">
        <f t="shared" si="312"/>
        <v/>
      </c>
      <c r="KL66" s="94" t="str">
        <f t="shared" si="415"/>
        <v/>
      </c>
      <c r="KM66" s="93"/>
      <c r="KN66" s="94" t="str">
        <f t="shared" si="313"/>
        <v/>
      </c>
      <c r="KO66" s="94" t="str">
        <f t="shared" si="416"/>
        <v/>
      </c>
      <c r="KP66" s="93"/>
      <c r="KQ66" s="94" t="str">
        <f t="shared" si="314"/>
        <v/>
      </c>
      <c r="KR66" s="94" t="str">
        <f t="shared" si="417"/>
        <v/>
      </c>
      <c r="KS66" s="93"/>
      <c r="KT66" s="94" t="str">
        <f t="shared" si="315"/>
        <v/>
      </c>
      <c r="KU66" s="94" t="str">
        <f t="shared" si="418"/>
        <v/>
      </c>
      <c r="KV66" s="93"/>
      <c r="KW66" s="94" t="str">
        <f t="shared" si="316"/>
        <v/>
      </c>
      <c r="KX66" s="94" t="str">
        <f t="shared" si="419"/>
        <v/>
      </c>
      <c r="KY66" s="96"/>
      <c r="KZ66" s="94" t="str">
        <f t="shared" si="317"/>
        <v/>
      </c>
      <c r="LA66" s="94" t="str">
        <f t="shared" si="420"/>
        <v/>
      </c>
      <c r="LB66" s="65">
        <f t="shared" ref="LB66:LB81" si="430">IFERROR(AVERAGE($N66,$Q66,$T66,$W66,$Z66,$AC66,$AF66,$AI66,$AL66,$AO66,$AR66,$AU66,$AX66,$BA66,$BD66,$BG66,$BJ66,$BM66,$BP66,$BS66,$BV66,$BY66,$CB66,$CE66,$CH66,$CK66,$CN66,$CQ66,$CT66,$CW66,$CZ66,$DC66,$DF66,$DI66,$DL66,$DO66,$DR66,$DU66,$DX66,$EA66,$ED66,$EG66,$EJ66,$EM66,$EP66,$ES66,$EV66,$EY66,$FB66,$FE66,$FH66,$FK66,$FN66,$FQ66,$FT66,$FW66,$FZ66,$GC66,$GF66,$GI66,$GL66,$GO66,$GR66,$GU66,$GX66,$HA66,$HD66,$HG66,$HJ66,$HM66,$HP66,$HS66,$HV66,$HY66,$IB66,$IE66,$IH66, $IK66, $IN66,$IQ66,$IT66,$IW66,$IZ66,$JC66,$JF66,$JI66,$JL66,$JO66,$JR66,$JU66,$JX66,$KA66,$KD66,$KG66,$KJ66,$KJ66,$KM66,$KP66,$KS66,$KV66,$KY66),"")</f>
        <v>93</v>
      </c>
      <c r="LC66" s="115">
        <f t="shared" si="421"/>
        <v>9</v>
      </c>
      <c r="LD66" s="65">
        <f t="shared" si="207"/>
        <v>9.1625555242356105E-2</v>
      </c>
      <c r="LE66" s="115">
        <f t="shared" si="422"/>
        <v>33</v>
      </c>
      <c r="LF66" s="65">
        <f t="shared" si="208"/>
        <v>0.625</v>
      </c>
      <c r="LG66" s="115">
        <f t="shared" si="423"/>
        <v>28</v>
      </c>
      <c r="LH66" s="69">
        <f t="shared" si="318"/>
        <v>47.258771929824562</v>
      </c>
      <c r="LI66" s="69">
        <f t="shared" si="319"/>
        <v>40.704111358960162</v>
      </c>
      <c r="LJ66" s="69">
        <f t="shared" si="320"/>
        <v>40.625</v>
      </c>
      <c r="LK66" s="69">
        <f t="shared" si="424"/>
        <v>78.587883288784724</v>
      </c>
      <c r="LL66" s="71">
        <f t="shared" si="425"/>
        <v>24</v>
      </c>
      <c r="LM66" s="68"/>
      <c r="LN66" s="72">
        <f t="shared" si="429"/>
        <v>2</v>
      </c>
      <c r="LO66" s="72">
        <f t="shared" si="214"/>
        <v>24</v>
      </c>
      <c r="LP66" s="68"/>
      <c r="LQ66" s="68"/>
      <c r="LR66" s="68"/>
    </row>
    <row r="67" spans="1:334" s="74" customFormat="1" ht="15" customHeight="1">
      <c r="A67" s="50">
        <f t="shared" si="211"/>
        <v>5</v>
      </c>
      <c r="B67" s="50">
        <f t="shared" si="212"/>
        <v>5</v>
      </c>
      <c r="C67" s="117">
        <v>47</v>
      </c>
      <c r="D67" s="118" t="s">
        <v>301</v>
      </c>
      <c r="E67" s="286" t="s">
        <v>675</v>
      </c>
      <c r="F67" s="286" t="s">
        <v>676</v>
      </c>
      <c r="G67" s="76"/>
      <c r="H67" s="119" t="s">
        <v>5</v>
      </c>
      <c r="I67" s="286" t="s">
        <v>588</v>
      </c>
      <c r="J67" s="119" t="s">
        <v>302</v>
      </c>
      <c r="K67" s="119" t="s">
        <v>10</v>
      </c>
      <c r="L67" s="53" t="s">
        <v>303</v>
      </c>
      <c r="M67" s="292" t="s">
        <v>35</v>
      </c>
      <c r="N67" s="86"/>
      <c r="O67" s="91" t="str">
        <f t="shared" si="219"/>
        <v/>
      </c>
      <c r="P67" s="85" t="str">
        <f t="shared" si="321"/>
        <v/>
      </c>
      <c r="Q67" s="86"/>
      <c r="R67" s="91" t="str">
        <f t="shared" si="220"/>
        <v/>
      </c>
      <c r="S67" s="85" t="str">
        <f t="shared" si="322"/>
        <v/>
      </c>
      <c r="T67" s="86"/>
      <c r="U67" s="91" t="str">
        <f t="shared" si="221"/>
        <v/>
      </c>
      <c r="V67" s="85" t="str">
        <f t="shared" si="323"/>
        <v/>
      </c>
      <c r="W67" s="92"/>
      <c r="X67" s="91" t="str">
        <f t="shared" si="222"/>
        <v/>
      </c>
      <c r="Y67" s="85" t="str">
        <f t="shared" si="324"/>
        <v/>
      </c>
      <c r="Z67" s="86"/>
      <c r="AA67" s="91" t="str">
        <f t="shared" si="223"/>
        <v/>
      </c>
      <c r="AB67" s="85" t="str">
        <f t="shared" si="325"/>
        <v/>
      </c>
      <c r="AC67" s="86"/>
      <c r="AD67" s="91" t="str">
        <f t="shared" si="224"/>
        <v/>
      </c>
      <c r="AE67" s="85" t="str">
        <f t="shared" si="326"/>
        <v/>
      </c>
      <c r="AF67" s="86"/>
      <c r="AG67" s="91" t="str">
        <f t="shared" si="225"/>
        <v/>
      </c>
      <c r="AH67" s="85" t="str">
        <f t="shared" si="327"/>
        <v/>
      </c>
      <c r="AI67" s="271">
        <v>92</v>
      </c>
      <c r="AJ67" s="91">
        <f t="shared" si="226"/>
        <v>-0.43368248218718397</v>
      </c>
      <c r="AK67" s="85">
        <f t="shared" si="328"/>
        <v>0.33333333333333331</v>
      </c>
      <c r="AL67" s="56"/>
      <c r="AM67" s="91" t="str">
        <f t="shared" si="227"/>
        <v/>
      </c>
      <c r="AN67" s="85" t="str">
        <f t="shared" si="329"/>
        <v/>
      </c>
      <c r="AO67" s="86"/>
      <c r="AP67" s="91" t="str">
        <f t="shared" si="228"/>
        <v/>
      </c>
      <c r="AQ67" s="85" t="str">
        <f t="shared" si="330"/>
        <v/>
      </c>
      <c r="AR67" s="86"/>
      <c r="AS67" s="91" t="str">
        <f t="shared" si="229"/>
        <v/>
      </c>
      <c r="AT67" s="85" t="str">
        <f t="shared" si="331"/>
        <v/>
      </c>
      <c r="AU67" s="86"/>
      <c r="AV67" s="91" t="str">
        <f t="shared" si="230"/>
        <v/>
      </c>
      <c r="AW67" s="85" t="str">
        <f t="shared" si="332"/>
        <v/>
      </c>
      <c r="AX67" s="86"/>
      <c r="AY67" s="91" t="str">
        <f t="shared" si="231"/>
        <v/>
      </c>
      <c r="AZ67" s="85" t="str">
        <f t="shared" si="333"/>
        <v/>
      </c>
      <c r="BA67" s="86"/>
      <c r="BB67" s="91" t="str">
        <f t="shared" si="232"/>
        <v/>
      </c>
      <c r="BC67" s="85" t="str">
        <f t="shared" si="334"/>
        <v/>
      </c>
      <c r="BD67" s="86">
        <v>68</v>
      </c>
      <c r="BE67" s="91">
        <f t="shared" si="233"/>
        <v>-0.35822052399561533</v>
      </c>
      <c r="BF67" s="85">
        <f t="shared" si="335"/>
        <v>0.5</v>
      </c>
      <c r="BG67" s="86"/>
      <c r="BH67" s="91" t="str">
        <f t="shared" si="234"/>
        <v/>
      </c>
      <c r="BI67" s="85" t="str">
        <f t="shared" si="336"/>
        <v/>
      </c>
      <c r="BJ67" s="86"/>
      <c r="BK67" s="91" t="str">
        <f t="shared" si="235"/>
        <v/>
      </c>
      <c r="BL67" s="85" t="str">
        <f t="shared" si="337"/>
        <v/>
      </c>
      <c r="BM67" s="86"/>
      <c r="BN67" s="91" t="str">
        <f t="shared" si="236"/>
        <v/>
      </c>
      <c r="BO67" s="85" t="str">
        <f t="shared" si="338"/>
        <v/>
      </c>
      <c r="BP67" s="51"/>
      <c r="BQ67" s="91" t="str">
        <f t="shared" si="237"/>
        <v/>
      </c>
      <c r="BR67" s="85" t="str">
        <f t="shared" si="339"/>
        <v/>
      </c>
      <c r="BS67" s="86"/>
      <c r="BT67" s="91" t="str">
        <f t="shared" si="238"/>
        <v/>
      </c>
      <c r="BU67" s="85" t="str">
        <f t="shared" si="340"/>
        <v/>
      </c>
      <c r="BV67" s="86"/>
      <c r="BW67" s="91" t="str">
        <f t="shared" si="239"/>
        <v/>
      </c>
      <c r="BX67" s="85" t="str">
        <f t="shared" si="341"/>
        <v/>
      </c>
      <c r="BY67" s="56"/>
      <c r="BZ67" s="91" t="str">
        <f t="shared" si="240"/>
        <v/>
      </c>
      <c r="CA67" s="85" t="str">
        <f t="shared" si="342"/>
        <v/>
      </c>
      <c r="CB67" s="86"/>
      <c r="CC67" s="91" t="str">
        <f t="shared" si="241"/>
        <v/>
      </c>
      <c r="CD67" s="85" t="str">
        <f t="shared" si="343"/>
        <v/>
      </c>
      <c r="CE67" s="86"/>
      <c r="CF67" s="91" t="str">
        <f t="shared" si="242"/>
        <v/>
      </c>
      <c r="CG67" s="85" t="str">
        <f t="shared" si="344"/>
        <v/>
      </c>
      <c r="CH67" s="86"/>
      <c r="CI67" s="91" t="str">
        <f t="shared" si="243"/>
        <v/>
      </c>
      <c r="CJ67" s="85" t="str">
        <f t="shared" si="345"/>
        <v/>
      </c>
      <c r="CK67" s="86"/>
      <c r="CL67" s="91" t="str">
        <f t="shared" si="244"/>
        <v/>
      </c>
      <c r="CM67" s="85" t="str">
        <f t="shared" si="346"/>
        <v/>
      </c>
      <c r="CN67" s="56"/>
      <c r="CO67" s="91" t="str">
        <f t="shared" si="245"/>
        <v/>
      </c>
      <c r="CP67" s="85" t="str">
        <f t="shared" si="347"/>
        <v/>
      </c>
      <c r="CQ67" s="86"/>
      <c r="CR67" s="91" t="str">
        <f t="shared" si="246"/>
        <v/>
      </c>
      <c r="CS67" s="85" t="str">
        <f t="shared" si="348"/>
        <v/>
      </c>
      <c r="CT67" s="86"/>
      <c r="CU67" s="91" t="str">
        <f t="shared" si="247"/>
        <v/>
      </c>
      <c r="CV67" s="85" t="str">
        <f t="shared" si="349"/>
        <v/>
      </c>
      <c r="CW67" s="86"/>
      <c r="CX67" s="91" t="str">
        <f t="shared" si="248"/>
        <v/>
      </c>
      <c r="CY67" s="85" t="str">
        <f t="shared" si="350"/>
        <v/>
      </c>
      <c r="CZ67" s="86"/>
      <c r="DA67" s="91" t="str">
        <f t="shared" si="249"/>
        <v/>
      </c>
      <c r="DB67" s="85" t="str">
        <f t="shared" si="351"/>
        <v/>
      </c>
      <c r="DC67" s="86">
        <v>76</v>
      </c>
      <c r="DD67" s="91">
        <f t="shared" si="250"/>
        <v>-0.5203957574643312</v>
      </c>
      <c r="DE67" s="85">
        <f t="shared" si="352"/>
        <v>0.25</v>
      </c>
      <c r="DF67" s="86"/>
      <c r="DG67" s="91"/>
      <c r="DH67" s="85" t="str">
        <f t="shared" si="353"/>
        <v/>
      </c>
      <c r="DI67" s="86"/>
      <c r="DJ67" s="91" t="str">
        <f t="shared" si="251"/>
        <v/>
      </c>
      <c r="DK67" s="85" t="str">
        <f t="shared" si="354"/>
        <v/>
      </c>
      <c r="DL67" s="86"/>
      <c r="DM67" s="91" t="str">
        <f t="shared" si="252"/>
        <v/>
      </c>
      <c r="DN67" s="85" t="str">
        <f t="shared" si="355"/>
        <v/>
      </c>
      <c r="DO67" s="56"/>
      <c r="DP67" s="91" t="str">
        <f t="shared" si="253"/>
        <v/>
      </c>
      <c r="DQ67" s="85" t="str">
        <f t="shared" si="356"/>
        <v/>
      </c>
      <c r="DR67" s="86"/>
      <c r="DS67" s="91" t="str">
        <f t="shared" si="254"/>
        <v/>
      </c>
      <c r="DT67" s="85" t="str">
        <f t="shared" si="357"/>
        <v/>
      </c>
      <c r="DU67" s="86"/>
      <c r="DV67" s="91" t="str">
        <f t="shared" si="255"/>
        <v/>
      </c>
      <c r="DW67" s="85" t="str">
        <f t="shared" si="358"/>
        <v/>
      </c>
      <c r="DX67" s="86"/>
      <c r="DY67" s="91" t="str">
        <f t="shared" si="256"/>
        <v/>
      </c>
      <c r="DZ67" s="85" t="str">
        <f t="shared" si="359"/>
        <v/>
      </c>
      <c r="EA67" s="86"/>
      <c r="EB67" s="91" t="str">
        <f t="shared" si="257"/>
        <v/>
      </c>
      <c r="EC67" s="85" t="str">
        <f t="shared" si="360"/>
        <v/>
      </c>
      <c r="ED67" s="86"/>
      <c r="EE67" s="91" t="str">
        <f t="shared" si="258"/>
        <v/>
      </c>
      <c r="EF67" s="85" t="str">
        <f t="shared" si="361"/>
        <v/>
      </c>
      <c r="EG67" s="86"/>
      <c r="EH67" s="91" t="str">
        <f t="shared" si="259"/>
        <v/>
      </c>
      <c r="EI67" s="85" t="str">
        <f t="shared" si="362"/>
        <v/>
      </c>
      <c r="EJ67" s="86"/>
      <c r="EK67" s="91" t="str">
        <f t="shared" si="260"/>
        <v/>
      </c>
      <c r="EL67" s="85" t="str">
        <f t="shared" si="363"/>
        <v/>
      </c>
      <c r="EM67" s="86"/>
      <c r="EN67" s="91" t="str">
        <f t="shared" si="261"/>
        <v/>
      </c>
      <c r="EO67" s="85" t="str">
        <f t="shared" si="364"/>
        <v/>
      </c>
      <c r="EP67" s="86"/>
      <c r="EQ67" s="91" t="str">
        <f t="shared" si="262"/>
        <v/>
      </c>
      <c r="ER67" s="85" t="str">
        <f t="shared" si="365"/>
        <v/>
      </c>
      <c r="ES67" s="51"/>
      <c r="ET67" s="91" t="str">
        <f t="shared" si="263"/>
        <v/>
      </c>
      <c r="EU67" s="85" t="str">
        <f t="shared" si="366"/>
        <v/>
      </c>
      <c r="EV67" s="86"/>
      <c r="EW67" s="91" t="str">
        <f t="shared" si="264"/>
        <v/>
      </c>
      <c r="EX67" s="85" t="str">
        <f t="shared" si="367"/>
        <v/>
      </c>
      <c r="EY67" s="86"/>
      <c r="EZ67" s="91" t="str">
        <f t="shared" si="265"/>
        <v/>
      </c>
      <c r="FA67" s="85" t="str">
        <f t="shared" si="368"/>
        <v/>
      </c>
      <c r="FB67" s="86"/>
      <c r="FC67" s="91" t="str">
        <f t="shared" si="266"/>
        <v/>
      </c>
      <c r="FD67" s="85" t="str">
        <f t="shared" si="369"/>
        <v/>
      </c>
      <c r="FE67" s="86"/>
      <c r="FF67" s="91" t="str">
        <f t="shared" si="267"/>
        <v/>
      </c>
      <c r="FG67" s="85" t="str">
        <f t="shared" si="370"/>
        <v/>
      </c>
      <c r="FH67" s="86"/>
      <c r="FI67" s="91" t="str">
        <f t="shared" si="268"/>
        <v/>
      </c>
      <c r="FJ67" s="85" t="str">
        <f t="shared" si="371"/>
        <v/>
      </c>
      <c r="FK67" s="86"/>
      <c r="FL67" s="91" t="str">
        <f t="shared" si="269"/>
        <v/>
      </c>
      <c r="FM67" s="85" t="str">
        <f t="shared" si="372"/>
        <v/>
      </c>
      <c r="FN67" s="86"/>
      <c r="FO67" s="91" t="str">
        <f t="shared" si="270"/>
        <v/>
      </c>
      <c r="FP67" s="85" t="str">
        <f t="shared" si="373"/>
        <v/>
      </c>
      <c r="FQ67" s="86"/>
      <c r="FR67" s="91" t="str">
        <f t="shared" si="271"/>
        <v/>
      </c>
      <c r="FS67" s="85" t="str">
        <f t="shared" si="374"/>
        <v/>
      </c>
      <c r="FT67" s="86"/>
      <c r="FU67" s="91" t="str">
        <f t="shared" si="272"/>
        <v/>
      </c>
      <c r="FV67" s="85" t="str">
        <f t="shared" si="375"/>
        <v/>
      </c>
      <c r="FW67" s="92"/>
      <c r="FX67" s="91" t="str">
        <f t="shared" si="273"/>
        <v/>
      </c>
      <c r="FY67" s="85" t="str">
        <f t="shared" si="376"/>
        <v/>
      </c>
      <c r="FZ67" s="86"/>
      <c r="GA67" s="91" t="str">
        <f t="shared" si="274"/>
        <v/>
      </c>
      <c r="GB67" s="85" t="str">
        <f t="shared" si="377"/>
        <v/>
      </c>
      <c r="GC67" s="86">
        <v>91</v>
      </c>
      <c r="GD67" s="91">
        <f t="shared" si="275"/>
        <v>-0.45397969225022478</v>
      </c>
      <c r="GE67" s="85">
        <f t="shared" si="378"/>
        <v>0.25</v>
      </c>
      <c r="GF67" s="86">
        <v>78</v>
      </c>
      <c r="GG67" s="91">
        <f t="shared" si="276"/>
        <v>-0.9058216273156765</v>
      </c>
      <c r="GH67" s="85">
        <f t="shared" si="379"/>
        <v>0</v>
      </c>
      <c r="GI67" s="86"/>
      <c r="GJ67" s="91" t="str">
        <f t="shared" si="277"/>
        <v/>
      </c>
      <c r="GK67" s="85" t="str">
        <f t="shared" si="380"/>
        <v/>
      </c>
      <c r="GL67" s="86"/>
      <c r="GM67" s="91" t="str">
        <f t="shared" si="278"/>
        <v/>
      </c>
      <c r="GN67" s="85" t="str">
        <f t="shared" si="381"/>
        <v/>
      </c>
      <c r="GO67" s="86"/>
      <c r="GP67" s="91" t="str">
        <f t="shared" si="279"/>
        <v/>
      </c>
      <c r="GQ67" s="85" t="str">
        <f t="shared" si="382"/>
        <v/>
      </c>
      <c r="GR67" s="86"/>
      <c r="GS67" s="91" t="str">
        <f t="shared" si="280"/>
        <v/>
      </c>
      <c r="GT67" s="85" t="str">
        <f t="shared" si="383"/>
        <v/>
      </c>
      <c r="GU67" s="86"/>
      <c r="GV67" s="91" t="str">
        <f t="shared" si="281"/>
        <v/>
      </c>
      <c r="GW67" s="85" t="str">
        <f t="shared" si="384"/>
        <v/>
      </c>
      <c r="GX67" s="86"/>
      <c r="GY67" s="91" t="str">
        <f t="shared" si="282"/>
        <v/>
      </c>
      <c r="GZ67" s="85" t="str">
        <f t="shared" si="385"/>
        <v/>
      </c>
      <c r="HA67" s="56"/>
      <c r="HB67" s="91" t="str">
        <f t="shared" si="283"/>
        <v/>
      </c>
      <c r="HC67" s="85" t="str">
        <f t="shared" si="386"/>
        <v/>
      </c>
      <c r="HD67" s="86"/>
      <c r="HE67" s="91" t="str">
        <f t="shared" si="284"/>
        <v/>
      </c>
      <c r="HF67" s="85" t="str">
        <f t="shared" si="387"/>
        <v/>
      </c>
      <c r="HG67" s="86"/>
      <c r="HH67" s="91" t="str">
        <f t="shared" si="285"/>
        <v/>
      </c>
      <c r="HI67" s="85" t="str">
        <f t="shared" si="388"/>
        <v/>
      </c>
      <c r="HJ67" s="86"/>
      <c r="HK67" s="91" t="str">
        <f t="shared" si="286"/>
        <v/>
      </c>
      <c r="HL67" s="85" t="str">
        <f t="shared" si="389"/>
        <v/>
      </c>
      <c r="HM67" s="86"/>
      <c r="HN67" s="91" t="str">
        <f t="shared" si="287"/>
        <v/>
      </c>
      <c r="HO67" s="85" t="str">
        <f t="shared" si="390"/>
        <v/>
      </c>
      <c r="HP67" s="86"/>
      <c r="HQ67" s="91" t="str">
        <f t="shared" si="288"/>
        <v/>
      </c>
      <c r="HR67" s="85" t="str">
        <f t="shared" si="391"/>
        <v/>
      </c>
      <c r="HS67" s="56"/>
      <c r="HT67" s="91" t="str">
        <f t="shared" si="289"/>
        <v/>
      </c>
      <c r="HU67" s="85" t="str">
        <f t="shared" si="392"/>
        <v/>
      </c>
      <c r="HV67" s="86"/>
      <c r="HW67" s="91" t="str">
        <f t="shared" si="290"/>
        <v/>
      </c>
      <c r="HX67" s="85" t="str">
        <f t="shared" si="393"/>
        <v/>
      </c>
      <c r="HY67" s="86"/>
      <c r="HZ67" s="91" t="str">
        <f t="shared" si="291"/>
        <v/>
      </c>
      <c r="IA67" s="85" t="str">
        <f t="shared" si="394"/>
        <v/>
      </c>
      <c r="IB67" s="86"/>
      <c r="IC67" s="91" t="str">
        <f t="shared" si="292"/>
        <v/>
      </c>
      <c r="ID67" s="85" t="str">
        <f t="shared" si="395"/>
        <v/>
      </c>
      <c r="IE67" s="86"/>
      <c r="IF67" s="91" t="str">
        <f t="shared" si="293"/>
        <v/>
      </c>
      <c r="IG67" s="85" t="str">
        <f t="shared" si="396"/>
        <v/>
      </c>
      <c r="IH67" s="86"/>
      <c r="II67" s="91" t="str">
        <f t="shared" si="294"/>
        <v/>
      </c>
      <c r="IJ67" s="85" t="str">
        <f t="shared" si="397"/>
        <v/>
      </c>
      <c r="IK67" s="86"/>
      <c r="IL67" s="91" t="str">
        <f t="shared" si="295"/>
        <v/>
      </c>
      <c r="IM67" s="85" t="str">
        <f t="shared" si="398"/>
        <v/>
      </c>
      <c r="IN67" s="86"/>
      <c r="IO67" s="91" t="str">
        <f t="shared" si="296"/>
        <v/>
      </c>
      <c r="IP67" s="85" t="str">
        <f t="shared" si="399"/>
        <v/>
      </c>
      <c r="IQ67" s="86"/>
      <c r="IR67" s="91" t="str">
        <f t="shared" si="297"/>
        <v/>
      </c>
      <c r="IS67" s="85" t="str">
        <f t="shared" si="400"/>
        <v/>
      </c>
      <c r="IT67" s="86"/>
      <c r="IU67" s="91" t="str">
        <f t="shared" si="298"/>
        <v/>
      </c>
      <c r="IV67" s="85" t="str">
        <f t="shared" si="401"/>
        <v/>
      </c>
      <c r="IW67" s="86"/>
      <c r="IX67" s="91" t="str">
        <f t="shared" si="299"/>
        <v/>
      </c>
      <c r="IY67" s="85" t="str">
        <f t="shared" si="402"/>
        <v/>
      </c>
      <c r="IZ67" s="86"/>
      <c r="JA67" s="91" t="str">
        <f t="shared" si="300"/>
        <v/>
      </c>
      <c r="JB67" s="85" t="str">
        <f t="shared" si="403"/>
        <v/>
      </c>
      <c r="JC67" s="86"/>
      <c r="JD67" s="91" t="str">
        <f t="shared" si="301"/>
        <v/>
      </c>
      <c r="JE67" s="85" t="str">
        <f t="shared" si="404"/>
        <v/>
      </c>
      <c r="JF67" s="86"/>
      <c r="JG67" s="91" t="str">
        <f t="shared" si="302"/>
        <v/>
      </c>
      <c r="JH67" s="85" t="str">
        <f t="shared" si="405"/>
        <v/>
      </c>
      <c r="JI67" s="86"/>
      <c r="JJ67" s="91" t="str">
        <f t="shared" si="303"/>
        <v/>
      </c>
      <c r="JK67" s="85" t="str">
        <f t="shared" si="406"/>
        <v/>
      </c>
      <c r="JL67" s="86"/>
      <c r="JM67" s="91" t="str">
        <f t="shared" si="304"/>
        <v/>
      </c>
      <c r="JN67" s="85" t="str">
        <f t="shared" si="407"/>
        <v/>
      </c>
      <c r="JO67" s="86"/>
      <c r="JP67" s="91" t="str">
        <f t="shared" si="305"/>
        <v/>
      </c>
      <c r="JQ67" s="85" t="str">
        <f t="shared" si="408"/>
        <v/>
      </c>
      <c r="JR67" s="86"/>
      <c r="JS67" s="91" t="str">
        <f t="shared" si="306"/>
        <v/>
      </c>
      <c r="JT67" s="85" t="str">
        <f t="shared" si="409"/>
        <v/>
      </c>
      <c r="JU67" s="86"/>
      <c r="JV67" s="91" t="str">
        <f t="shared" si="307"/>
        <v/>
      </c>
      <c r="JW67" s="85" t="str">
        <f t="shared" si="410"/>
        <v/>
      </c>
      <c r="JX67" s="86"/>
      <c r="JY67" s="91" t="str">
        <f t="shared" si="308"/>
        <v/>
      </c>
      <c r="JZ67" s="85" t="str">
        <f t="shared" si="411"/>
        <v/>
      </c>
      <c r="KA67" s="86"/>
      <c r="KB67" s="91" t="str">
        <f t="shared" si="309"/>
        <v/>
      </c>
      <c r="KC67" s="85" t="str">
        <f t="shared" si="412"/>
        <v/>
      </c>
      <c r="KD67" s="86"/>
      <c r="KE67" s="91" t="str">
        <f t="shared" si="310"/>
        <v/>
      </c>
      <c r="KF67" s="85" t="str">
        <f t="shared" si="413"/>
        <v/>
      </c>
      <c r="KG67" s="86"/>
      <c r="KH67" s="91" t="str">
        <f t="shared" si="311"/>
        <v/>
      </c>
      <c r="KI67" s="85" t="str">
        <f t="shared" si="414"/>
        <v/>
      </c>
      <c r="KJ67" s="86"/>
      <c r="KK67" s="91" t="str">
        <f t="shared" si="312"/>
        <v/>
      </c>
      <c r="KL67" s="85" t="str">
        <f t="shared" si="415"/>
        <v/>
      </c>
      <c r="KM67" s="86"/>
      <c r="KN67" s="91" t="str">
        <f t="shared" si="313"/>
        <v/>
      </c>
      <c r="KO67" s="85" t="str">
        <f t="shared" si="416"/>
        <v/>
      </c>
      <c r="KP67" s="86"/>
      <c r="KQ67" s="91" t="str">
        <f t="shared" si="314"/>
        <v/>
      </c>
      <c r="KR67" s="85" t="str">
        <f t="shared" si="417"/>
        <v/>
      </c>
      <c r="KS67" s="86"/>
      <c r="KT67" s="91" t="str">
        <f t="shared" si="315"/>
        <v/>
      </c>
      <c r="KU67" s="85" t="str">
        <f t="shared" si="418"/>
        <v/>
      </c>
      <c r="KV67" s="86"/>
      <c r="KW67" s="91" t="str">
        <f t="shared" si="316"/>
        <v/>
      </c>
      <c r="KX67" s="85" t="str">
        <f t="shared" si="419"/>
        <v/>
      </c>
      <c r="KY67" s="92"/>
      <c r="KZ67" s="91" t="str">
        <f t="shared" si="317"/>
        <v/>
      </c>
      <c r="LA67" s="85" t="str">
        <f t="shared" si="420"/>
        <v/>
      </c>
      <c r="LB67" s="50">
        <f t="shared" si="430"/>
        <v>81</v>
      </c>
      <c r="LC67" s="57">
        <f t="shared" si="421"/>
        <v>42</v>
      </c>
      <c r="LD67" s="50">
        <f t="shared" si="207"/>
        <v>-0.53442001664260641</v>
      </c>
      <c r="LE67" s="57">
        <f t="shared" si="422"/>
        <v>45</v>
      </c>
      <c r="LF67" s="50">
        <f t="shared" si="208"/>
        <v>0.26666666666666666</v>
      </c>
      <c r="LG67" s="57">
        <f t="shared" si="423"/>
        <v>46</v>
      </c>
      <c r="LH67" s="58">
        <f t="shared" si="318"/>
        <v>40.679824561403507</v>
      </c>
      <c r="LI67" s="58">
        <f t="shared" si="319"/>
        <v>34.859630779099056</v>
      </c>
      <c r="LJ67" s="58">
        <f t="shared" si="320"/>
        <v>31.666666666666668</v>
      </c>
      <c r="LK67" s="58">
        <f t="shared" si="424"/>
        <v>57.206122007169242</v>
      </c>
      <c r="LL67" s="60">
        <f t="shared" si="425"/>
        <v>45</v>
      </c>
      <c r="LM67" s="55"/>
      <c r="LN67" s="61">
        <f>IFERROR(RANK(LK67,(LK$67:LK$69),0),"")</f>
        <v>3</v>
      </c>
      <c r="LO67" s="61">
        <f t="shared" si="214"/>
        <v>45</v>
      </c>
      <c r="LP67" s="64"/>
      <c r="LQ67" s="64"/>
      <c r="LR67" s="64"/>
      <c r="LS67" s="62"/>
      <c r="LT67" s="62"/>
      <c r="LU67" s="63"/>
      <c r="LV67" s="63"/>
    </row>
    <row r="68" spans="1:334" s="63" customFormat="1" ht="15" customHeight="1">
      <c r="A68" s="50">
        <f t="shared" si="211"/>
        <v>6</v>
      </c>
      <c r="B68" s="50">
        <f t="shared" si="212"/>
        <v>5</v>
      </c>
      <c r="C68" s="117">
        <v>8</v>
      </c>
      <c r="D68" s="118" t="s">
        <v>304</v>
      </c>
      <c r="E68" s="286" t="s">
        <v>677</v>
      </c>
      <c r="F68" s="76"/>
      <c r="G68" s="76"/>
      <c r="H68" s="119" t="s">
        <v>7</v>
      </c>
      <c r="I68" s="286" t="s">
        <v>589</v>
      </c>
      <c r="J68" s="119" t="s">
        <v>305</v>
      </c>
      <c r="K68" s="119" t="s">
        <v>10</v>
      </c>
      <c r="L68" s="104" t="s">
        <v>306</v>
      </c>
      <c r="M68" s="292" t="s">
        <v>35</v>
      </c>
      <c r="N68" s="86"/>
      <c r="O68" s="91" t="str">
        <f t="shared" ref="O68:O99" si="431">IF(COUNT(N68)=0,"",(N68-N$105)/N$106)</f>
        <v/>
      </c>
      <c r="P68" s="85" t="str">
        <f t="shared" si="321"/>
        <v/>
      </c>
      <c r="Q68" s="86"/>
      <c r="R68" s="91" t="str">
        <f t="shared" ref="R68:R99" si="432">IF(COUNT(Q68)=0,"",(Q68-Q$105)/Q$106)</f>
        <v/>
      </c>
      <c r="S68" s="85" t="str">
        <f t="shared" si="322"/>
        <v/>
      </c>
      <c r="T68" s="86"/>
      <c r="U68" s="91" t="str">
        <f t="shared" ref="U68:U99" si="433">IF(COUNT(T68)=0,"",(T68-T$105)/T$106)</f>
        <v/>
      </c>
      <c r="V68" s="85" t="str">
        <f t="shared" si="323"/>
        <v/>
      </c>
      <c r="W68" s="86">
        <v>95</v>
      </c>
      <c r="X68" s="91">
        <f t="shared" ref="X68:X99" si="434">IF(COUNT(W68)=0,"",(W68-W$105)/W$106)</f>
        <v>0.94812244473631468</v>
      </c>
      <c r="Y68" s="85">
        <f t="shared" si="324"/>
        <v>1</v>
      </c>
      <c r="Z68" s="86"/>
      <c r="AA68" s="91" t="str">
        <f t="shared" ref="AA68:AA99" si="435">IF(COUNT(Z68)=0,"",(Z68-Z$105)/Z$106)</f>
        <v/>
      </c>
      <c r="AB68" s="85" t="str">
        <f t="shared" si="325"/>
        <v/>
      </c>
      <c r="AC68" s="86"/>
      <c r="AD68" s="91" t="str">
        <f t="shared" ref="AD68:AD99" si="436">IF(COUNT(AC68)=0,"",(AC68-AC$105)/AC$106)</f>
        <v/>
      </c>
      <c r="AE68" s="85" t="str">
        <f t="shared" si="326"/>
        <v/>
      </c>
      <c r="AF68" s="86"/>
      <c r="AG68" s="91" t="str">
        <f t="shared" ref="AG68:AG99" si="437">IF(COUNT(AF68)=0,"",(AF68-AF$105)/AF$106)</f>
        <v/>
      </c>
      <c r="AH68" s="85" t="str">
        <f t="shared" si="327"/>
        <v/>
      </c>
      <c r="AI68" s="271">
        <v>98</v>
      </c>
      <c r="AJ68" s="91">
        <f t="shared" ref="AJ68:AJ99" si="438">IF(COUNT(AI68)=0,"",(AI68-AI$105)/AI$106)</f>
        <v>0.72280413697863999</v>
      </c>
      <c r="AK68" s="85">
        <f t="shared" si="328"/>
        <v>0.66666666666666663</v>
      </c>
      <c r="AL68" s="56"/>
      <c r="AM68" s="91" t="str">
        <f t="shared" ref="AM68:AM99" si="439">IF(COUNT(AL68)=0,"",(AL68-AL$105)/AL$106)</f>
        <v/>
      </c>
      <c r="AN68" s="85" t="str">
        <f t="shared" si="329"/>
        <v/>
      </c>
      <c r="AO68" s="86"/>
      <c r="AP68" s="91" t="str">
        <f t="shared" ref="AP68:AP99" si="440">IF(COUNT(AO68)=0,"",(AO68-AO$105)/AO$106)</f>
        <v/>
      </c>
      <c r="AQ68" s="85" t="str">
        <f t="shared" si="330"/>
        <v/>
      </c>
      <c r="AR68" s="86"/>
      <c r="AS68" s="91" t="str">
        <f t="shared" ref="AS68:AS99" si="441">IF(COUNT(AR68)=0,"",(AR68-AR$105)/AR$106)</f>
        <v/>
      </c>
      <c r="AT68" s="85" t="str">
        <f t="shared" si="331"/>
        <v/>
      </c>
      <c r="AU68" s="86"/>
      <c r="AV68" s="91" t="str">
        <f t="shared" ref="AV68:AV99" si="442">IF(COUNT(AU68)=0,"",(AU68-AU$105)/AU$106)</f>
        <v/>
      </c>
      <c r="AW68" s="85" t="str">
        <f t="shared" si="332"/>
        <v/>
      </c>
      <c r="AX68" s="86"/>
      <c r="AY68" s="91" t="str">
        <f t="shared" ref="AY68:AY99" si="443">IF(COUNT(AX68)=0,"",(AX68-AX$105)/AX$106)</f>
        <v/>
      </c>
      <c r="AZ68" s="85" t="str">
        <f t="shared" si="333"/>
        <v/>
      </c>
      <c r="BA68" s="86">
        <v>93</v>
      </c>
      <c r="BB68" s="91">
        <f t="shared" ref="BB68:BB99" si="444">IF(COUNT(BA68)=0,"",(BA68-BA$105)/BA$106)</f>
        <v>6.4729777800315469E-2</v>
      </c>
      <c r="BC68" s="85">
        <f t="shared" si="334"/>
        <v>0.66666666666666663</v>
      </c>
      <c r="BD68" s="86" t="s">
        <v>54</v>
      </c>
      <c r="BE68" s="91" t="str">
        <f t="shared" ref="BE68:BE99" si="445">IF(COUNT(BD68)=0,"",(BD68-BD$105)/BD$106)</f>
        <v/>
      </c>
      <c r="BF68" s="85" t="str">
        <f t="shared" si="335"/>
        <v/>
      </c>
      <c r="BG68" s="86"/>
      <c r="BH68" s="91" t="str">
        <f t="shared" ref="BH68:BH99" si="446">IF(COUNT(BG68)=0,"",(BG68-BG$105)/BG$106)</f>
        <v/>
      </c>
      <c r="BI68" s="85" t="str">
        <f t="shared" si="336"/>
        <v/>
      </c>
      <c r="BJ68" s="86"/>
      <c r="BK68" s="91" t="str">
        <f t="shared" ref="BK68:BK99" si="447">IF(COUNT(BJ68)=0,"",(BJ68-BJ$105)/BJ$106)</f>
        <v/>
      </c>
      <c r="BL68" s="85" t="str">
        <f t="shared" si="337"/>
        <v/>
      </c>
      <c r="BM68" s="86"/>
      <c r="BN68" s="91" t="str">
        <f t="shared" ref="BN68:BN99" si="448">IF(COUNT(BM68)=0,"",(BM68-BM$105)/BM$106)</f>
        <v/>
      </c>
      <c r="BO68" s="85" t="str">
        <f t="shared" si="338"/>
        <v/>
      </c>
      <c r="BP68" s="51"/>
      <c r="BQ68" s="91" t="str">
        <f t="shared" ref="BQ68:BQ99" si="449">IF(COUNT(BP68)=0,"",(BP68-BP$105)/BP$106)</f>
        <v/>
      </c>
      <c r="BR68" s="85" t="str">
        <f t="shared" si="339"/>
        <v/>
      </c>
      <c r="BS68" s="86"/>
      <c r="BT68" s="91" t="str">
        <f t="shared" ref="BT68:BT99" si="450">IF(COUNT(BS68)=0,"",(BS68-BS$105)/BS$106)</f>
        <v/>
      </c>
      <c r="BU68" s="85" t="str">
        <f t="shared" si="340"/>
        <v/>
      </c>
      <c r="BV68" s="86"/>
      <c r="BW68" s="91" t="str">
        <f t="shared" ref="BW68:BW99" si="451">IF(COUNT(BV68)=0,"",(BV68-BV$105)/BV$106)</f>
        <v/>
      </c>
      <c r="BX68" s="85" t="str">
        <f t="shared" si="341"/>
        <v/>
      </c>
      <c r="BY68" s="56"/>
      <c r="BZ68" s="91" t="str">
        <f t="shared" ref="BZ68:BZ99" si="452">IF(COUNT(BY68)=0,"",(BY68-BY$105)/BY$106)</f>
        <v/>
      </c>
      <c r="CA68" s="85" t="str">
        <f t="shared" si="342"/>
        <v/>
      </c>
      <c r="CB68" s="86"/>
      <c r="CC68" s="91" t="str">
        <f t="shared" ref="CC68:CC99" si="453">IF(COUNT(CB68)=0,"",(CB68-CB$105)/CB$106)</f>
        <v/>
      </c>
      <c r="CD68" s="85" t="str">
        <f t="shared" si="343"/>
        <v/>
      </c>
      <c r="CE68" s="86"/>
      <c r="CF68" s="91" t="str">
        <f t="shared" ref="CF68:CF99" si="454">IF(COUNT(CE68)=0,"",(CE68-CE$105)/CE$106)</f>
        <v/>
      </c>
      <c r="CG68" s="85" t="str">
        <f t="shared" si="344"/>
        <v/>
      </c>
      <c r="CH68" s="86"/>
      <c r="CI68" s="91" t="str">
        <f t="shared" ref="CI68:CI99" si="455">IF(COUNT(CH68)=0,"",(CH68-CH$105)/CH$106)</f>
        <v/>
      </c>
      <c r="CJ68" s="85" t="str">
        <f t="shared" si="345"/>
        <v/>
      </c>
      <c r="CK68" s="86"/>
      <c r="CL68" s="91" t="str">
        <f t="shared" ref="CL68:CL99" si="456">IF(COUNT(CK68)=0,"",(CK68-CK$105)/CK$106)</f>
        <v/>
      </c>
      <c r="CM68" s="85" t="str">
        <f t="shared" si="346"/>
        <v/>
      </c>
      <c r="CN68" s="56"/>
      <c r="CO68" s="91" t="str">
        <f t="shared" ref="CO68:CO99" si="457">IF(COUNT(CN68)=0,"",(CN68-CN$105)/CN$106)</f>
        <v/>
      </c>
      <c r="CP68" s="85" t="str">
        <f t="shared" si="347"/>
        <v/>
      </c>
      <c r="CQ68" s="86"/>
      <c r="CR68" s="91" t="str">
        <f t="shared" ref="CR68:CR99" si="458">IF(COUNT(CQ68)=0,"",(CQ68-CQ$105)/CQ$106)</f>
        <v/>
      </c>
      <c r="CS68" s="85" t="str">
        <f t="shared" si="348"/>
        <v/>
      </c>
      <c r="CT68" s="86"/>
      <c r="CU68" s="91" t="str">
        <f t="shared" ref="CU68:CU99" si="459">IF(COUNT(CT68)=0,"",(CT68-CT$105)/CT$106)</f>
        <v/>
      </c>
      <c r="CV68" s="85" t="str">
        <f t="shared" si="349"/>
        <v/>
      </c>
      <c r="CW68" s="86"/>
      <c r="CX68" s="91" t="str">
        <f t="shared" ref="CX68:CX99" si="460">IF(COUNT(CW68)=0,"",(CW68-CW$105)/CW$106)</f>
        <v/>
      </c>
      <c r="CY68" s="85" t="str">
        <f t="shared" si="350"/>
        <v/>
      </c>
      <c r="CZ68" s="86"/>
      <c r="DA68" s="91" t="str">
        <f t="shared" ref="DA68:DA99" si="461">IF(COUNT(CZ68)=0,"",(CZ68-CZ$105)/CZ$106)</f>
        <v/>
      </c>
      <c r="DB68" s="85" t="str">
        <f t="shared" si="351"/>
        <v/>
      </c>
      <c r="DC68" s="86">
        <v>81</v>
      </c>
      <c r="DD68" s="91">
        <f t="shared" ref="DD68:DD99" si="462">IF(COUNT(DC68)=0,"",(DC68-DC$105)/DC$106)</f>
        <v>-5.57566882997493E-2</v>
      </c>
      <c r="DE68" s="85">
        <f t="shared" si="352"/>
        <v>0.5</v>
      </c>
      <c r="DF68" s="86"/>
      <c r="DG68" s="91"/>
      <c r="DH68" s="85" t="str">
        <f t="shared" si="353"/>
        <v/>
      </c>
      <c r="DI68" s="86"/>
      <c r="DJ68" s="91" t="str">
        <f t="shared" ref="DJ68:DJ99" si="463">IF(COUNT(DI68)=0,"",(DI68-DI$105)/DI$106)</f>
        <v/>
      </c>
      <c r="DK68" s="85" t="str">
        <f t="shared" si="354"/>
        <v/>
      </c>
      <c r="DL68" s="86"/>
      <c r="DM68" s="91" t="str">
        <f t="shared" ref="DM68:DM99" si="464">IF(COUNT(DL68)=0,"",(DL68-DL$105)/DL$106)</f>
        <v/>
      </c>
      <c r="DN68" s="85" t="str">
        <f t="shared" si="355"/>
        <v/>
      </c>
      <c r="DO68" s="56"/>
      <c r="DP68" s="91" t="str">
        <f t="shared" ref="DP68:DP99" si="465">IF(COUNT(DO68)=0,"",(DO68-DO$105)/DO$106)</f>
        <v/>
      </c>
      <c r="DQ68" s="85" t="str">
        <f t="shared" si="356"/>
        <v/>
      </c>
      <c r="DR68" s="86"/>
      <c r="DS68" s="91" t="str">
        <f t="shared" ref="DS68:DS99" si="466">IF(COUNT(DR68)=0,"",(DR68-DR$105)/DR$106)</f>
        <v/>
      </c>
      <c r="DT68" s="85" t="str">
        <f t="shared" si="357"/>
        <v/>
      </c>
      <c r="DU68" s="86"/>
      <c r="DV68" s="91" t="str">
        <f t="shared" ref="DV68:DV99" si="467">IF(COUNT(DU68)=0,"",(DU68-DU$105)/DU$106)</f>
        <v/>
      </c>
      <c r="DW68" s="85" t="str">
        <f t="shared" si="358"/>
        <v/>
      </c>
      <c r="DX68" s="86"/>
      <c r="DY68" s="91" t="str">
        <f t="shared" ref="DY68:DY99" si="468">IF(COUNT(DX68)=0,"",(DX68-DX$105)/DX$106)</f>
        <v/>
      </c>
      <c r="DZ68" s="85" t="str">
        <f t="shared" si="359"/>
        <v/>
      </c>
      <c r="EA68" s="86"/>
      <c r="EB68" s="91" t="str">
        <f t="shared" ref="EB68:EB99" si="469">IF(COUNT(EA68)=0,"",(EA68-EA$105)/EA$106)</f>
        <v/>
      </c>
      <c r="EC68" s="85" t="str">
        <f t="shared" si="360"/>
        <v/>
      </c>
      <c r="ED68" s="86"/>
      <c r="EE68" s="91" t="str">
        <f t="shared" ref="EE68:EE99" si="470">IF(COUNT(ED68)=0,"",(ED68-ED$105)/ED$106)</f>
        <v/>
      </c>
      <c r="EF68" s="85" t="str">
        <f t="shared" si="361"/>
        <v/>
      </c>
      <c r="EG68" s="86"/>
      <c r="EH68" s="91" t="str">
        <f t="shared" ref="EH68:EH99" si="471">IF(COUNT(EG68)=0,"",(EG68-EG$105)/EG$106)</f>
        <v/>
      </c>
      <c r="EI68" s="85" t="str">
        <f t="shared" si="362"/>
        <v/>
      </c>
      <c r="EJ68" s="86"/>
      <c r="EK68" s="91" t="str">
        <f t="shared" ref="EK68:EK99" si="472">IF(COUNT(EJ68)=0,"",(EJ68-EJ$105)/EJ$106)</f>
        <v/>
      </c>
      <c r="EL68" s="85" t="str">
        <f t="shared" si="363"/>
        <v/>
      </c>
      <c r="EM68" s="86"/>
      <c r="EN68" s="91" t="str">
        <f t="shared" ref="EN68:EN99" si="473">IF(COUNT(EM68)=0,"",(EM68-EM$105)/EM$106)</f>
        <v/>
      </c>
      <c r="EO68" s="85" t="str">
        <f t="shared" si="364"/>
        <v/>
      </c>
      <c r="EP68" s="86"/>
      <c r="EQ68" s="91" t="str">
        <f t="shared" ref="EQ68:EQ99" si="474">IF(COUNT(EP68)=0,"",(EP68-EP$105)/EP$106)</f>
        <v/>
      </c>
      <c r="ER68" s="85" t="str">
        <f t="shared" si="365"/>
        <v/>
      </c>
      <c r="ES68" s="51"/>
      <c r="ET68" s="91" t="str">
        <f t="shared" ref="ET68:ET99" si="475">IF(COUNT(ES68)=0,"",(ES68-ES$105)/ES$106)</f>
        <v/>
      </c>
      <c r="EU68" s="85" t="str">
        <f t="shared" si="366"/>
        <v/>
      </c>
      <c r="EV68" s="86"/>
      <c r="EW68" s="91" t="str">
        <f t="shared" ref="EW68:EW99" si="476">IF(COUNT(EV68)=0,"",(EV68-EV$105)/EV$106)</f>
        <v/>
      </c>
      <c r="EX68" s="85" t="str">
        <f t="shared" si="367"/>
        <v/>
      </c>
      <c r="EY68" s="86"/>
      <c r="EZ68" s="91" t="str">
        <f t="shared" ref="EZ68:EZ99" si="477">IF(COUNT(EY68)=0,"",(EY68-EY$105)/EY$106)</f>
        <v/>
      </c>
      <c r="FA68" s="85" t="str">
        <f t="shared" si="368"/>
        <v/>
      </c>
      <c r="FB68" s="86"/>
      <c r="FC68" s="91" t="str">
        <f t="shared" ref="FC68:FC99" si="478">IF(COUNT(FB68)=0,"",(FB68-FB$105)/FB$106)</f>
        <v/>
      </c>
      <c r="FD68" s="85" t="str">
        <f t="shared" si="369"/>
        <v/>
      </c>
      <c r="FE68" s="86"/>
      <c r="FF68" s="91" t="str">
        <f t="shared" ref="FF68:FF99" si="479">IF(COUNT(FE68)=0,"",(FE68-FE$105)/FE$106)</f>
        <v/>
      </c>
      <c r="FG68" s="85" t="str">
        <f t="shared" si="370"/>
        <v/>
      </c>
      <c r="FH68" s="86"/>
      <c r="FI68" s="91" t="str">
        <f t="shared" ref="FI68:FI99" si="480">IF(COUNT(FH68)=0,"",(FH68-FH$105)/FH$106)</f>
        <v/>
      </c>
      <c r="FJ68" s="85" t="str">
        <f t="shared" si="371"/>
        <v/>
      </c>
      <c r="FK68" s="86"/>
      <c r="FL68" s="91" t="str">
        <f t="shared" ref="FL68:FL99" si="481">IF(COUNT(FK68)=0,"",(FK68-FK$105)/FK$106)</f>
        <v/>
      </c>
      <c r="FM68" s="85" t="str">
        <f t="shared" si="372"/>
        <v/>
      </c>
      <c r="FN68" s="86"/>
      <c r="FO68" s="91" t="str">
        <f t="shared" ref="FO68:FO99" si="482">IF(COUNT(FN68)=0,"",(FN68-FN$105)/FN$106)</f>
        <v/>
      </c>
      <c r="FP68" s="85" t="str">
        <f t="shared" si="373"/>
        <v/>
      </c>
      <c r="FQ68" s="86"/>
      <c r="FR68" s="91" t="str">
        <f t="shared" ref="FR68:FR99" si="483">IF(COUNT(FQ68)=0,"",(FQ68-FQ$105)/FQ$106)</f>
        <v/>
      </c>
      <c r="FS68" s="85" t="str">
        <f t="shared" si="374"/>
        <v/>
      </c>
      <c r="FT68" s="86"/>
      <c r="FU68" s="91" t="str">
        <f t="shared" ref="FU68:FU99" si="484">IF(COUNT(FT68)=0,"",(FT68-FT$105)/FT$106)</f>
        <v/>
      </c>
      <c r="FV68" s="85" t="str">
        <f t="shared" si="375"/>
        <v/>
      </c>
      <c r="FW68" s="92"/>
      <c r="FX68" s="91" t="str">
        <f t="shared" ref="FX68:FX99" si="485">IF(COUNT(FW68)=0,"",(FW68-FW$105)/FW$106)</f>
        <v/>
      </c>
      <c r="FY68" s="85" t="str">
        <f t="shared" si="376"/>
        <v/>
      </c>
      <c r="FZ68" s="86"/>
      <c r="GA68" s="91" t="str">
        <f t="shared" ref="GA68:GA99" si="486">IF(COUNT(FZ68)=0,"",(FZ68-FZ$105)/FZ$106)</f>
        <v/>
      </c>
      <c r="GB68" s="85" t="str">
        <f t="shared" si="377"/>
        <v/>
      </c>
      <c r="GC68" s="86"/>
      <c r="GD68" s="91" t="str">
        <f t="shared" ref="GD68:GD99" si="487">IF(COUNT(GC68)=0,"",(GC68-GC$105)/GC$106)</f>
        <v/>
      </c>
      <c r="GE68" s="85" t="str">
        <f t="shared" si="378"/>
        <v/>
      </c>
      <c r="GF68" s="86">
        <v>81</v>
      </c>
      <c r="GG68" s="91">
        <f t="shared" ref="GG68:GG99" si="488">IF(COUNT(GF68)=0,"",(GF68-GF$105)/GF$106)</f>
        <v>-0.56613851707229779</v>
      </c>
      <c r="GH68" s="85">
        <f t="shared" si="379"/>
        <v>0.33333333333333331</v>
      </c>
      <c r="GI68" s="86"/>
      <c r="GJ68" s="91" t="str">
        <f t="shared" ref="GJ68:GJ99" si="489">IF(COUNT(GI68)=0,"",(GI68-GI$105)/GI$106)</f>
        <v/>
      </c>
      <c r="GK68" s="85" t="str">
        <f t="shared" si="380"/>
        <v/>
      </c>
      <c r="GL68" s="86"/>
      <c r="GM68" s="91" t="str">
        <f t="shared" ref="GM68:GM99" si="490">IF(COUNT(GL68)=0,"",(GL68-GL$105)/GL$106)</f>
        <v/>
      </c>
      <c r="GN68" s="85" t="str">
        <f t="shared" si="381"/>
        <v/>
      </c>
      <c r="GO68" s="86"/>
      <c r="GP68" s="91" t="str">
        <f t="shared" ref="GP68:GP99" si="491">IF(COUNT(GO68)=0,"",(GO68-GO$105)/GO$106)</f>
        <v/>
      </c>
      <c r="GQ68" s="85" t="str">
        <f t="shared" si="382"/>
        <v/>
      </c>
      <c r="GR68" s="86"/>
      <c r="GS68" s="91" t="str">
        <f t="shared" ref="GS68:GS99" si="492">IF(COUNT(GR68)=0,"",(GR68-GR$105)/GR$106)</f>
        <v/>
      </c>
      <c r="GT68" s="85" t="str">
        <f t="shared" si="383"/>
        <v/>
      </c>
      <c r="GU68" s="86"/>
      <c r="GV68" s="91" t="str">
        <f t="shared" ref="GV68:GV99" si="493">IF(COUNT(GU68)=0,"",(GU68-GU$105)/GU$106)</f>
        <v/>
      </c>
      <c r="GW68" s="85" t="str">
        <f t="shared" si="384"/>
        <v/>
      </c>
      <c r="GX68" s="86"/>
      <c r="GY68" s="91" t="str">
        <f t="shared" ref="GY68:GY99" si="494">IF(COUNT(GX68)=0,"",(GX68-GX$105)/GX$106)</f>
        <v/>
      </c>
      <c r="GZ68" s="85" t="str">
        <f t="shared" si="385"/>
        <v/>
      </c>
      <c r="HA68" s="56"/>
      <c r="HB68" s="91" t="str">
        <f t="shared" ref="HB68:HB99" si="495">IF(COUNT(HA68)=0,"",(HA68-HA$105)/HA$106)</f>
        <v/>
      </c>
      <c r="HC68" s="85" t="str">
        <f t="shared" si="386"/>
        <v/>
      </c>
      <c r="HD68" s="86"/>
      <c r="HE68" s="91" t="str">
        <f t="shared" ref="HE68:HE99" si="496">IF(COUNT(HD68)=0,"",(HD68-HD$105)/HD$106)</f>
        <v/>
      </c>
      <c r="HF68" s="85" t="str">
        <f t="shared" si="387"/>
        <v/>
      </c>
      <c r="HG68" s="86"/>
      <c r="HH68" s="91" t="str">
        <f t="shared" ref="HH68:HH99" si="497">IF(COUNT(HG68)=0,"",(HG68-HG$105)/HG$106)</f>
        <v/>
      </c>
      <c r="HI68" s="85" t="str">
        <f t="shared" si="388"/>
        <v/>
      </c>
      <c r="HJ68" s="86"/>
      <c r="HK68" s="91" t="str">
        <f t="shared" ref="HK68:HK99" si="498">IF(COUNT(HJ68)=0,"",(HJ68-HJ$105)/HJ$106)</f>
        <v/>
      </c>
      <c r="HL68" s="85" t="str">
        <f t="shared" si="389"/>
        <v/>
      </c>
      <c r="HM68" s="86"/>
      <c r="HN68" s="91" t="str">
        <f t="shared" ref="HN68:HN99" si="499">IF(COUNT(HM68)=0,"",(HM68-HM$105)/HM$106)</f>
        <v/>
      </c>
      <c r="HO68" s="85" t="str">
        <f t="shared" si="390"/>
        <v/>
      </c>
      <c r="HP68" s="86"/>
      <c r="HQ68" s="91" t="str">
        <f t="shared" ref="HQ68:HQ99" si="500">IF(COUNT(HP68)=0,"",(HP68-HP$105)/HP$106)</f>
        <v/>
      </c>
      <c r="HR68" s="85" t="str">
        <f t="shared" si="391"/>
        <v/>
      </c>
      <c r="HS68" s="56"/>
      <c r="HT68" s="91" t="str">
        <f t="shared" ref="HT68:HT99" si="501">IF(COUNT(HS68)=0,"",(HS68-HS$105)/HS$106)</f>
        <v/>
      </c>
      <c r="HU68" s="85" t="str">
        <f t="shared" si="392"/>
        <v/>
      </c>
      <c r="HV68" s="86"/>
      <c r="HW68" s="91" t="str">
        <f t="shared" ref="HW68:HW99" si="502">IF(COUNT(HV68)=0,"",(HV68-HV$105)/HV$106)</f>
        <v/>
      </c>
      <c r="HX68" s="85" t="str">
        <f t="shared" si="393"/>
        <v/>
      </c>
      <c r="HY68" s="86"/>
      <c r="HZ68" s="91" t="str">
        <f t="shared" ref="HZ68:HZ99" si="503">IF(COUNT(HY68)=0,"",(HY68-HY$105)/HY$106)</f>
        <v/>
      </c>
      <c r="IA68" s="85" t="str">
        <f t="shared" si="394"/>
        <v/>
      </c>
      <c r="IB68" s="86"/>
      <c r="IC68" s="91" t="str">
        <f t="shared" ref="IC68:IC99" si="504">IF(COUNT(IB68)=0,"",(IB68-IB$105)/IB$106)</f>
        <v/>
      </c>
      <c r="ID68" s="85" t="str">
        <f t="shared" si="395"/>
        <v/>
      </c>
      <c r="IE68" s="86"/>
      <c r="IF68" s="91" t="str">
        <f t="shared" ref="IF68:IF99" si="505">IF(COUNT(IE68)=0,"",(IE68-IE$105)/IE$106)</f>
        <v/>
      </c>
      <c r="IG68" s="85" t="str">
        <f t="shared" si="396"/>
        <v/>
      </c>
      <c r="IH68" s="86"/>
      <c r="II68" s="91" t="str">
        <f t="shared" ref="II68:II99" si="506">IF(COUNT(IH68)=0,"",(IH68-IH$105)/IH$106)</f>
        <v/>
      </c>
      <c r="IJ68" s="85" t="str">
        <f t="shared" si="397"/>
        <v/>
      </c>
      <c r="IK68" s="86"/>
      <c r="IL68" s="91" t="str">
        <f t="shared" ref="IL68:IL99" si="507">IF(COUNT(IK68)=0,"",(IK68-IK$105)/IK$106)</f>
        <v/>
      </c>
      <c r="IM68" s="85" t="str">
        <f t="shared" si="398"/>
        <v/>
      </c>
      <c r="IN68" s="86"/>
      <c r="IO68" s="91" t="str">
        <f t="shared" ref="IO68:IO99" si="508">IF(COUNT(IN68)=0,"",(IN68-IN$105)/IN$106)</f>
        <v/>
      </c>
      <c r="IP68" s="85" t="str">
        <f t="shared" si="399"/>
        <v/>
      </c>
      <c r="IQ68" s="86"/>
      <c r="IR68" s="91" t="str">
        <f t="shared" ref="IR68:IR99" si="509">IF(COUNT(IQ68)=0,"",(IQ68-IQ$105)/IQ$106)</f>
        <v/>
      </c>
      <c r="IS68" s="85" t="str">
        <f t="shared" si="400"/>
        <v/>
      </c>
      <c r="IT68" s="86"/>
      <c r="IU68" s="91" t="str">
        <f t="shared" ref="IU68:IU99" si="510">IF(COUNT(IT68)=0,"",(IT68-IT$105)/IT$106)</f>
        <v/>
      </c>
      <c r="IV68" s="85" t="str">
        <f t="shared" si="401"/>
        <v/>
      </c>
      <c r="IW68" s="86"/>
      <c r="IX68" s="91" t="str">
        <f t="shared" ref="IX68:IX99" si="511">IF(COUNT(IW68)=0,"",(IW68-IW$105)/IW$106)</f>
        <v/>
      </c>
      <c r="IY68" s="85" t="str">
        <f t="shared" si="402"/>
        <v/>
      </c>
      <c r="IZ68" s="86"/>
      <c r="JA68" s="91" t="str">
        <f t="shared" ref="JA68:JA99" si="512">IF(COUNT(IZ68)=0,"",(IZ68-IZ$105)/IZ$106)</f>
        <v/>
      </c>
      <c r="JB68" s="85" t="str">
        <f t="shared" si="403"/>
        <v/>
      </c>
      <c r="JC68" s="86"/>
      <c r="JD68" s="91" t="str">
        <f t="shared" ref="JD68:JD99" si="513">IF(COUNT(JC68)=0,"",(JC68-JC$105)/JC$106)</f>
        <v/>
      </c>
      <c r="JE68" s="85" t="str">
        <f t="shared" si="404"/>
        <v/>
      </c>
      <c r="JF68" s="86"/>
      <c r="JG68" s="91" t="str">
        <f t="shared" ref="JG68:JG99" si="514">IF(COUNT(JF68)=0,"",(JF68-JF$105)/JF$106)</f>
        <v/>
      </c>
      <c r="JH68" s="85" t="str">
        <f t="shared" si="405"/>
        <v/>
      </c>
      <c r="JI68" s="86"/>
      <c r="JJ68" s="91" t="str">
        <f t="shared" ref="JJ68:JJ99" si="515">IF(COUNT(JI68)=0,"",(JI68-JI$105)/JI$106)</f>
        <v/>
      </c>
      <c r="JK68" s="85" t="str">
        <f t="shared" si="406"/>
        <v/>
      </c>
      <c r="JL68" s="86"/>
      <c r="JM68" s="91" t="str">
        <f t="shared" ref="JM68:JM99" si="516">IF(COUNT(JL68)=0,"",(JL68-JL$105)/JL$106)</f>
        <v/>
      </c>
      <c r="JN68" s="85" t="str">
        <f t="shared" si="407"/>
        <v/>
      </c>
      <c r="JO68" s="86"/>
      <c r="JP68" s="91" t="str">
        <f t="shared" ref="JP68:JP99" si="517">IF(COUNT(JO68)=0,"",(JO68-JO$105)/JO$106)</f>
        <v/>
      </c>
      <c r="JQ68" s="85" t="str">
        <f t="shared" si="408"/>
        <v/>
      </c>
      <c r="JR68" s="86"/>
      <c r="JS68" s="91" t="str">
        <f t="shared" ref="JS68:JS99" si="518">IF(COUNT(JR68)=0,"",(JR68-JR$105)/JR$106)</f>
        <v/>
      </c>
      <c r="JT68" s="85" t="str">
        <f t="shared" si="409"/>
        <v/>
      </c>
      <c r="JU68" s="86"/>
      <c r="JV68" s="91" t="str">
        <f t="shared" ref="JV68:JV99" si="519">IF(COUNT(JU68)=0,"",(JU68-JU$105)/JU$106)</f>
        <v/>
      </c>
      <c r="JW68" s="85" t="str">
        <f t="shared" si="410"/>
        <v/>
      </c>
      <c r="JX68" s="86"/>
      <c r="JY68" s="91" t="str">
        <f t="shared" ref="JY68:JY99" si="520">IF(COUNT(JX68)=0,"",(JX68-JX$105)/JX$106)</f>
        <v/>
      </c>
      <c r="JZ68" s="85" t="str">
        <f t="shared" si="411"/>
        <v/>
      </c>
      <c r="KA68" s="86"/>
      <c r="KB68" s="91" t="str">
        <f t="shared" ref="KB68:KB99" si="521">IF(COUNT(KA68)=0,"",(KA68-KA$105)/KA$106)</f>
        <v/>
      </c>
      <c r="KC68" s="85" t="str">
        <f t="shared" si="412"/>
        <v/>
      </c>
      <c r="KD68" s="86"/>
      <c r="KE68" s="91" t="str">
        <f t="shared" ref="KE68:KE99" si="522">IF(COUNT(KD68)=0,"",(KD68-KD$105)/KD$106)</f>
        <v/>
      </c>
      <c r="KF68" s="85" t="str">
        <f t="shared" si="413"/>
        <v/>
      </c>
      <c r="KG68" s="86"/>
      <c r="KH68" s="91" t="str">
        <f t="shared" ref="KH68:KH99" si="523">IF(COUNT(KG68)=0,"",(KG68-KG$105)/KG$106)</f>
        <v/>
      </c>
      <c r="KI68" s="85" t="str">
        <f t="shared" si="414"/>
        <v/>
      </c>
      <c r="KJ68" s="86"/>
      <c r="KK68" s="91" t="str">
        <f t="shared" ref="KK68:KK99" si="524">IF(COUNT(KJ68)=0,"",(KJ68-KJ$105)/KJ$106)</f>
        <v/>
      </c>
      <c r="KL68" s="85" t="str">
        <f t="shared" si="415"/>
        <v/>
      </c>
      <c r="KM68" s="86"/>
      <c r="KN68" s="91" t="str">
        <f t="shared" ref="KN68:KN99" si="525">IF(COUNT(KM68)=0,"",(KM68-KM$105)/KM$106)</f>
        <v/>
      </c>
      <c r="KO68" s="85" t="str">
        <f t="shared" si="416"/>
        <v/>
      </c>
      <c r="KP68" s="86"/>
      <c r="KQ68" s="91" t="str">
        <f t="shared" ref="KQ68:KQ99" si="526">IF(COUNT(KP68)=0,"",(KP68-KP$105)/KP$106)</f>
        <v/>
      </c>
      <c r="KR68" s="85" t="str">
        <f t="shared" si="417"/>
        <v/>
      </c>
      <c r="KS68" s="86"/>
      <c r="KT68" s="91" t="str">
        <f t="shared" ref="KT68:KT99" si="527">IF(COUNT(KS68)=0,"",(KS68-KS$105)/KS$106)</f>
        <v/>
      </c>
      <c r="KU68" s="85" t="str">
        <f t="shared" si="418"/>
        <v/>
      </c>
      <c r="KV68" s="86"/>
      <c r="KW68" s="91" t="str">
        <f t="shared" ref="KW68:KW99" si="528">IF(COUNT(KV68)=0,"",(KV68-KV$105)/KV$106)</f>
        <v/>
      </c>
      <c r="KX68" s="85" t="str">
        <f t="shared" si="419"/>
        <v/>
      </c>
      <c r="KY68" s="92"/>
      <c r="KZ68" s="91" t="str">
        <f t="shared" ref="KZ68:KZ99" si="529">IF(COUNT(KY68)=0,"",(KY68-KY$105)/KY$106)</f>
        <v/>
      </c>
      <c r="LA68" s="85" t="str">
        <f t="shared" si="420"/>
        <v/>
      </c>
      <c r="LB68" s="50">
        <f t="shared" si="430"/>
        <v>89.6</v>
      </c>
      <c r="LC68" s="57">
        <f t="shared" si="421"/>
        <v>17</v>
      </c>
      <c r="LD68" s="50">
        <f t="shared" si="207"/>
        <v>0.22275223082864457</v>
      </c>
      <c r="LE68" s="57">
        <f t="shared" si="422"/>
        <v>28</v>
      </c>
      <c r="LF68" s="50">
        <f t="shared" si="208"/>
        <v>0.6333333333333333</v>
      </c>
      <c r="LG68" s="57">
        <f t="shared" si="423"/>
        <v>27</v>
      </c>
      <c r="LH68" s="58">
        <f t="shared" ref="LH68:LH86" si="530">IFERROR((((LB68-LB$105)/LB$107)*25+25),"")</f>
        <v>45.39473684210526</v>
      </c>
      <c r="LI68" s="58">
        <f t="shared" ref="LI68:LI86" si="531">IFERROR((((LD68-LD$105)/LD$107)*25+25),"")</f>
        <v>41.928251171431562</v>
      </c>
      <c r="LJ68" s="58">
        <f t="shared" ref="LJ68:LJ86" si="532">IFERROR((((LF68-LF$105)/LF$107)*25+25),"")</f>
        <v>40.833333333333329</v>
      </c>
      <c r="LK68" s="58">
        <f t="shared" si="424"/>
        <v>78.156321346870129</v>
      </c>
      <c r="LL68" s="60">
        <f t="shared" si="425"/>
        <v>26</v>
      </c>
      <c r="LM68" s="55"/>
      <c r="LN68" s="61">
        <f t="shared" ref="LN68:LN69" si="533">IFERROR(RANK(LK68,(LK$67:LK$69),0),"")</f>
        <v>2</v>
      </c>
      <c r="LO68" s="61">
        <f t="shared" si="214"/>
        <v>26</v>
      </c>
      <c r="LP68" s="64"/>
      <c r="LQ68" s="64"/>
      <c r="LR68" s="64"/>
      <c r="LS68" s="62"/>
      <c r="LT68" s="62"/>
    </row>
    <row r="69" spans="1:334" s="63" customFormat="1" ht="15" customHeight="1">
      <c r="A69" s="106">
        <f t="shared" si="211"/>
        <v>6</v>
      </c>
      <c r="B69" s="106">
        <f t="shared" si="212"/>
        <v>6</v>
      </c>
      <c r="C69" s="117">
        <v>16</v>
      </c>
      <c r="D69" s="118" t="s">
        <v>307</v>
      </c>
      <c r="E69" s="286" t="s">
        <v>678</v>
      </c>
      <c r="F69" s="286" t="s">
        <v>679</v>
      </c>
      <c r="G69" s="76"/>
      <c r="H69" s="119" t="s">
        <v>11</v>
      </c>
      <c r="I69" s="286" t="s">
        <v>590</v>
      </c>
      <c r="J69" s="119" t="s">
        <v>308</v>
      </c>
      <c r="K69" s="119" t="s">
        <v>10</v>
      </c>
      <c r="L69" s="53" t="s">
        <v>309</v>
      </c>
      <c r="M69" s="292" t="s">
        <v>35</v>
      </c>
      <c r="N69" s="86"/>
      <c r="O69" s="91" t="str">
        <f t="shared" si="431"/>
        <v/>
      </c>
      <c r="P69" s="91" t="str">
        <f t="shared" ref="P69:P103" si="534">IFERROR((N$107-RANK(N69,(N$5:N$103),0))/(N$107-1),"")</f>
        <v/>
      </c>
      <c r="Q69" s="86"/>
      <c r="R69" s="91" t="str">
        <f t="shared" si="432"/>
        <v/>
      </c>
      <c r="S69" s="91" t="str">
        <f t="shared" ref="S69:S103" si="535">IFERROR((Q$107-RANK(Q69,(Q$5:Q$103),0))/(Q$107-1),"")</f>
        <v/>
      </c>
      <c r="T69" s="86"/>
      <c r="U69" s="91" t="str">
        <f t="shared" si="433"/>
        <v/>
      </c>
      <c r="V69" s="91" t="str">
        <f t="shared" ref="V69:V103" si="536">IFERROR((T$107-RANK(T69,(T$5:T$103),0))/(T$107-1),"")</f>
        <v/>
      </c>
      <c r="W69" s="86"/>
      <c r="X69" s="91" t="str">
        <f t="shared" si="434"/>
        <v/>
      </c>
      <c r="Y69" s="91" t="str">
        <f t="shared" ref="Y69:Y103" si="537">IFERROR((W$107-RANK(W69,(W$5:W$103),0))/(W$107-1),"")</f>
        <v/>
      </c>
      <c r="Z69" s="86"/>
      <c r="AA69" s="91" t="str">
        <f t="shared" si="435"/>
        <v/>
      </c>
      <c r="AB69" s="91" t="str">
        <f t="shared" ref="AB69:AB103" si="538">IFERROR((Z$107-RANK(Z69,(Z$5:Z$103),0))/(Z$107-1),"")</f>
        <v/>
      </c>
      <c r="AC69" s="86"/>
      <c r="AD69" s="91" t="str">
        <f t="shared" si="436"/>
        <v/>
      </c>
      <c r="AE69" s="91" t="str">
        <f t="shared" ref="AE69:AE103" si="539">IFERROR((AC$107-RANK(AC69,(AC$5:AC$103),0))/(AC$107-1),"")</f>
        <v/>
      </c>
      <c r="AF69" s="86"/>
      <c r="AG69" s="91" t="str">
        <f t="shared" si="437"/>
        <v/>
      </c>
      <c r="AH69" s="91" t="str">
        <f t="shared" ref="AH69:AH103" si="540">IFERROR((AF$107-RANK(AF69,(AF$5:AF$103),0))/(AF$107-1),"")</f>
        <v/>
      </c>
      <c r="AI69" s="86"/>
      <c r="AJ69" s="91" t="str">
        <f t="shared" si="438"/>
        <v/>
      </c>
      <c r="AK69" s="91" t="str">
        <f t="shared" ref="AK69:AK103" si="541">IFERROR((AI$107-RANK(AI69,(AI$5:AI$103),0))/(AI$107-1),"")</f>
        <v/>
      </c>
      <c r="AL69" s="86"/>
      <c r="AM69" s="91" t="str">
        <f t="shared" si="439"/>
        <v/>
      </c>
      <c r="AN69" s="91" t="str">
        <f t="shared" ref="AN69:AN103" si="542">IFERROR((AL$107-RANK(AL69,(AL$5:AL$103),0))/(AL$107-1),"")</f>
        <v/>
      </c>
      <c r="AO69" s="86"/>
      <c r="AP69" s="91" t="str">
        <f t="shared" si="440"/>
        <v/>
      </c>
      <c r="AQ69" s="91" t="str">
        <f t="shared" ref="AQ69:AQ103" si="543">IFERROR((AO$107-RANK(AO69,(AO$5:AO$103),0))/(AO$107-1),"")</f>
        <v/>
      </c>
      <c r="AR69" s="86"/>
      <c r="AS69" s="91" t="str">
        <f t="shared" si="441"/>
        <v/>
      </c>
      <c r="AT69" s="91" t="str">
        <f t="shared" ref="AT69:AT103" si="544">IFERROR((AR$107-RANK(AR69,(AR$5:AR$103),0))/(AR$107-1),"")</f>
        <v/>
      </c>
      <c r="AU69" s="86"/>
      <c r="AV69" s="91" t="str">
        <f t="shared" si="442"/>
        <v/>
      </c>
      <c r="AW69" s="91" t="str">
        <f t="shared" ref="AW69:AW103" si="545">IFERROR((AU$107-RANK(AU69,(AU$5:AU$103),0))/(AU$107-1),"")</f>
        <v/>
      </c>
      <c r="AX69" s="86"/>
      <c r="AY69" s="91" t="str">
        <f t="shared" si="443"/>
        <v/>
      </c>
      <c r="AZ69" s="91" t="str">
        <f t="shared" ref="AZ69:AZ103" si="546">IFERROR((AX$107-RANK(AX69,(AX$5:AX$103),0))/(AX$107-1),"")</f>
        <v/>
      </c>
      <c r="BA69" s="86">
        <v>98</v>
      </c>
      <c r="BB69" s="91">
        <f t="shared" si="444"/>
        <v>1.3593253338066247</v>
      </c>
      <c r="BC69" s="91">
        <f t="shared" ref="BC69:BC103" si="547">IFERROR((BA$107-RANK(BA69,(BA$5:BA$103),0))/(BA$107-1),"")</f>
        <v>1</v>
      </c>
      <c r="BD69" s="86">
        <v>86</v>
      </c>
      <c r="BE69" s="91">
        <f t="shared" si="445"/>
        <v>1.1297724218323268</v>
      </c>
      <c r="BF69" s="91">
        <f t="shared" ref="BF69:BF103" si="548">IFERROR((BD$107-RANK(BD69,(BD$5:BD$103),0))/(BD$107-1),"")</f>
        <v>1</v>
      </c>
      <c r="BG69" s="86"/>
      <c r="BH69" s="91" t="str">
        <f t="shared" si="446"/>
        <v/>
      </c>
      <c r="BI69" s="91" t="str">
        <f t="shared" ref="BI69:BI103" si="549">IFERROR((BG$107-RANK(BG69,(BG$5:BG$103),0))/(BG$107-1),"")</f>
        <v/>
      </c>
      <c r="BJ69" s="86"/>
      <c r="BK69" s="91" t="str">
        <f t="shared" si="447"/>
        <v/>
      </c>
      <c r="BL69" s="91" t="str">
        <f t="shared" ref="BL69:BL103" si="550">IFERROR((BJ$107-RANK(BJ69,(BJ$5:BJ$103),0))/(BJ$107-1),"")</f>
        <v/>
      </c>
      <c r="BM69" s="86"/>
      <c r="BN69" s="91" t="str">
        <f t="shared" si="448"/>
        <v/>
      </c>
      <c r="BO69" s="91" t="str">
        <f t="shared" ref="BO69:BO103" si="551">IFERROR((BM$107-RANK(BM69,(BM$5:BM$103),0))/(BM$107-1),"")</f>
        <v/>
      </c>
      <c r="BP69" s="51"/>
      <c r="BQ69" s="91" t="str">
        <f t="shared" si="449"/>
        <v/>
      </c>
      <c r="BR69" s="91" t="str">
        <f t="shared" ref="BR69:BR103" si="552">IFERROR((BP$107-RANK(BP69,(BP$5:BP$103),0))/(BP$107-1),"")</f>
        <v/>
      </c>
      <c r="BS69" s="86"/>
      <c r="BT69" s="91" t="str">
        <f t="shared" si="450"/>
        <v/>
      </c>
      <c r="BU69" s="91" t="str">
        <f t="shared" ref="BU69:BU103" si="553">IFERROR((BS$107-RANK(BS69,(BS$5:BS$103),0))/(BS$107-1),"")</f>
        <v/>
      </c>
      <c r="BV69" s="86"/>
      <c r="BW69" s="91" t="str">
        <f t="shared" si="451"/>
        <v/>
      </c>
      <c r="BX69" s="91" t="str">
        <f t="shared" ref="BX69:BX103" si="554">IFERROR((BV$107-RANK(BV69,(BV$5:BV$103),0))/(BV$107-1),"")</f>
        <v/>
      </c>
      <c r="BY69" s="86"/>
      <c r="BZ69" s="91" t="str">
        <f t="shared" si="452"/>
        <v/>
      </c>
      <c r="CA69" s="91" t="str">
        <f t="shared" ref="CA69:CA103" si="555">IFERROR((BY$107-RANK(BY69,(BY$5:BY$103),0))/(BY$107-1),"")</f>
        <v/>
      </c>
      <c r="CB69" s="86"/>
      <c r="CC69" s="91" t="str">
        <f t="shared" si="453"/>
        <v/>
      </c>
      <c r="CD69" s="91" t="str">
        <f t="shared" ref="CD69:CD103" si="556">IFERROR((CB$107-RANK(CB69,(CB$5:CB$103),0))/(CB$107-1),"")</f>
        <v/>
      </c>
      <c r="CE69" s="86"/>
      <c r="CF69" s="91" t="str">
        <f t="shared" si="454"/>
        <v/>
      </c>
      <c r="CG69" s="91" t="str">
        <f t="shared" ref="CG69:CG103" si="557">IFERROR((CE$107-RANK(CE69,(CE$5:CE$103),0))/(CE$107-1),"")</f>
        <v/>
      </c>
      <c r="CH69" s="86"/>
      <c r="CI69" s="91" t="str">
        <f t="shared" si="455"/>
        <v/>
      </c>
      <c r="CJ69" s="91" t="str">
        <f t="shared" ref="CJ69:CJ103" si="558">IFERROR((CH$107-RANK(CH69,(CH$5:CH$103),0))/(CH$107-1),"")</f>
        <v/>
      </c>
      <c r="CK69" s="86"/>
      <c r="CL69" s="91" t="str">
        <f t="shared" si="456"/>
        <v/>
      </c>
      <c r="CM69" s="91" t="str">
        <f t="shared" ref="CM69:CM103" si="559">IFERROR((CK$107-RANK(CK69,(CK$5:CK$103),0))/(CK$107-1),"")</f>
        <v/>
      </c>
      <c r="CN69" s="86"/>
      <c r="CO69" s="91" t="str">
        <f t="shared" si="457"/>
        <v/>
      </c>
      <c r="CP69" s="91" t="str">
        <f t="shared" ref="CP69:CP103" si="560">IFERROR((CN$107-RANK(CN69,(CN$5:CN$103),0))/(CN$107-1),"")</f>
        <v/>
      </c>
      <c r="CQ69" s="86">
        <v>98</v>
      </c>
      <c r="CR69" s="91">
        <f t="shared" si="458"/>
        <v>0.44038550605054499</v>
      </c>
      <c r="CS69" s="91">
        <f t="shared" ref="CS69:CS103" si="561">IFERROR((CQ$107-RANK(CQ69,(CQ$5:CQ$103),0))/(CQ$107-1),"")</f>
        <v>0.6</v>
      </c>
      <c r="CT69" s="86"/>
      <c r="CU69" s="91" t="str">
        <f t="shared" si="459"/>
        <v/>
      </c>
      <c r="CV69" s="91" t="str">
        <f t="shared" ref="CV69:CV103" si="562">IFERROR((CT$107-RANK(CT69,(CT$5:CT$103),0))/(CT$107-1),"")</f>
        <v/>
      </c>
      <c r="CW69" s="86"/>
      <c r="CX69" s="91" t="str">
        <f t="shared" si="460"/>
        <v/>
      </c>
      <c r="CY69" s="91" t="str">
        <f t="shared" ref="CY69:CY103" si="563">IFERROR((CW$107-RANK(CW69,(CW$5:CW$103),0))/(CW$107-1),"")</f>
        <v/>
      </c>
      <c r="CZ69" s="86"/>
      <c r="DA69" s="91" t="str">
        <f t="shared" si="461"/>
        <v/>
      </c>
      <c r="DB69" s="91" t="str">
        <f t="shared" ref="DB69:DB103" si="564">IFERROR((CZ$107-RANK(CZ69,(CZ$5:CZ$103),0))/(CZ$107-1),"")</f>
        <v/>
      </c>
      <c r="DC69" s="86">
        <v>93</v>
      </c>
      <c r="DD69" s="91">
        <f t="shared" si="462"/>
        <v>1.0593770776952474</v>
      </c>
      <c r="DE69" s="91">
        <f t="shared" ref="DE69:DE103" si="565">IFERROR((DC$107-RANK(DC69,(DC$5:DC$103),0))/(DC$107-1),"")</f>
        <v>1</v>
      </c>
      <c r="DF69" s="86"/>
      <c r="DG69" s="91"/>
      <c r="DH69" s="91" t="str">
        <f t="shared" ref="DH69:DH103" si="566">IFERROR((DF$107-RANK(DF69,(DF$5:DF$103),0))/(DF$107-1),"")</f>
        <v/>
      </c>
      <c r="DI69" s="86"/>
      <c r="DJ69" s="91" t="str">
        <f t="shared" si="463"/>
        <v/>
      </c>
      <c r="DK69" s="91" t="str">
        <f t="shared" ref="DK69:DK103" si="567">IFERROR((DI$107-RANK(DI69,(DI$5:DI$103),0))/(DI$107-1),"")</f>
        <v/>
      </c>
      <c r="DL69" s="86"/>
      <c r="DM69" s="91" t="str">
        <f t="shared" si="464"/>
        <v/>
      </c>
      <c r="DN69" s="91" t="str">
        <f t="shared" ref="DN69:DN103" si="568">IFERROR((DL$107-RANK(DL69,(DL$5:DL$103),0))/(DL$107-1),"")</f>
        <v/>
      </c>
      <c r="DO69" s="86"/>
      <c r="DP69" s="91" t="str">
        <f t="shared" si="465"/>
        <v/>
      </c>
      <c r="DQ69" s="91" t="str">
        <f t="shared" ref="DQ69:DQ103" si="569">IFERROR((DO$107-RANK(DO69,(DO$5:DO$103),0))/(DO$107-1),"")</f>
        <v/>
      </c>
      <c r="DR69" s="86"/>
      <c r="DS69" s="91" t="str">
        <f t="shared" si="466"/>
        <v/>
      </c>
      <c r="DT69" s="91" t="str">
        <f t="shared" ref="DT69:DT103" si="570">IFERROR((DR$107-RANK(DR69,(DR$5:DR$103),0))/(DR$107-1),"")</f>
        <v/>
      </c>
      <c r="DU69" s="86"/>
      <c r="DV69" s="91" t="str">
        <f t="shared" si="467"/>
        <v/>
      </c>
      <c r="DW69" s="91" t="str">
        <f t="shared" ref="DW69:DW103" si="571">IFERROR((DU$107-RANK(DU69,(DU$5:DU$103),0))/(DU$107-1),"")</f>
        <v/>
      </c>
      <c r="DX69" s="86"/>
      <c r="DY69" s="91" t="str">
        <f t="shared" si="468"/>
        <v/>
      </c>
      <c r="DZ69" s="91" t="str">
        <f t="shared" ref="DZ69:DZ103" si="572">IFERROR((DX$107-RANK(DX69,(DX$5:DX$103),0))/(DX$107-1),"")</f>
        <v/>
      </c>
      <c r="EA69" s="86"/>
      <c r="EB69" s="91" t="str">
        <f t="shared" si="469"/>
        <v/>
      </c>
      <c r="EC69" s="91" t="str">
        <f t="shared" ref="EC69:EC103" si="573">IFERROR((EA$107-RANK(EA69,(EA$5:EA$103),0))/(EA$107-1),"")</f>
        <v/>
      </c>
      <c r="ED69" s="86"/>
      <c r="EE69" s="91" t="str">
        <f t="shared" si="470"/>
        <v/>
      </c>
      <c r="EF69" s="91" t="str">
        <f t="shared" ref="EF69:EF103" si="574">IFERROR((ED$107-RANK(ED69,(ED$5:ED$103),0))/(ED$107-1),"")</f>
        <v/>
      </c>
      <c r="EG69" s="86"/>
      <c r="EH69" s="91" t="str">
        <f t="shared" si="471"/>
        <v/>
      </c>
      <c r="EI69" s="91" t="str">
        <f t="shared" ref="EI69:EI103" si="575">IFERROR((EG$107-RANK(EG69,(EG$5:EG$103),0))/(EG$107-1),"")</f>
        <v/>
      </c>
      <c r="EJ69" s="86"/>
      <c r="EK69" s="91" t="str">
        <f t="shared" si="472"/>
        <v/>
      </c>
      <c r="EL69" s="91" t="str">
        <f t="shared" ref="EL69:EL103" si="576">IFERROR((EJ$107-RANK(EJ69,(EJ$5:EJ$103),0))/(EJ$107-1),"")</f>
        <v/>
      </c>
      <c r="EM69" s="86"/>
      <c r="EN69" s="91" t="str">
        <f t="shared" si="473"/>
        <v/>
      </c>
      <c r="EO69" s="91" t="str">
        <f t="shared" ref="EO69:EO103" si="577">IFERROR((EM$107-RANK(EM69,(EM$5:EM$103),0))/(EM$107-1),"")</f>
        <v/>
      </c>
      <c r="EP69" s="86"/>
      <c r="EQ69" s="91" t="str">
        <f t="shared" si="474"/>
        <v/>
      </c>
      <c r="ER69" s="91" t="str">
        <f t="shared" ref="ER69:ER103" si="578">IFERROR((EP$107-RANK(EP69,(EP$5:EP$103),0))/(EP$107-1),"")</f>
        <v/>
      </c>
      <c r="ES69" s="51"/>
      <c r="ET69" s="91" t="str">
        <f t="shared" si="475"/>
        <v/>
      </c>
      <c r="EU69" s="91" t="str">
        <f t="shared" ref="EU69:EU103" si="579">IFERROR((ES$107-RANK(ES69,(ES$5:ES$103),0))/(ES$107-1),"")</f>
        <v/>
      </c>
      <c r="EV69" s="86"/>
      <c r="EW69" s="91" t="str">
        <f t="shared" si="476"/>
        <v/>
      </c>
      <c r="EX69" s="91" t="str">
        <f t="shared" ref="EX69:EX103" si="580">IFERROR((EV$107-RANK(EV69,(EV$5:EV$103),0))/(EV$107-1),"")</f>
        <v/>
      </c>
      <c r="EY69" s="86"/>
      <c r="EZ69" s="91" t="str">
        <f t="shared" si="477"/>
        <v/>
      </c>
      <c r="FA69" s="91" t="str">
        <f t="shared" ref="FA69:FA103" si="581">IFERROR((EY$107-RANK(EY69,(EY$5:EY$103),0))/(EY$107-1),"")</f>
        <v/>
      </c>
      <c r="FB69" s="86"/>
      <c r="FC69" s="91" t="str">
        <f t="shared" si="478"/>
        <v/>
      </c>
      <c r="FD69" s="91" t="str">
        <f t="shared" ref="FD69:FD103" si="582">IFERROR((FB$107-RANK(FB69,(FB$5:FB$103),0))/(FB$107-1),"")</f>
        <v/>
      </c>
      <c r="FE69" s="86"/>
      <c r="FF69" s="91" t="str">
        <f t="shared" si="479"/>
        <v/>
      </c>
      <c r="FG69" s="91" t="str">
        <f t="shared" ref="FG69:FG103" si="583">IFERROR((FE$107-RANK(FE69,(FE$5:FE$103),0))/(FE$107-1),"")</f>
        <v/>
      </c>
      <c r="FH69" s="86"/>
      <c r="FI69" s="91" t="str">
        <f t="shared" si="480"/>
        <v/>
      </c>
      <c r="FJ69" s="91" t="str">
        <f t="shared" ref="FJ69:FJ103" si="584">IFERROR((FH$107-RANK(FH69,(FH$5:FH$103),0))/(FH$107-1),"")</f>
        <v/>
      </c>
      <c r="FK69" s="86"/>
      <c r="FL69" s="91" t="str">
        <f t="shared" si="481"/>
        <v/>
      </c>
      <c r="FM69" s="91" t="str">
        <f t="shared" ref="FM69:FM103" si="585">IFERROR((FK$107-RANK(FK69,(FK$5:FK$103),0))/(FK$107-1),"")</f>
        <v/>
      </c>
      <c r="FN69" s="86"/>
      <c r="FO69" s="91" t="str">
        <f t="shared" si="482"/>
        <v/>
      </c>
      <c r="FP69" s="91" t="str">
        <f t="shared" ref="FP69:FP103" si="586">IFERROR((FN$107-RANK(FN69,(FN$5:FN$103),0))/(FN$107-1),"")</f>
        <v/>
      </c>
      <c r="FQ69" s="86"/>
      <c r="FR69" s="91" t="str">
        <f t="shared" si="483"/>
        <v/>
      </c>
      <c r="FS69" s="91" t="str">
        <f t="shared" ref="FS69:FS103" si="587">IFERROR((FQ$107-RANK(FQ69,(FQ$5:FQ$103),0))/(FQ$107-1),"")</f>
        <v/>
      </c>
      <c r="FT69" s="86"/>
      <c r="FU69" s="91" t="str">
        <f t="shared" si="484"/>
        <v/>
      </c>
      <c r="FV69" s="91" t="str">
        <f t="shared" ref="FV69:FV103" si="588">IFERROR((FT$107-RANK(FT69,(FT$5:FT$103),0))/(FT$107-1),"")</f>
        <v/>
      </c>
      <c r="FW69" s="92"/>
      <c r="FX69" s="91" t="str">
        <f t="shared" si="485"/>
        <v/>
      </c>
      <c r="FY69" s="91" t="str">
        <f t="shared" ref="FY69:FY103" si="589">IFERROR((FW$107-RANK(FW69,(FW$5:FW$103),0))/(FW$107-1),"")</f>
        <v/>
      </c>
      <c r="FZ69" s="86"/>
      <c r="GA69" s="91" t="str">
        <f t="shared" si="486"/>
        <v/>
      </c>
      <c r="GB69" s="91" t="str">
        <f t="shared" ref="GB69:GB103" si="590">IFERROR((FZ$107-RANK(FZ69,(FZ$5:FZ$103),0))/(FZ$107-1),"")</f>
        <v/>
      </c>
      <c r="GC69" s="86">
        <v>99</v>
      </c>
      <c r="GD69" s="91">
        <f t="shared" si="487"/>
        <v>0.94288089928893148</v>
      </c>
      <c r="GE69" s="91">
        <f t="shared" ref="GE69:GE103" si="591">IFERROR((GC$107-RANK(GC69,(GC$5:GC$103),0))/(GC$107-1),"")</f>
        <v>1</v>
      </c>
      <c r="GF69" s="86">
        <v>98</v>
      </c>
      <c r="GG69" s="91">
        <f t="shared" si="488"/>
        <v>1.3587324409735149</v>
      </c>
      <c r="GH69" s="91">
        <f t="shared" ref="GH69:GH103" si="592">IFERROR((GF$107-RANK(GF69,(GF$5:GF$103),0))/(GF$107-1),"")</f>
        <v>1</v>
      </c>
      <c r="GI69" s="86"/>
      <c r="GJ69" s="91" t="str">
        <f t="shared" si="489"/>
        <v/>
      </c>
      <c r="GK69" s="91" t="str">
        <f t="shared" ref="GK69:GK103" si="593">IFERROR((GI$107-RANK(GI69,(GI$5:GI$103),0))/(GI$107-1),"")</f>
        <v/>
      </c>
      <c r="GL69" s="86"/>
      <c r="GM69" s="91" t="str">
        <f t="shared" si="490"/>
        <v/>
      </c>
      <c r="GN69" s="91" t="str">
        <f t="shared" ref="GN69:GN103" si="594">IFERROR((GL$107-RANK(GL69,(GL$5:GL$103),0))/(GL$107-1),"")</f>
        <v/>
      </c>
      <c r="GO69" s="86"/>
      <c r="GP69" s="91" t="str">
        <f t="shared" si="491"/>
        <v/>
      </c>
      <c r="GQ69" s="91" t="str">
        <f t="shared" ref="GQ69:GQ103" si="595">IFERROR((GO$107-RANK(GO69,(GO$5:GO$103),0))/(GO$107-1),"")</f>
        <v/>
      </c>
      <c r="GR69" s="86"/>
      <c r="GS69" s="91" t="str">
        <f t="shared" si="492"/>
        <v/>
      </c>
      <c r="GT69" s="91" t="str">
        <f t="shared" ref="GT69:GT103" si="596">IFERROR((GR$107-RANK(GR69,(GR$5:GR$103),0))/(GR$107-1),"")</f>
        <v/>
      </c>
      <c r="GU69" s="86"/>
      <c r="GV69" s="91" t="str">
        <f t="shared" si="493"/>
        <v/>
      </c>
      <c r="GW69" s="91" t="str">
        <f t="shared" ref="GW69:GW103" si="597">IFERROR((GU$107-RANK(GU69,(GU$5:GU$103),0))/(GU$107-1),"")</f>
        <v/>
      </c>
      <c r="GX69" s="86"/>
      <c r="GY69" s="91" t="str">
        <f t="shared" si="494"/>
        <v/>
      </c>
      <c r="GZ69" s="91" t="str">
        <f t="shared" ref="GZ69:GZ103" si="598">IFERROR((GX$107-RANK(GX69,(GX$5:GX$103),0))/(GX$107-1),"")</f>
        <v/>
      </c>
      <c r="HA69" s="86"/>
      <c r="HB69" s="91" t="str">
        <f t="shared" si="495"/>
        <v/>
      </c>
      <c r="HC69" s="91" t="str">
        <f t="shared" ref="HC69:HC103" si="599">IFERROR((HA$107-RANK(HA69,(HA$5:HA$103),0))/(HA$107-1),"")</f>
        <v/>
      </c>
      <c r="HD69" s="86"/>
      <c r="HE69" s="91" t="str">
        <f t="shared" si="496"/>
        <v/>
      </c>
      <c r="HF69" s="91" t="str">
        <f t="shared" ref="HF69:HF103" si="600">IFERROR((HD$107-RANK(HD69,(HD$5:HD$103),0))/(HD$107-1),"")</f>
        <v/>
      </c>
      <c r="HG69" s="86"/>
      <c r="HH69" s="91" t="str">
        <f t="shared" si="497"/>
        <v/>
      </c>
      <c r="HI69" s="91" t="str">
        <f t="shared" ref="HI69:HI103" si="601">IFERROR((HG$107-RANK(HG69,(HG$5:HG$103),0))/(HG$107-1),"")</f>
        <v/>
      </c>
      <c r="HJ69" s="86"/>
      <c r="HK69" s="91" t="str">
        <f t="shared" si="498"/>
        <v/>
      </c>
      <c r="HL69" s="91" t="str">
        <f t="shared" ref="HL69:HL103" si="602">IFERROR((HJ$107-RANK(HJ69,(HJ$5:HJ$103),0))/(HJ$107-1),"")</f>
        <v/>
      </c>
      <c r="HM69" s="86"/>
      <c r="HN69" s="91" t="str">
        <f t="shared" si="499"/>
        <v/>
      </c>
      <c r="HO69" s="91" t="str">
        <f t="shared" ref="HO69:HO103" si="603">IFERROR((HM$107-RANK(HM69,(HM$5:HM$103),0))/(HM$107-1),"")</f>
        <v/>
      </c>
      <c r="HP69" s="86"/>
      <c r="HQ69" s="91" t="str">
        <f t="shared" si="500"/>
        <v/>
      </c>
      <c r="HR69" s="91" t="str">
        <f t="shared" ref="HR69:HR103" si="604">IFERROR((HP$107-RANK(HP69,(HP$5:HP$103),0))/(HP$107-1),"")</f>
        <v/>
      </c>
      <c r="HS69" s="86"/>
      <c r="HT69" s="91" t="str">
        <f t="shared" si="501"/>
        <v/>
      </c>
      <c r="HU69" s="91" t="str">
        <f t="shared" ref="HU69:HU103" si="605">IFERROR((HS$107-RANK(HS69,(HS$5:HS$103),0))/(HS$107-1),"")</f>
        <v/>
      </c>
      <c r="HV69" s="86"/>
      <c r="HW69" s="91" t="str">
        <f t="shared" si="502"/>
        <v/>
      </c>
      <c r="HX69" s="91" t="str">
        <f t="shared" ref="HX69:HX103" si="606">IFERROR((HV$107-RANK(HV69,(HV$5:HV$103),0))/(HV$107-1),"")</f>
        <v/>
      </c>
      <c r="HY69" s="86"/>
      <c r="HZ69" s="91" t="str">
        <f t="shared" si="503"/>
        <v/>
      </c>
      <c r="IA69" s="91" t="str">
        <f t="shared" ref="IA69:IA103" si="607">IFERROR((HY$107-RANK(HY69,(HY$5:HY$103),0))/(HY$107-1),"")</f>
        <v/>
      </c>
      <c r="IB69" s="86"/>
      <c r="IC69" s="91" t="str">
        <f t="shared" si="504"/>
        <v/>
      </c>
      <c r="ID69" s="91" t="str">
        <f t="shared" ref="ID69:ID103" si="608">IFERROR((IB$107-RANK(IB69,(IB$5:IB$103),0))/(IB$107-1),"")</f>
        <v/>
      </c>
      <c r="IE69" s="86"/>
      <c r="IF69" s="91" t="str">
        <f t="shared" si="505"/>
        <v/>
      </c>
      <c r="IG69" s="91" t="str">
        <f t="shared" ref="IG69:IG103" si="609">IFERROR((IE$107-RANK(IE69,(IE$5:IE$103),0))/(IE$107-1),"")</f>
        <v/>
      </c>
      <c r="IH69" s="86"/>
      <c r="II69" s="91" t="str">
        <f t="shared" si="506"/>
        <v/>
      </c>
      <c r="IJ69" s="91" t="str">
        <f t="shared" ref="IJ69:IJ103" si="610">IFERROR((IH$107-RANK(IH69,(IH$5:IH$103),0))/(IH$107-1),"")</f>
        <v/>
      </c>
      <c r="IK69" s="86"/>
      <c r="IL69" s="91" t="str">
        <f t="shared" si="507"/>
        <v/>
      </c>
      <c r="IM69" s="91" t="str">
        <f t="shared" ref="IM69:IM103" si="611">IFERROR((IK$107-RANK(IK69,(IK$5:IK$103),0))/(IK$107-1),"")</f>
        <v/>
      </c>
      <c r="IN69" s="86"/>
      <c r="IO69" s="91" t="str">
        <f t="shared" si="508"/>
        <v/>
      </c>
      <c r="IP69" s="91" t="str">
        <f t="shared" ref="IP69:IP103" si="612">IFERROR((IN$107-RANK(IN69,(IN$5:IN$103),0))/(IN$107-1),"")</f>
        <v/>
      </c>
      <c r="IQ69" s="86"/>
      <c r="IR69" s="91" t="str">
        <f t="shared" si="509"/>
        <v/>
      </c>
      <c r="IS69" s="91" t="str">
        <f t="shared" ref="IS69:IS103" si="613">IFERROR((IQ$107-RANK(IQ69,(IQ$5:IQ$103),0))/(IQ$107-1),"")</f>
        <v/>
      </c>
      <c r="IT69" s="86"/>
      <c r="IU69" s="91" t="str">
        <f t="shared" si="510"/>
        <v/>
      </c>
      <c r="IV69" s="91" t="str">
        <f t="shared" ref="IV69:IV103" si="614">IFERROR((IT$107-RANK(IT69,(IT$5:IT$103),0))/(IT$107-1),"")</f>
        <v/>
      </c>
      <c r="IW69" s="86"/>
      <c r="IX69" s="91" t="str">
        <f t="shared" si="511"/>
        <v/>
      </c>
      <c r="IY69" s="91" t="str">
        <f t="shared" ref="IY69:IY103" si="615">IFERROR((IW$107-RANK(IW69,(IW$5:IW$103),0))/(IW$107-1),"")</f>
        <v/>
      </c>
      <c r="IZ69" s="86"/>
      <c r="JA69" s="91" t="str">
        <f t="shared" si="512"/>
        <v/>
      </c>
      <c r="JB69" s="91" t="str">
        <f t="shared" ref="JB69:JB103" si="616">IFERROR((IZ$107-RANK(IZ69,(IZ$5:IZ$103),0))/(IZ$107-1),"")</f>
        <v/>
      </c>
      <c r="JC69" s="86"/>
      <c r="JD69" s="91" t="str">
        <f t="shared" si="513"/>
        <v/>
      </c>
      <c r="JE69" s="91" t="str">
        <f t="shared" ref="JE69:JE103" si="617">IFERROR((JC$107-RANK(JC69,(JC$5:JC$103),0))/(JC$107-1),"")</f>
        <v/>
      </c>
      <c r="JF69" s="86"/>
      <c r="JG69" s="91" t="str">
        <f t="shared" si="514"/>
        <v/>
      </c>
      <c r="JH69" s="91" t="str">
        <f t="shared" ref="JH69:JH103" si="618">IFERROR((JF$107-RANK(JF69,(JF$5:JF$103),0))/(JF$107-1),"")</f>
        <v/>
      </c>
      <c r="JI69" s="86"/>
      <c r="JJ69" s="91" t="str">
        <f t="shared" si="515"/>
        <v/>
      </c>
      <c r="JK69" s="91" t="str">
        <f t="shared" ref="JK69:JK103" si="619">IFERROR((JI$107-RANK(JI69,(JI$5:JI$103),0))/(JI$107-1),"")</f>
        <v/>
      </c>
      <c r="JL69" s="86"/>
      <c r="JM69" s="91" t="str">
        <f t="shared" si="516"/>
        <v/>
      </c>
      <c r="JN69" s="91" t="str">
        <f t="shared" ref="JN69:JN103" si="620">IFERROR((JL$107-RANK(JL69,(JL$5:JL$103),0))/(JL$107-1),"")</f>
        <v/>
      </c>
      <c r="JO69" s="86"/>
      <c r="JP69" s="91" t="str">
        <f t="shared" si="517"/>
        <v/>
      </c>
      <c r="JQ69" s="91" t="str">
        <f t="shared" ref="JQ69:JQ103" si="621">IFERROR((JO$107-RANK(JO69,(JO$5:JO$103),0))/(JO$107-1),"")</f>
        <v/>
      </c>
      <c r="JR69" s="86"/>
      <c r="JS69" s="91" t="str">
        <f t="shared" si="518"/>
        <v/>
      </c>
      <c r="JT69" s="91" t="str">
        <f t="shared" ref="JT69:JT103" si="622">IFERROR((JR$107-RANK(JR69,(JR$5:JR$103),0))/(JR$107-1),"")</f>
        <v/>
      </c>
      <c r="JU69" s="86"/>
      <c r="JV69" s="91" t="str">
        <f t="shared" si="519"/>
        <v/>
      </c>
      <c r="JW69" s="91" t="str">
        <f t="shared" ref="JW69:JW103" si="623">IFERROR((JU$107-RANK(JU69,(JU$5:JU$103),0))/(JU$107-1),"")</f>
        <v/>
      </c>
      <c r="JX69" s="86"/>
      <c r="JY69" s="91" t="str">
        <f t="shared" si="520"/>
        <v/>
      </c>
      <c r="JZ69" s="91" t="str">
        <f t="shared" ref="JZ69:JZ103" si="624">IFERROR((JX$107-RANK(JX69,(JX$5:JX$103),0))/(JX$107-1),"")</f>
        <v/>
      </c>
      <c r="KA69" s="86"/>
      <c r="KB69" s="91" t="str">
        <f t="shared" si="521"/>
        <v/>
      </c>
      <c r="KC69" s="91" t="str">
        <f t="shared" ref="KC69:KC103" si="625">IFERROR((KA$107-RANK(KA69,(KA$5:KA$103),0))/(KA$107-1),"")</f>
        <v/>
      </c>
      <c r="KD69" s="86"/>
      <c r="KE69" s="91" t="str">
        <f t="shared" si="522"/>
        <v/>
      </c>
      <c r="KF69" s="91" t="str">
        <f t="shared" ref="KF69:KF103" si="626">IFERROR((KD$107-RANK(KD69,(KD$5:KD$103),0))/(KD$107-1),"")</f>
        <v/>
      </c>
      <c r="KG69" s="86"/>
      <c r="KH69" s="91" t="str">
        <f t="shared" si="523"/>
        <v/>
      </c>
      <c r="KI69" s="91" t="str">
        <f t="shared" ref="KI69:KI103" si="627">IFERROR((KG$107-RANK(KG69,(KG$5:KG$103),0))/(KG$107-1),"")</f>
        <v/>
      </c>
      <c r="KJ69" s="86"/>
      <c r="KK69" s="91" t="str">
        <f t="shared" si="524"/>
        <v/>
      </c>
      <c r="KL69" s="91" t="str">
        <f t="shared" ref="KL69:KL103" si="628">IFERROR((KJ$107-RANK(KJ69,(KJ$5:KJ$103),0))/(KJ$107-1),"")</f>
        <v/>
      </c>
      <c r="KM69" s="86"/>
      <c r="KN69" s="91" t="str">
        <f t="shared" si="525"/>
        <v/>
      </c>
      <c r="KO69" s="91" t="str">
        <f t="shared" ref="KO69:KO103" si="629">IFERROR((KM$107-RANK(KM69,(KM$5:KM$103),0))/(KM$107-1),"")</f>
        <v/>
      </c>
      <c r="KP69" s="86"/>
      <c r="KQ69" s="91" t="str">
        <f t="shared" si="526"/>
        <v/>
      </c>
      <c r="KR69" s="91" t="str">
        <f t="shared" ref="KR69:KR103" si="630">IFERROR((KP$107-RANK(KP69,(KP$5:KP$103),0))/(KP$107-1),"")</f>
        <v/>
      </c>
      <c r="KS69" s="86"/>
      <c r="KT69" s="91" t="str">
        <f t="shared" si="527"/>
        <v/>
      </c>
      <c r="KU69" s="91" t="str">
        <f t="shared" ref="KU69:KU103" si="631">IFERROR((KS$107-RANK(KS69,(KS$5:KS$103),0))/(KS$107-1),"")</f>
        <v/>
      </c>
      <c r="KV69" s="86"/>
      <c r="KW69" s="91" t="str">
        <f t="shared" si="528"/>
        <v/>
      </c>
      <c r="KX69" s="91" t="str">
        <f t="shared" ref="KX69:KX103" si="632">IFERROR((KV$107-RANK(KV69,(KV$5:KV$103),0))/(KV$107-1),"")</f>
        <v/>
      </c>
      <c r="KY69" s="92"/>
      <c r="KZ69" s="91" t="str">
        <f t="shared" si="529"/>
        <v/>
      </c>
      <c r="LA69" s="91" t="str">
        <f t="shared" ref="LA69:LA103" si="633">IFERROR((KY$107-RANK(KY69,(KY$5:KY$103),0))/(KY$107-1),"")</f>
        <v/>
      </c>
      <c r="LB69" s="106">
        <f t="shared" si="430"/>
        <v>95.333333333333329</v>
      </c>
      <c r="LC69" s="108">
        <f t="shared" ref="LC69:LC100" si="634">IFERROR(RANK(LB69,(LB$5:LB$103),0),"")</f>
        <v>7</v>
      </c>
      <c r="LD69" s="106">
        <f t="shared" ref="LD69:LD103" si="635">IFERROR(AVERAGE($O69,$R69,$U69,$X69,$AA69,$AD69,$AG69,$AJ69,$AM69,$AP69,$AS69,$AV69,$AY69,$BB69,$BE69,$BH69,$BK69,$BN69,$BQ69,$BT69,$BW69,$BZ69,$CC69,$CF69,$CI69,$CL69,$CO69,$CR69,$CU69,$CX69,$DA69,$DD69,$DG69,$DJ69,$DM69,$DP69,$DS69,$DV69,$DY69,$EB69,$EE69,$EH69,$EK69,$EN69,$EQ69,$ET69,$EW69,$EZ69,$FC69,$FF69,$FI69,$FL69,$FO69,$FR69,$FU69,$FX69,$GA69,$GD69,$GG69,$GJ69,$GM69,$GP69,$GS69,$GV69,$GY69,$HB69,$HE69,$HH69,$HK69,$HN69,$HQ69,$HT69,$HW69,$HZ69,$IC69,$IF69,$II69,$IL69,$IO69,$IR69,$IU69,$IX69,$JA69,$JD69,$JG69,$JJ69,$JM69,$JP69,$JS69,$JV69,$JY69,$KB69,$KE69,$KH69,$KK69,$KN69,$KQ69,$KT69,$KW69,$KZ69),"")</f>
        <v>1.0484122799411983</v>
      </c>
      <c r="LE69" s="108">
        <f t="shared" ref="LE69:LE100" si="636">IFERROR(RANK(LD69,(LD$5:LD$103),0),"")</f>
        <v>2</v>
      </c>
      <c r="LF69" s="106">
        <f t="shared" ref="LF69:LF103" si="637">IFERROR(AVERAGE($P69,$S69,$V69,$Y69,$AB69,$AE69,$AH69,$AK69,$AN69,$AQ69,$AT69,$AW69,$AZ69,$BC69,$BF69,$BI69,$BL69,$BO69,$BR69,$BU69,$BX69,$CA69,$CD69,$CG69,$CJ69,$CM69,$CP69,$CS69,$CV69,$CY69,$DB69,$DE69,$DH69,$DK69,$DN69,$DQ69,$DT69,$DW69,$DZ69,$EC69,$EF69,$EI69,$EL69,$EO69,$ER69,$EU69,$EX69,$FA69,$FD69,$FG69,$FJ69,$FM69,$FP69,$FS69,$FV69,$FY69,$GB69,$GE69,$GH69,$GK69,$GN69,$GQ69,$GT69,$GW69,$GZ69,$HC69,$HF69,$HI69,$HL69,$HO69,$HR69,$HU69,$HX69,$IA69,$ID69,$IG69,$IJ69,$IM69,$IP69,$IS69,$IV69,$IY69,$JB69,$JE69,$JH69,$JK69,$JN69,$JQ69,$JT69,$JW69,$JZ69,$KC69,$KF69,$KI69,$KL69,$KO69,$KR69,$KU69,$KX69,$LA69),"")</f>
        <v>0.93333333333333324</v>
      </c>
      <c r="LG69" s="108">
        <f t="shared" ref="LG69:LG100" si="638">IFERROR(RANK(LF69,(LF$5:LF$103),0),"")</f>
        <v>3</v>
      </c>
      <c r="LH69" s="109">
        <f t="shared" si="530"/>
        <v>48.538011695906434</v>
      </c>
      <c r="LI69" s="109">
        <f t="shared" si="531"/>
        <v>49.636242952407201</v>
      </c>
      <c r="LJ69" s="109">
        <f t="shared" si="532"/>
        <v>48.333333333333329</v>
      </c>
      <c r="LK69" s="109">
        <f t="shared" ref="LK69:LK100" si="639">IFERROR(LH69+LI69+LJ69-50,"")</f>
        <v>96.507587981646964</v>
      </c>
      <c r="LL69" s="111">
        <f t="shared" ref="LL69:LL100" si="640">IFERROR(RANK(LK69,(LK$5:LK$103),0),"")</f>
        <v>3</v>
      </c>
      <c r="LM69" s="64"/>
      <c r="LN69" s="61">
        <f t="shared" si="533"/>
        <v>1</v>
      </c>
      <c r="LO69" s="113">
        <f t="shared" ref="LO69:LO81" si="641">LL69</f>
        <v>3</v>
      </c>
      <c r="LP69" s="64"/>
      <c r="LQ69" s="64"/>
      <c r="LR69" s="64"/>
      <c r="LS69" s="62"/>
      <c r="LT69" s="62"/>
      <c r="LU69" s="62"/>
      <c r="LV69" s="62"/>
    </row>
    <row r="70" spans="1:334" s="267" customFormat="1" ht="15" customHeight="1">
      <c r="A70" s="254">
        <f t="shared" ref="A70:A103" si="642">COUNTA($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5</v>
      </c>
      <c r="B70" s="254">
        <f t="shared" ref="B70:B103" si="643">COUNT($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0</v>
      </c>
      <c r="C70" s="268" t="s">
        <v>319</v>
      </c>
      <c r="D70" s="256" t="s">
        <v>318</v>
      </c>
      <c r="E70" s="257" t="s">
        <v>680</v>
      </c>
      <c r="F70" s="257"/>
      <c r="G70" s="257"/>
      <c r="H70" s="257" t="s">
        <v>320</v>
      </c>
      <c r="I70" s="288" t="s">
        <v>591</v>
      </c>
      <c r="J70" s="257" t="s">
        <v>321</v>
      </c>
      <c r="K70" s="257" t="s">
        <v>322</v>
      </c>
      <c r="L70" s="269" t="s">
        <v>323</v>
      </c>
      <c r="M70" s="257" t="s">
        <v>35</v>
      </c>
      <c r="N70" s="258"/>
      <c r="O70" s="259" t="str">
        <f t="shared" si="431"/>
        <v/>
      </c>
      <c r="P70" s="259" t="str">
        <f t="shared" si="534"/>
        <v/>
      </c>
      <c r="Q70" s="258"/>
      <c r="R70" s="259" t="str">
        <f t="shared" si="432"/>
        <v/>
      </c>
      <c r="S70" s="259" t="str">
        <f t="shared" si="535"/>
        <v/>
      </c>
      <c r="T70" s="258"/>
      <c r="U70" s="259" t="str">
        <f t="shared" si="433"/>
        <v/>
      </c>
      <c r="V70" s="259" t="str">
        <f t="shared" si="536"/>
        <v/>
      </c>
      <c r="W70" s="258"/>
      <c r="X70" s="259" t="str">
        <f t="shared" si="434"/>
        <v/>
      </c>
      <c r="Y70" s="259" t="str">
        <f t="shared" si="537"/>
        <v/>
      </c>
      <c r="Z70" s="258"/>
      <c r="AA70" s="259" t="str">
        <f t="shared" si="435"/>
        <v/>
      </c>
      <c r="AB70" s="259" t="str">
        <f t="shared" si="538"/>
        <v/>
      </c>
      <c r="AC70" s="258"/>
      <c r="AD70" s="259" t="str">
        <f t="shared" si="436"/>
        <v/>
      </c>
      <c r="AE70" s="259" t="str">
        <f t="shared" si="539"/>
        <v/>
      </c>
      <c r="AF70" s="258"/>
      <c r="AG70" s="259" t="str">
        <f t="shared" si="437"/>
        <v/>
      </c>
      <c r="AH70" s="259" t="str">
        <f t="shared" si="540"/>
        <v/>
      </c>
      <c r="AI70" s="258" t="s">
        <v>49</v>
      </c>
      <c r="AJ70" s="259" t="str">
        <f t="shared" si="438"/>
        <v/>
      </c>
      <c r="AK70" s="259" t="str">
        <f t="shared" si="541"/>
        <v/>
      </c>
      <c r="AL70" s="258"/>
      <c r="AM70" s="259" t="str">
        <f t="shared" si="439"/>
        <v/>
      </c>
      <c r="AN70" s="259" t="str">
        <f t="shared" si="542"/>
        <v/>
      </c>
      <c r="AO70" s="258"/>
      <c r="AP70" s="259" t="str">
        <f t="shared" si="440"/>
        <v/>
      </c>
      <c r="AQ70" s="259" t="str">
        <f t="shared" si="543"/>
        <v/>
      </c>
      <c r="AR70" s="258"/>
      <c r="AS70" s="259" t="str">
        <f t="shared" si="441"/>
        <v/>
      </c>
      <c r="AT70" s="259" t="str">
        <f t="shared" si="544"/>
        <v/>
      </c>
      <c r="AU70" s="258"/>
      <c r="AV70" s="259" t="str">
        <f t="shared" si="442"/>
        <v/>
      </c>
      <c r="AW70" s="259" t="str">
        <f t="shared" si="545"/>
        <v/>
      </c>
      <c r="AX70" s="258"/>
      <c r="AY70" s="259" t="str">
        <f t="shared" si="443"/>
        <v/>
      </c>
      <c r="AZ70" s="259" t="str">
        <f t="shared" si="546"/>
        <v/>
      </c>
      <c r="BA70" s="258" t="s">
        <v>53</v>
      </c>
      <c r="BB70" s="259" t="str">
        <f t="shared" si="444"/>
        <v/>
      </c>
      <c r="BC70" s="259" t="str">
        <f t="shared" si="547"/>
        <v/>
      </c>
      <c r="BD70" s="258" t="s">
        <v>54</v>
      </c>
      <c r="BE70" s="259" t="str">
        <f t="shared" si="445"/>
        <v/>
      </c>
      <c r="BF70" s="259" t="str">
        <f t="shared" si="548"/>
        <v/>
      </c>
      <c r="BG70" s="258"/>
      <c r="BH70" s="259" t="str">
        <f t="shared" si="446"/>
        <v/>
      </c>
      <c r="BI70" s="259" t="str">
        <f t="shared" si="549"/>
        <v/>
      </c>
      <c r="BJ70" s="258"/>
      <c r="BK70" s="259" t="str">
        <f t="shared" si="447"/>
        <v/>
      </c>
      <c r="BL70" s="259" t="str">
        <f t="shared" si="550"/>
        <v/>
      </c>
      <c r="BM70" s="258"/>
      <c r="BN70" s="259" t="str">
        <f t="shared" si="448"/>
        <v/>
      </c>
      <c r="BO70" s="259" t="str">
        <f t="shared" si="551"/>
        <v/>
      </c>
      <c r="BP70" s="255"/>
      <c r="BQ70" s="259" t="str">
        <f t="shared" si="449"/>
        <v/>
      </c>
      <c r="BR70" s="259" t="str">
        <f t="shared" si="552"/>
        <v/>
      </c>
      <c r="BS70" s="258"/>
      <c r="BT70" s="259" t="str">
        <f t="shared" si="450"/>
        <v/>
      </c>
      <c r="BU70" s="259" t="str">
        <f t="shared" si="553"/>
        <v/>
      </c>
      <c r="BV70" s="258"/>
      <c r="BW70" s="259" t="str">
        <f t="shared" si="451"/>
        <v/>
      </c>
      <c r="BX70" s="259" t="str">
        <f t="shared" si="554"/>
        <v/>
      </c>
      <c r="BY70" s="258"/>
      <c r="BZ70" s="259" t="str">
        <f t="shared" si="452"/>
        <v/>
      </c>
      <c r="CA70" s="259" t="str">
        <f t="shared" si="555"/>
        <v/>
      </c>
      <c r="CB70" s="258"/>
      <c r="CC70" s="259" t="str">
        <f t="shared" si="453"/>
        <v/>
      </c>
      <c r="CD70" s="259" t="str">
        <f t="shared" si="556"/>
        <v/>
      </c>
      <c r="CE70" s="258" t="s">
        <v>63</v>
      </c>
      <c r="CF70" s="259" t="str">
        <f t="shared" si="454"/>
        <v/>
      </c>
      <c r="CG70" s="259" t="str">
        <f t="shared" si="557"/>
        <v/>
      </c>
      <c r="CH70" s="258"/>
      <c r="CI70" s="259" t="str">
        <f t="shared" si="455"/>
        <v/>
      </c>
      <c r="CJ70" s="259" t="str">
        <f t="shared" si="558"/>
        <v/>
      </c>
      <c r="CK70" s="258"/>
      <c r="CL70" s="259" t="str">
        <f t="shared" si="456"/>
        <v/>
      </c>
      <c r="CM70" s="259" t="str">
        <f t="shared" si="559"/>
        <v/>
      </c>
      <c r="CN70" s="258"/>
      <c r="CO70" s="259" t="str">
        <f t="shared" si="457"/>
        <v/>
      </c>
      <c r="CP70" s="259" t="str">
        <f t="shared" si="560"/>
        <v/>
      </c>
      <c r="CQ70" s="258"/>
      <c r="CR70" s="259" t="str">
        <f t="shared" si="458"/>
        <v/>
      </c>
      <c r="CS70" s="259" t="str">
        <f t="shared" si="561"/>
        <v/>
      </c>
      <c r="CT70" s="258"/>
      <c r="CU70" s="259" t="str">
        <f t="shared" si="459"/>
        <v/>
      </c>
      <c r="CV70" s="259" t="str">
        <f t="shared" si="562"/>
        <v/>
      </c>
      <c r="CW70" s="258"/>
      <c r="CX70" s="259" t="str">
        <f t="shared" si="460"/>
        <v/>
      </c>
      <c r="CY70" s="259" t="str">
        <f t="shared" si="563"/>
        <v/>
      </c>
      <c r="CZ70" s="258"/>
      <c r="DA70" s="259" t="str">
        <f t="shared" si="461"/>
        <v/>
      </c>
      <c r="DB70" s="259" t="str">
        <f t="shared" si="564"/>
        <v/>
      </c>
      <c r="DC70" s="258"/>
      <c r="DD70" s="259" t="str">
        <f t="shared" si="462"/>
        <v/>
      </c>
      <c r="DE70" s="259" t="str">
        <f t="shared" si="565"/>
        <v/>
      </c>
      <c r="DF70" s="258"/>
      <c r="DG70" s="259"/>
      <c r="DH70" s="259" t="str">
        <f t="shared" si="566"/>
        <v/>
      </c>
      <c r="DI70" s="258"/>
      <c r="DJ70" s="259" t="str">
        <f t="shared" si="463"/>
        <v/>
      </c>
      <c r="DK70" s="259" t="str">
        <f t="shared" si="567"/>
        <v/>
      </c>
      <c r="DL70" s="258"/>
      <c r="DM70" s="259" t="str">
        <f t="shared" si="464"/>
        <v/>
      </c>
      <c r="DN70" s="259" t="str">
        <f t="shared" si="568"/>
        <v/>
      </c>
      <c r="DO70" s="258"/>
      <c r="DP70" s="259" t="str">
        <f t="shared" si="465"/>
        <v/>
      </c>
      <c r="DQ70" s="259" t="str">
        <f t="shared" si="569"/>
        <v/>
      </c>
      <c r="DR70" s="258"/>
      <c r="DS70" s="259" t="str">
        <f t="shared" si="466"/>
        <v/>
      </c>
      <c r="DT70" s="259" t="str">
        <f t="shared" si="570"/>
        <v/>
      </c>
      <c r="DU70" s="258"/>
      <c r="DV70" s="259" t="str">
        <f t="shared" si="467"/>
        <v/>
      </c>
      <c r="DW70" s="259" t="str">
        <f t="shared" si="571"/>
        <v/>
      </c>
      <c r="DX70" s="258"/>
      <c r="DY70" s="259" t="str">
        <f t="shared" si="468"/>
        <v/>
      </c>
      <c r="DZ70" s="259" t="str">
        <f t="shared" si="572"/>
        <v/>
      </c>
      <c r="EA70" s="258"/>
      <c r="EB70" s="259" t="str">
        <f t="shared" si="469"/>
        <v/>
      </c>
      <c r="EC70" s="259" t="str">
        <f t="shared" si="573"/>
        <v/>
      </c>
      <c r="ED70" s="258"/>
      <c r="EE70" s="259" t="str">
        <f t="shared" si="470"/>
        <v/>
      </c>
      <c r="EF70" s="259" t="str">
        <f t="shared" si="574"/>
        <v/>
      </c>
      <c r="EG70" s="258"/>
      <c r="EH70" s="259" t="str">
        <f t="shared" si="471"/>
        <v/>
      </c>
      <c r="EI70" s="259" t="str">
        <f t="shared" si="575"/>
        <v/>
      </c>
      <c r="EJ70" s="258"/>
      <c r="EK70" s="259" t="str">
        <f t="shared" si="472"/>
        <v/>
      </c>
      <c r="EL70" s="259" t="str">
        <f t="shared" si="576"/>
        <v/>
      </c>
      <c r="EM70" s="258"/>
      <c r="EN70" s="259" t="str">
        <f t="shared" si="473"/>
        <v/>
      </c>
      <c r="EO70" s="259" t="str">
        <f t="shared" si="577"/>
        <v/>
      </c>
      <c r="EP70" s="258"/>
      <c r="EQ70" s="259" t="str">
        <f t="shared" si="474"/>
        <v/>
      </c>
      <c r="ER70" s="259" t="str">
        <f t="shared" si="578"/>
        <v/>
      </c>
      <c r="ES70" s="255"/>
      <c r="ET70" s="259" t="str">
        <f t="shared" si="475"/>
        <v/>
      </c>
      <c r="EU70" s="259" t="str">
        <f t="shared" si="579"/>
        <v/>
      </c>
      <c r="EV70" s="258"/>
      <c r="EW70" s="259" t="str">
        <f t="shared" si="476"/>
        <v/>
      </c>
      <c r="EX70" s="259" t="str">
        <f t="shared" si="580"/>
        <v/>
      </c>
      <c r="EY70" s="258"/>
      <c r="EZ70" s="259" t="str">
        <f t="shared" si="477"/>
        <v/>
      </c>
      <c r="FA70" s="259" t="str">
        <f t="shared" si="581"/>
        <v/>
      </c>
      <c r="FB70" s="258"/>
      <c r="FC70" s="259" t="str">
        <f t="shared" si="478"/>
        <v/>
      </c>
      <c r="FD70" s="259" t="str">
        <f t="shared" si="582"/>
        <v/>
      </c>
      <c r="FE70" s="258"/>
      <c r="FF70" s="259" t="str">
        <f t="shared" si="479"/>
        <v/>
      </c>
      <c r="FG70" s="259" t="str">
        <f t="shared" si="583"/>
        <v/>
      </c>
      <c r="FH70" s="258"/>
      <c r="FI70" s="259" t="str">
        <f t="shared" si="480"/>
        <v/>
      </c>
      <c r="FJ70" s="259" t="str">
        <f t="shared" si="584"/>
        <v/>
      </c>
      <c r="FK70" s="258"/>
      <c r="FL70" s="259" t="str">
        <f t="shared" si="481"/>
        <v/>
      </c>
      <c r="FM70" s="259" t="str">
        <f t="shared" si="585"/>
        <v/>
      </c>
      <c r="FN70" s="258"/>
      <c r="FO70" s="259" t="str">
        <f t="shared" si="482"/>
        <v/>
      </c>
      <c r="FP70" s="259" t="str">
        <f t="shared" si="586"/>
        <v/>
      </c>
      <c r="FQ70" s="258"/>
      <c r="FR70" s="259" t="str">
        <f t="shared" si="483"/>
        <v/>
      </c>
      <c r="FS70" s="259" t="str">
        <f t="shared" si="587"/>
        <v/>
      </c>
      <c r="FT70" s="258"/>
      <c r="FU70" s="259" t="str">
        <f t="shared" si="484"/>
        <v/>
      </c>
      <c r="FV70" s="259" t="str">
        <f t="shared" si="588"/>
        <v/>
      </c>
      <c r="FW70" s="260"/>
      <c r="FX70" s="259" t="str">
        <f t="shared" si="485"/>
        <v/>
      </c>
      <c r="FY70" s="259" t="str">
        <f t="shared" si="589"/>
        <v/>
      </c>
      <c r="FZ70" s="258"/>
      <c r="GA70" s="259" t="str">
        <f t="shared" si="486"/>
        <v/>
      </c>
      <c r="GB70" s="259" t="str">
        <f t="shared" si="590"/>
        <v/>
      </c>
      <c r="GC70" s="258"/>
      <c r="GD70" s="259" t="str">
        <f t="shared" si="487"/>
        <v/>
      </c>
      <c r="GE70" s="259" t="str">
        <f t="shared" si="591"/>
        <v/>
      </c>
      <c r="GF70" s="258"/>
      <c r="GG70" s="259" t="str">
        <f t="shared" si="488"/>
        <v/>
      </c>
      <c r="GH70" s="259" t="str">
        <f t="shared" si="592"/>
        <v/>
      </c>
      <c r="GI70" s="258"/>
      <c r="GJ70" s="259" t="str">
        <f t="shared" si="489"/>
        <v/>
      </c>
      <c r="GK70" s="259" t="str">
        <f t="shared" si="593"/>
        <v/>
      </c>
      <c r="GL70" s="258"/>
      <c r="GM70" s="259" t="str">
        <f t="shared" si="490"/>
        <v/>
      </c>
      <c r="GN70" s="259" t="str">
        <f t="shared" si="594"/>
        <v/>
      </c>
      <c r="GO70" s="258"/>
      <c r="GP70" s="259" t="str">
        <f t="shared" si="491"/>
        <v/>
      </c>
      <c r="GQ70" s="259" t="str">
        <f t="shared" si="595"/>
        <v/>
      </c>
      <c r="GR70" s="258"/>
      <c r="GS70" s="259" t="str">
        <f t="shared" si="492"/>
        <v/>
      </c>
      <c r="GT70" s="259" t="str">
        <f t="shared" si="596"/>
        <v/>
      </c>
      <c r="GU70" s="258"/>
      <c r="GV70" s="259" t="str">
        <f t="shared" si="493"/>
        <v/>
      </c>
      <c r="GW70" s="259" t="str">
        <f t="shared" si="597"/>
        <v/>
      </c>
      <c r="GX70" s="258"/>
      <c r="GY70" s="259" t="str">
        <f t="shared" si="494"/>
        <v/>
      </c>
      <c r="GZ70" s="259" t="str">
        <f t="shared" si="598"/>
        <v/>
      </c>
      <c r="HA70" s="258" t="s">
        <v>316</v>
      </c>
      <c r="HB70" s="259" t="str">
        <f t="shared" si="495"/>
        <v/>
      </c>
      <c r="HC70" s="259" t="str">
        <f t="shared" si="599"/>
        <v/>
      </c>
      <c r="HD70" s="258"/>
      <c r="HE70" s="259" t="str">
        <f t="shared" si="496"/>
        <v/>
      </c>
      <c r="HF70" s="259" t="str">
        <f t="shared" si="600"/>
        <v/>
      </c>
      <c r="HG70" s="258"/>
      <c r="HH70" s="259" t="str">
        <f t="shared" si="497"/>
        <v/>
      </c>
      <c r="HI70" s="259" t="str">
        <f t="shared" si="601"/>
        <v/>
      </c>
      <c r="HJ70" s="258"/>
      <c r="HK70" s="259" t="str">
        <f t="shared" si="498"/>
        <v/>
      </c>
      <c r="HL70" s="259" t="str">
        <f t="shared" si="602"/>
        <v/>
      </c>
      <c r="HM70" s="258"/>
      <c r="HN70" s="259" t="str">
        <f t="shared" si="499"/>
        <v/>
      </c>
      <c r="HO70" s="259" t="str">
        <f t="shared" si="603"/>
        <v/>
      </c>
      <c r="HP70" s="258"/>
      <c r="HQ70" s="259" t="str">
        <f t="shared" si="500"/>
        <v/>
      </c>
      <c r="HR70" s="259" t="str">
        <f t="shared" si="604"/>
        <v/>
      </c>
      <c r="HS70" s="258"/>
      <c r="HT70" s="259" t="str">
        <f t="shared" si="501"/>
        <v/>
      </c>
      <c r="HU70" s="259" t="str">
        <f t="shared" si="605"/>
        <v/>
      </c>
      <c r="HV70" s="258"/>
      <c r="HW70" s="259" t="str">
        <f t="shared" si="502"/>
        <v/>
      </c>
      <c r="HX70" s="259" t="str">
        <f t="shared" si="606"/>
        <v/>
      </c>
      <c r="HY70" s="258"/>
      <c r="HZ70" s="259" t="str">
        <f t="shared" si="503"/>
        <v/>
      </c>
      <c r="IA70" s="259" t="str">
        <f t="shared" si="607"/>
        <v/>
      </c>
      <c r="IB70" s="258"/>
      <c r="IC70" s="259" t="str">
        <f t="shared" si="504"/>
        <v/>
      </c>
      <c r="ID70" s="259" t="str">
        <f t="shared" si="608"/>
        <v/>
      </c>
      <c r="IE70" s="258"/>
      <c r="IF70" s="259" t="str">
        <f t="shared" si="505"/>
        <v/>
      </c>
      <c r="IG70" s="259" t="str">
        <f t="shared" si="609"/>
        <v/>
      </c>
      <c r="IH70" s="258"/>
      <c r="II70" s="259" t="str">
        <f t="shared" si="506"/>
        <v/>
      </c>
      <c r="IJ70" s="259" t="str">
        <f t="shared" si="610"/>
        <v/>
      </c>
      <c r="IK70" s="258"/>
      <c r="IL70" s="259" t="str">
        <f t="shared" si="507"/>
        <v/>
      </c>
      <c r="IM70" s="259" t="str">
        <f t="shared" si="611"/>
        <v/>
      </c>
      <c r="IN70" s="258"/>
      <c r="IO70" s="259" t="str">
        <f t="shared" si="508"/>
        <v/>
      </c>
      <c r="IP70" s="259" t="str">
        <f t="shared" si="612"/>
        <v/>
      </c>
      <c r="IQ70" s="258"/>
      <c r="IR70" s="259" t="str">
        <f t="shared" si="509"/>
        <v/>
      </c>
      <c r="IS70" s="259" t="str">
        <f t="shared" si="613"/>
        <v/>
      </c>
      <c r="IT70" s="258"/>
      <c r="IU70" s="259" t="str">
        <f t="shared" si="510"/>
        <v/>
      </c>
      <c r="IV70" s="259" t="str">
        <f t="shared" si="614"/>
        <v/>
      </c>
      <c r="IW70" s="258"/>
      <c r="IX70" s="259" t="str">
        <f t="shared" si="511"/>
        <v/>
      </c>
      <c r="IY70" s="259" t="str">
        <f t="shared" si="615"/>
        <v/>
      </c>
      <c r="IZ70" s="258"/>
      <c r="JA70" s="259" t="str">
        <f t="shared" si="512"/>
        <v/>
      </c>
      <c r="JB70" s="259" t="str">
        <f t="shared" si="616"/>
        <v/>
      </c>
      <c r="JC70" s="258"/>
      <c r="JD70" s="259" t="str">
        <f t="shared" si="513"/>
        <v/>
      </c>
      <c r="JE70" s="259" t="str">
        <f t="shared" si="617"/>
        <v/>
      </c>
      <c r="JF70" s="258"/>
      <c r="JG70" s="259" t="str">
        <f t="shared" si="514"/>
        <v/>
      </c>
      <c r="JH70" s="259" t="str">
        <f t="shared" si="618"/>
        <v/>
      </c>
      <c r="JI70" s="258"/>
      <c r="JJ70" s="259" t="str">
        <f t="shared" si="515"/>
        <v/>
      </c>
      <c r="JK70" s="259" t="str">
        <f t="shared" si="619"/>
        <v/>
      </c>
      <c r="JL70" s="258"/>
      <c r="JM70" s="259" t="str">
        <f t="shared" si="516"/>
        <v/>
      </c>
      <c r="JN70" s="259" t="str">
        <f t="shared" si="620"/>
        <v/>
      </c>
      <c r="JO70" s="258"/>
      <c r="JP70" s="259" t="str">
        <f t="shared" si="517"/>
        <v/>
      </c>
      <c r="JQ70" s="259" t="str">
        <f t="shared" si="621"/>
        <v/>
      </c>
      <c r="JR70" s="258"/>
      <c r="JS70" s="259" t="str">
        <f t="shared" si="518"/>
        <v/>
      </c>
      <c r="JT70" s="259" t="str">
        <f t="shared" si="622"/>
        <v/>
      </c>
      <c r="JU70" s="258"/>
      <c r="JV70" s="259" t="str">
        <f t="shared" si="519"/>
        <v/>
      </c>
      <c r="JW70" s="259" t="str">
        <f t="shared" si="623"/>
        <v/>
      </c>
      <c r="JX70" s="258"/>
      <c r="JY70" s="259" t="str">
        <f t="shared" si="520"/>
        <v/>
      </c>
      <c r="JZ70" s="259" t="str">
        <f t="shared" si="624"/>
        <v/>
      </c>
      <c r="KA70" s="258"/>
      <c r="KB70" s="259" t="str">
        <f t="shared" si="521"/>
        <v/>
      </c>
      <c r="KC70" s="259" t="str">
        <f t="shared" si="625"/>
        <v/>
      </c>
      <c r="KD70" s="258"/>
      <c r="KE70" s="259" t="str">
        <f t="shared" si="522"/>
        <v/>
      </c>
      <c r="KF70" s="259" t="str">
        <f t="shared" si="626"/>
        <v/>
      </c>
      <c r="KG70" s="258"/>
      <c r="KH70" s="259" t="str">
        <f t="shared" si="523"/>
        <v/>
      </c>
      <c r="KI70" s="259" t="str">
        <f t="shared" si="627"/>
        <v/>
      </c>
      <c r="KJ70" s="258"/>
      <c r="KK70" s="259" t="str">
        <f t="shared" si="524"/>
        <v/>
      </c>
      <c r="KL70" s="259" t="str">
        <f t="shared" si="628"/>
        <v/>
      </c>
      <c r="KM70" s="258"/>
      <c r="KN70" s="259" t="str">
        <f t="shared" si="525"/>
        <v/>
      </c>
      <c r="KO70" s="259" t="str">
        <f t="shared" si="629"/>
        <v/>
      </c>
      <c r="KP70" s="258"/>
      <c r="KQ70" s="259" t="str">
        <f t="shared" si="526"/>
        <v/>
      </c>
      <c r="KR70" s="259" t="str">
        <f t="shared" si="630"/>
        <v/>
      </c>
      <c r="KS70" s="258"/>
      <c r="KT70" s="259" t="str">
        <f t="shared" si="527"/>
        <v/>
      </c>
      <c r="KU70" s="259" t="str">
        <f t="shared" si="631"/>
        <v/>
      </c>
      <c r="KV70" s="258"/>
      <c r="KW70" s="259" t="str">
        <f t="shared" si="528"/>
        <v/>
      </c>
      <c r="KX70" s="259" t="str">
        <f t="shared" si="632"/>
        <v/>
      </c>
      <c r="KY70" s="260"/>
      <c r="KZ70" s="259" t="str">
        <f t="shared" si="529"/>
        <v/>
      </c>
      <c r="LA70" s="259" t="str">
        <f t="shared" si="633"/>
        <v/>
      </c>
      <c r="LB70" s="254" t="str">
        <f t="shared" si="430"/>
        <v/>
      </c>
      <c r="LC70" s="57" t="str">
        <f t="shared" si="634"/>
        <v/>
      </c>
      <c r="LD70" s="254" t="str">
        <f t="shared" si="635"/>
        <v/>
      </c>
      <c r="LE70" s="57" t="str">
        <f t="shared" si="636"/>
        <v/>
      </c>
      <c r="LF70" s="254" t="str">
        <f t="shared" si="637"/>
        <v/>
      </c>
      <c r="LG70" s="57" t="str">
        <f t="shared" si="638"/>
        <v/>
      </c>
      <c r="LH70" s="261" t="str">
        <f t="shared" si="530"/>
        <v/>
      </c>
      <c r="LI70" s="261" t="str">
        <f t="shared" si="531"/>
        <v/>
      </c>
      <c r="LJ70" s="261" t="str">
        <f t="shared" si="532"/>
        <v/>
      </c>
      <c r="LK70" s="261" t="str">
        <f t="shared" si="639"/>
        <v/>
      </c>
      <c r="LL70" s="263" t="str">
        <f t="shared" si="640"/>
        <v/>
      </c>
      <c r="LM70" s="264"/>
      <c r="LN70" s="265" t="str">
        <f>IFERROR(RANK(LK70,(LK$70:LK$70),0),"")</f>
        <v/>
      </c>
      <c r="LO70" s="266" t="str">
        <f t="shared" si="641"/>
        <v/>
      </c>
      <c r="LP70" s="264"/>
      <c r="LQ70" s="264"/>
      <c r="LR70" s="264"/>
    </row>
    <row r="71" spans="1:334" s="62" customFormat="1" ht="15" customHeight="1">
      <c r="A71" s="106">
        <f t="shared" si="642"/>
        <v>0</v>
      </c>
      <c r="B71" s="106">
        <f t="shared" si="643"/>
        <v>0</v>
      </c>
      <c r="C71" s="51"/>
      <c r="D71" s="52"/>
      <c r="E71" s="53"/>
      <c r="F71" s="53"/>
      <c r="G71" s="53"/>
      <c r="H71" s="53"/>
      <c r="I71" s="53"/>
      <c r="J71" s="53"/>
      <c r="K71" s="53"/>
      <c r="L71" s="53"/>
      <c r="M71" s="107" t="s">
        <v>35</v>
      </c>
      <c r="N71" s="86"/>
      <c r="O71" s="91" t="str">
        <f t="shared" si="431"/>
        <v/>
      </c>
      <c r="P71" s="91" t="str">
        <f t="shared" si="534"/>
        <v/>
      </c>
      <c r="Q71" s="86"/>
      <c r="R71" s="91" t="str">
        <f t="shared" si="432"/>
        <v/>
      </c>
      <c r="S71" s="91" t="str">
        <f t="shared" si="535"/>
        <v/>
      </c>
      <c r="T71" s="86"/>
      <c r="U71" s="91" t="str">
        <f t="shared" si="433"/>
        <v/>
      </c>
      <c r="V71" s="91" t="str">
        <f t="shared" si="536"/>
        <v/>
      </c>
      <c r="W71" s="86"/>
      <c r="X71" s="91" t="str">
        <f t="shared" si="434"/>
        <v/>
      </c>
      <c r="Y71" s="91" t="str">
        <f t="shared" si="537"/>
        <v/>
      </c>
      <c r="Z71" s="86"/>
      <c r="AA71" s="91" t="str">
        <f t="shared" si="435"/>
        <v/>
      </c>
      <c r="AB71" s="91" t="str">
        <f t="shared" si="538"/>
        <v/>
      </c>
      <c r="AC71" s="86"/>
      <c r="AD71" s="91" t="str">
        <f t="shared" si="436"/>
        <v/>
      </c>
      <c r="AE71" s="91" t="str">
        <f t="shared" si="539"/>
        <v/>
      </c>
      <c r="AF71" s="86"/>
      <c r="AG71" s="91" t="str">
        <f t="shared" si="437"/>
        <v/>
      </c>
      <c r="AH71" s="91" t="str">
        <f t="shared" si="540"/>
        <v/>
      </c>
      <c r="AI71" s="86"/>
      <c r="AJ71" s="91" t="str">
        <f t="shared" si="438"/>
        <v/>
      </c>
      <c r="AK71" s="91" t="str">
        <f t="shared" si="541"/>
        <v/>
      </c>
      <c r="AL71" s="86"/>
      <c r="AM71" s="91" t="str">
        <f t="shared" si="439"/>
        <v/>
      </c>
      <c r="AN71" s="91" t="str">
        <f t="shared" si="542"/>
        <v/>
      </c>
      <c r="AO71" s="86"/>
      <c r="AP71" s="91" t="str">
        <f t="shared" si="440"/>
        <v/>
      </c>
      <c r="AQ71" s="91" t="str">
        <f t="shared" si="543"/>
        <v/>
      </c>
      <c r="AR71" s="86"/>
      <c r="AS71" s="91" t="str">
        <f t="shared" si="441"/>
        <v/>
      </c>
      <c r="AT71" s="91" t="str">
        <f t="shared" si="544"/>
        <v/>
      </c>
      <c r="AU71" s="86"/>
      <c r="AV71" s="91" t="str">
        <f t="shared" si="442"/>
        <v/>
      </c>
      <c r="AW71" s="91" t="str">
        <f t="shared" si="545"/>
        <v/>
      </c>
      <c r="AX71" s="86"/>
      <c r="AY71" s="91" t="str">
        <f t="shared" si="443"/>
        <v/>
      </c>
      <c r="AZ71" s="91" t="str">
        <f t="shared" si="546"/>
        <v/>
      </c>
      <c r="BA71" s="86"/>
      <c r="BB71" s="91" t="str">
        <f t="shared" si="444"/>
        <v/>
      </c>
      <c r="BC71" s="91" t="str">
        <f t="shared" si="547"/>
        <v/>
      </c>
      <c r="BD71" s="86"/>
      <c r="BE71" s="91" t="str">
        <f t="shared" si="445"/>
        <v/>
      </c>
      <c r="BF71" s="91" t="str">
        <f t="shared" si="548"/>
        <v/>
      </c>
      <c r="BG71" s="86"/>
      <c r="BH71" s="91" t="str">
        <f t="shared" si="446"/>
        <v/>
      </c>
      <c r="BI71" s="91" t="str">
        <f t="shared" si="549"/>
        <v/>
      </c>
      <c r="BJ71" s="86"/>
      <c r="BK71" s="91" t="str">
        <f t="shared" si="447"/>
        <v/>
      </c>
      <c r="BL71" s="91" t="str">
        <f t="shared" si="550"/>
        <v/>
      </c>
      <c r="BM71" s="86"/>
      <c r="BN71" s="91" t="str">
        <f t="shared" si="448"/>
        <v/>
      </c>
      <c r="BO71" s="91" t="str">
        <f t="shared" si="551"/>
        <v/>
      </c>
      <c r="BP71" s="51"/>
      <c r="BQ71" s="91" t="str">
        <f t="shared" si="449"/>
        <v/>
      </c>
      <c r="BR71" s="91" t="str">
        <f t="shared" si="552"/>
        <v/>
      </c>
      <c r="BS71" s="86"/>
      <c r="BT71" s="91" t="str">
        <f t="shared" si="450"/>
        <v/>
      </c>
      <c r="BU71" s="91" t="str">
        <f t="shared" si="553"/>
        <v/>
      </c>
      <c r="BV71" s="86"/>
      <c r="BW71" s="91" t="str">
        <f t="shared" si="451"/>
        <v/>
      </c>
      <c r="BX71" s="91" t="str">
        <f t="shared" si="554"/>
        <v/>
      </c>
      <c r="BY71" s="86"/>
      <c r="BZ71" s="91" t="str">
        <f t="shared" si="452"/>
        <v/>
      </c>
      <c r="CA71" s="91" t="str">
        <f t="shared" si="555"/>
        <v/>
      </c>
      <c r="CB71" s="86"/>
      <c r="CC71" s="91" t="str">
        <f t="shared" si="453"/>
        <v/>
      </c>
      <c r="CD71" s="91" t="str">
        <f t="shared" si="556"/>
        <v/>
      </c>
      <c r="CE71" s="86"/>
      <c r="CF71" s="91" t="str">
        <f t="shared" si="454"/>
        <v/>
      </c>
      <c r="CG71" s="91" t="str">
        <f t="shared" si="557"/>
        <v/>
      </c>
      <c r="CH71" s="86"/>
      <c r="CI71" s="91" t="str">
        <f t="shared" si="455"/>
        <v/>
      </c>
      <c r="CJ71" s="91" t="str">
        <f t="shared" si="558"/>
        <v/>
      </c>
      <c r="CK71" s="86"/>
      <c r="CL71" s="91" t="str">
        <f t="shared" si="456"/>
        <v/>
      </c>
      <c r="CM71" s="91" t="str">
        <f t="shared" si="559"/>
        <v/>
      </c>
      <c r="CN71" s="86"/>
      <c r="CO71" s="91" t="str">
        <f t="shared" si="457"/>
        <v/>
      </c>
      <c r="CP71" s="91" t="str">
        <f t="shared" si="560"/>
        <v/>
      </c>
      <c r="CQ71" s="86"/>
      <c r="CR71" s="91" t="str">
        <f t="shared" si="458"/>
        <v/>
      </c>
      <c r="CS71" s="91" t="str">
        <f t="shared" si="561"/>
        <v/>
      </c>
      <c r="CT71" s="86"/>
      <c r="CU71" s="91" t="str">
        <f t="shared" si="459"/>
        <v/>
      </c>
      <c r="CV71" s="91" t="str">
        <f t="shared" si="562"/>
        <v/>
      </c>
      <c r="CW71" s="86"/>
      <c r="CX71" s="91" t="str">
        <f t="shared" si="460"/>
        <v/>
      </c>
      <c r="CY71" s="91" t="str">
        <f t="shared" si="563"/>
        <v/>
      </c>
      <c r="CZ71" s="86"/>
      <c r="DA71" s="91" t="str">
        <f t="shared" si="461"/>
        <v/>
      </c>
      <c r="DB71" s="91" t="str">
        <f t="shared" si="564"/>
        <v/>
      </c>
      <c r="DC71" s="86"/>
      <c r="DD71" s="91" t="str">
        <f t="shared" si="462"/>
        <v/>
      </c>
      <c r="DE71" s="91" t="str">
        <f t="shared" si="565"/>
        <v/>
      </c>
      <c r="DF71" s="86"/>
      <c r="DG71" s="91"/>
      <c r="DH71" s="91" t="str">
        <f t="shared" si="566"/>
        <v/>
      </c>
      <c r="DI71" s="86"/>
      <c r="DJ71" s="91" t="str">
        <f t="shared" si="463"/>
        <v/>
      </c>
      <c r="DK71" s="91" t="str">
        <f t="shared" si="567"/>
        <v/>
      </c>
      <c r="DL71" s="86"/>
      <c r="DM71" s="91" t="str">
        <f t="shared" si="464"/>
        <v/>
      </c>
      <c r="DN71" s="91" t="str">
        <f t="shared" si="568"/>
        <v/>
      </c>
      <c r="DO71" s="86"/>
      <c r="DP71" s="91" t="str">
        <f t="shared" si="465"/>
        <v/>
      </c>
      <c r="DQ71" s="91" t="str">
        <f t="shared" si="569"/>
        <v/>
      </c>
      <c r="DR71" s="86"/>
      <c r="DS71" s="91" t="str">
        <f t="shared" si="466"/>
        <v/>
      </c>
      <c r="DT71" s="91" t="str">
        <f t="shared" si="570"/>
        <v/>
      </c>
      <c r="DU71" s="86"/>
      <c r="DV71" s="91" t="str">
        <f t="shared" si="467"/>
        <v/>
      </c>
      <c r="DW71" s="91" t="str">
        <f t="shared" si="571"/>
        <v/>
      </c>
      <c r="DX71" s="86"/>
      <c r="DY71" s="91" t="str">
        <f t="shared" si="468"/>
        <v/>
      </c>
      <c r="DZ71" s="91" t="str">
        <f t="shared" si="572"/>
        <v/>
      </c>
      <c r="EA71" s="86"/>
      <c r="EB71" s="91" t="str">
        <f t="shared" si="469"/>
        <v/>
      </c>
      <c r="EC71" s="91" t="str">
        <f t="shared" si="573"/>
        <v/>
      </c>
      <c r="ED71" s="86"/>
      <c r="EE71" s="91" t="str">
        <f t="shared" si="470"/>
        <v/>
      </c>
      <c r="EF71" s="91" t="str">
        <f t="shared" si="574"/>
        <v/>
      </c>
      <c r="EG71" s="86"/>
      <c r="EH71" s="91" t="str">
        <f t="shared" si="471"/>
        <v/>
      </c>
      <c r="EI71" s="91" t="str">
        <f t="shared" si="575"/>
        <v/>
      </c>
      <c r="EJ71" s="86"/>
      <c r="EK71" s="91" t="str">
        <f t="shared" si="472"/>
        <v/>
      </c>
      <c r="EL71" s="91" t="str">
        <f t="shared" si="576"/>
        <v/>
      </c>
      <c r="EM71" s="86"/>
      <c r="EN71" s="91" t="str">
        <f t="shared" si="473"/>
        <v/>
      </c>
      <c r="EO71" s="91" t="str">
        <f t="shared" si="577"/>
        <v/>
      </c>
      <c r="EP71" s="86"/>
      <c r="EQ71" s="91" t="str">
        <f t="shared" si="474"/>
        <v/>
      </c>
      <c r="ER71" s="91" t="str">
        <f t="shared" si="578"/>
        <v/>
      </c>
      <c r="ES71" s="51"/>
      <c r="ET71" s="91" t="str">
        <f t="shared" si="475"/>
        <v/>
      </c>
      <c r="EU71" s="91" t="str">
        <f t="shared" si="579"/>
        <v/>
      </c>
      <c r="EV71" s="86"/>
      <c r="EW71" s="91" t="str">
        <f t="shared" si="476"/>
        <v/>
      </c>
      <c r="EX71" s="91" t="str">
        <f t="shared" si="580"/>
        <v/>
      </c>
      <c r="EY71" s="86"/>
      <c r="EZ71" s="91" t="str">
        <f t="shared" si="477"/>
        <v/>
      </c>
      <c r="FA71" s="91" t="str">
        <f t="shared" si="581"/>
        <v/>
      </c>
      <c r="FB71" s="86"/>
      <c r="FC71" s="91" t="str">
        <f t="shared" si="478"/>
        <v/>
      </c>
      <c r="FD71" s="91" t="str">
        <f t="shared" si="582"/>
        <v/>
      </c>
      <c r="FE71" s="86"/>
      <c r="FF71" s="91" t="str">
        <f t="shared" si="479"/>
        <v/>
      </c>
      <c r="FG71" s="91" t="str">
        <f t="shared" si="583"/>
        <v/>
      </c>
      <c r="FH71" s="86"/>
      <c r="FI71" s="91" t="str">
        <f t="shared" si="480"/>
        <v/>
      </c>
      <c r="FJ71" s="91" t="str">
        <f t="shared" si="584"/>
        <v/>
      </c>
      <c r="FK71" s="86"/>
      <c r="FL71" s="91" t="str">
        <f t="shared" si="481"/>
        <v/>
      </c>
      <c r="FM71" s="91" t="str">
        <f t="shared" si="585"/>
        <v/>
      </c>
      <c r="FN71" s="86"/>
      <c r="FO71" s="91" t="str">
        <f t="shared" si="482"/>
        <v/>
      </c>
      <c r="FP71" s="91" t="str">
        <f t="shared" si="586"/>
        <v/>
      </c>
      <c r="FQ71" s="86"/>
      <c r="FR71" s="91" t="str">
        <f t="shared" si="483"/>
        <v/>
      </c>
      <c r="FS71" s="91" t="str">
        <f t="shared" si="587"/>
        <v/>
      </c>
      <c r="FT71" s="86"/>
      <c r="FU71" s="91" t="str">
        <f t="shared" si="484"/>
        <v/>
      </c>
      <c r="FV71" s="91" t="str">
        <f t="shared" si="588"/>
        <v/>
      </c>
      <c r="FW71" s="92"/>
      <c r="FX71" s="91" t="str">
        <f t="shared" si="485"/>
        <v/>
      </c>
      <c r="FY71" s="91" t="str">
        <f t="shared" si="589"/>
        <v/>
      </c>
      <c r="FZ71" s="86"/>
      <c r="GA71" s="91" t="str">
        <f t="shared" si="486"/>
        <v/>
      </c>
      <c r="GB71" s="91" t="str">
        <f t="shared" si="590"/>
        <v/>
      </c>
      <c r="GC71" s="86"/>
      <c r="GD71" s="91" t="str">
        <f t="shared" si="487"/>
        <v/>
      </c>
      <c r="GE71" s="91" t="str">
        <f t="shared" si="591"/>
        <v/>
      </c>
      <c r="GF71" s="86"/>
      <c r="GG71" s="91" t="str">
        <f t="shared" si="488"/>
        <v/>
      </c>
      <c r="GH71" s="91" t="str">
        <f t="shared" si="592"/>
        <v/>
      </c>
      <c r="GI71" s="86"/>
      <c r="GJ71" s="91" t="str">
        <f t="shared" si="489"/>
        <v/>
      </c>
      <c r="GK71" s="91" t="str">
        <f t="shared" si="593"/>
        <v/>
      </c>
      <c r="GL71" s="86"/>
      <c r="GM71" s="91" t="str">
        <f t="shared" si="490"/>
        <v/>
      </c>
      <c r="GN71" s="91" t="str">
        <f t="shared" si="594"/>
        <v/>
      </c>
      <c r="GO71" s="86"/>
      <c r="GP71" s="91" t="str">
        <f t="shared" si="491"/>
        <v/>
      </c>
      <c r="GQ71" s="91" t="str">
        <f t="shared" si="595"/>
        <v/>
      </c>
      <c r="GR71" s="86"/>
      <c r="GS71" s="91" t="str">
        <f t="shared" si="492"/>
        <v/>
      </c>
      <c r="GT71" s="91" t="str">
        <f t="shared" si="596"/>
        <v/>
      </c>
      <c r="GU71" s="86"/>
      <c r="GV71" s="91" t="str">
        <f t="shared" si="493"/>
        <v/>
      </c>
      <c r="GW71" s="91" t="str">
        <f t="shared" si="597"/>
        <v/>
      </c>
      <c r="GX71" s="86"/>
      <c r="GY71" s="91" t="str">
        <f t="shared" si="494"/>
        <v/>
      </c>
      <c r="GZ71" s="91" t="str">
        <f t="shared" si="598"/>
        <v/>
      </c>
      <c r="HA71" s="86"/>
      <c r="HB71" s="91" t="str">
        <f t="shared" si="495"/>
        <v/>
      </c>
      <c r="HC71" s="91" t="str">
        <f t="shared" si="599"/>
        <v/>
      </c>
      <c r="HD71" s="86"/>
      <c r="HE71" s="91" t="str">
        <f t="shared" si="496"/>
        <v/>
      </c>
      <c r="HF71" s="91" t="str">
        <f t="shared" si="600"/>
        <v/>
      </c>
      <c r="HG71" s="86"/>
      <c r="HH71" s="91" t="str">
        <f t="shared" si="497"/>
        <v/>
      </c>
      <c r="HI71" s="91" t="str">
        <f t="shared" si="601"/>
        <v/>
      </c>
      <c r="HJ71" s="86"/>
      <c r="HK71" s="91" t="str">
        <f t="shared" si="498"/>
        <v/>
      </c>
      <c r="HL71" s="91" t="str">
        <f t="shared" si="602"/>
        <v/>
      </c>
      <c r="HM71" s="86"/>
      <c r="HN71" s="91" t="str">
        <f t="shared" si="499"/>
        <v/>
      </c>
      <c r="HO71" s="91" t="str">
        <f t="shared" si="603"/>
        <v/>
      </c>
      <c r="HP71" s="86"/>
      <c r="HQ71" s="91" t="str">
        <f t="shared" si="500"/>
        <v/>
      </c>
      <c r="HR71" s="91" t="str">
        <f t="shared" si="604"/>
        <v/>
      </c>
      <c r="HS71" s="86"/>
      <c r="HT71" s="91" t="str">
        <f t="shared" si="501"/>
        <v/>
      </c>
      <c r="HU71" s="91" t="str">
        <f t="shared" si="605"/>
        <v/>
      </c>
      <c r="HV71" s="86"/>
      <c r="HW71" s="91" t="str">
        <f t="shared" si="502"/>
        <v/>
      </c>
      <c r="HX71" s="91" t="str">
        <f t="shared" si="606"/>
        <v/>
      </c>
      <c r="HY71" s="86"/>
      <c r="HZ71" s="91" t="str">
        <f t="shared" si="503"/>
        <v/>
      </c>
      <c r="IA71" s="91" t="str">
        <f t="shared" si="607"/>
        <v/>
      </c>
      <c r="IB71" s="86"/>
      <c r="IC71" s="91" t="str">
        <f t="shared" si="504"/>
        <v/>
      </c>
      <c r="ID71" s="91" t="str">
        <f t="shared" si="608"/>
        <v/>
      </c>
      <c r="IE71" s="86"/>
      <c r="IF71" s="91" t="str">
        <f t="shared" si="505"/>
        <v/>
      </c>
      <c r="IG71" s="91" t="str">
        <f t="shared" si="609"/>
        <v/>
      </c>
      <c r="IH71" s="86"/>
      <c r="II71" s="91" t="str">
        <f t="shared" si="506"/>
        <v/>
      </c>
      <c r="IJ71" s="91" t="str">
        <f t="shared" si="610"/>
        <v/>
      </c>
      <c r="IK71" s="86"/>
      <c r="IL71" s="91" t="str">
        <f t="shared" si="507"/>
        <v/>
      </c>
      <c r="IM71" s="91" t="str">
        <f t="shared" si="611"/>
        <v/>
      </c>
      <c r="IN71" s="86"/>
      <c r="IO71" s="91" t="str">
        <f t="shared" si="508"/>
        <v/>
      </c>
      <c r="IP71" s="91" t="str">
        <f t="shared" si="612"/>
        <v/>
      </c>
      <c r="IQ71" s="86"/>
      <c r="IR71" s="91" t="str">
        <f t="shared" si="509"/>
        <v/>
      </c>
      <c r="IS71" s="91" t="str">
        <f t="shared" si="613"/>
        <v/>
      </c>
      <c r="IT71" s="86"/>
      <c r="IU71" s="91" t="str">
        <f t="shared" si="510"/>
        <v/>
      </c>
      <c r="IV71" s="91" t="str">
        <f t="shared" si="614"/>
        <v/>
      </c>
      <c r="IW71" s="86"/>
      <c r="IX71" s="91" t="str">
        <f t="shared" si="511"/>
        <v/>
      </c>
      <c r="IY71" s="91" t="str">
        <f t="shared" si="615"/>
        <v/>
      </c>
      <c r="IZ71" s="86"/>
      <c r="JA71" s="91" t="str">
        <f t="shared" si="512"/>
        <v/>
      </c>
      <c r="JB71" s="91" t="str">
        <f t="shared" si="616"/>
        <v/>
      </c>
      <c r="JC71" s="86"/>
      <c r="JD71" s="91" t="str">
        <f t="shared" si="513"/>
        <v/>
      </c>
      <c r="JE71" s="91" t="str">
        <f t="shared" si="617"/>
        <v/>
      </c>
      <c r="JF71" s="86"/>
      <c r="JG71" s="91" t="str">
        <f t="shared" si="514"/>
        <v/>
      </c>
      <c r="JH71" s="91" t="str">
        <f t="shared" si="618"/>
        <v/>
      </c>
      <c r="JI71" s="86"/>
      <c r="JJ71" s="91" t="str">
        <f t="shared" si="515"/>
        <v/>
      </c>
      <c r="JK71" s="91" t="str">
        <f t="shared" si="619"/>
        <v/>
      </c>
      <c r="JL71" s="86"/>
      <c r="JM71" s="91" t="str">
        <f t="shared" si="516"/>
        <v/>
      </c>
      <c r="JN71" s="91" t="str">
        <f t="shared" si="620"/>
        <v/>
      </c>
      <c r="JO71" s="86"/>
      <c r="JP71" s="91" t="str">
        <f t="shared" si="517"/>
        <v/>
      </c>
      <c r="JQ71" s="91" t="str">
        <f t="shared" si="621"/>
        <v/>
      </c>
      <c r="JR71" s="86"/>
      <c r="JS71" s="91" t="str">
        <f t="shared" si="518"/>
        <v/>
      </c>
      <c r="JT71" s="91" t="str">
        <f t="shared" si="622"/>
        <v/>
      </c>
      <c r="JU71" s="86"/>
      <c r="JV71" s="91" t="str">
        <f t="shared" si="519"/>
        <v/>
      </c>
      <c r="JW71" s="91" t="str">
        <f t="shared" si="623"/>
        <v/>
      </c>
      <c r="JX71" s="86"/>
      <c r="JY71" s="91" t="str">
        <f t="shared" si="520"/>
        <v/>
      </c>
      <c r="JZ71" s="91" t="str">
        <f t="shared" si="624"/>
        <v/>
      </c>
      <c r="KA71" s="86"/>
      <c r="KB71" s="91" t="str">
        <f t="shared" si="521"/>
        <v/>
      </c>
      <c r="KC71" s="91" t="str">
        <f t="shared" si="625"/>
        <v/>
      </c>
      <c r="KD71" s="86"/>
      <c r="KE71" s="91" t="str">
        <f t="shared" si="522"/>
        <v/>
      </c>
      <c r="KF71" s="91" t="str">
        <f t="shared" si="626"/>
        <v/>
      </c>
      <c r="KG71" s="86"/>
      <c r="KH71" s="91" t="str">
        <f t="shared" si="523"/>
        <v/>
      </c>
      <c r="KI71" s="91" t="str">
        <f t="shared" si="627"/>
        <v/>
      </c>
      <c r="KJ71" s="86"/>
      <c r="KK71" s="91" t="str">
        <f t="shared" si="524"/>
        <v/>
      </c>
      <c r="KL71" s="91" t="str">
        <f t="shared" si="628"/>
        <v/>
      </c>
      <c r="KM71" s="86"/>
      <c r="KN71" s="91" t="str">
        <f t="shared" si="525"/>
        <v/>
      </c>
      <c r="KO71" s="91" t="str">
        <f t="shared" si="629"/>
        <v/>
      </c>
      <c r="KP71" s="86"/>
      <c r="KQ71" s="91" t="str">
        <f t="shared" si="526"/>
        <v/>
      </c>
      <c r="KR71" s="91" t="str">
        <f t="shared" si="630"/>
        <v/>
      </c>
      <c r="KS71" s="86"/>
      <c r="KT71" s="91" t="str">
        <f t="shared" si="527"/>
        <v/>
      </c>
      <c r="KU71" s="91" t="str">
        <f t="shared" si="631"/>
        <v/>
      </c>
      <c r="KV71" s="86"/>
      <c r="KW71" s="91" t="str">
        <f t="shared" si="528"/>
        <v/>
      </c>
      <c r="KX71" s="91" t="str">
        <f t="shared" si="632"/>
        <v/>
      </c>
      <c r="KY71" s="92"/>
      <c r="KZ71" s="91" t="str">
        <f t="shared" si="529"/>
        <v/>
      </c>
      <c r="LA71" s="91" t="str">
        <f t="shared" si="633"/>
        <v/>
      </c>
      <c r="LB71" s="106" t="str">
        <f t="shared" si="430"/>
        <v/>
      </c>
      <c r="LC71" s="108" t="str">
        <f t="shared" si="634"/>
        <v/>
      </c>
      <c r="LD71" s="106" t="str">
        <f t="shared" si="635"/>
        <v/>
      </c>
      <c r="LE71" s="108" t="str">
        <f t="shared" si="636"/>
        <v/>
      </c>
      <c r="LF71" s="106" t="str">
        <f t="shared" si="637"/>
        <v/>
      </c>
      <c r="LG71" s="108" t="str">
        <f t="shared" si="638"/>
        <v/>
      </c>
      <c r="LH71" s="109" t="str">
        <f t="shared" si="530"/>
        <v/>
      </c>
      <c r="LI71" s="109" t="str">
        <f t="shared" si="531"/>
        <v/>
      </c>
      <c r="LJ71" s="109" t="str">
        <f t="shared" si="532"/>
        <v/>
      </c>
      <c r="LK71" s="109" t="str">
        <f t="shared" si="639"/>
        <v/>
      </c>
      <c r="LL71" s="111" t="str">
        <f t="shared" si="640"/>
        <v/>
      </c>
      <c r="LM71" s="64"/>
      <c r="LN71" s="112" t="str">
        <f t="shared" ref="LN71:LN81" si="644">IFERROR(RANK(LK71,(LK$69:LK$81),0),"")</f>
        <v/>
      </c>
      <c r="LO71" s="113" t="str">
        <f t="shared" si="641"/>
        <v/>
      </c>
      <c r="LP71" s="64"/>
      <c r="LQ71" s="64"/>
      <c r="LR71" s="64"/>
    </row>
    <row r="72" spans="1:334" s="62" customFormat="1" ht="15" customHeight="1">
      <c r="A72" s="106">
        <f t="shared" si="642"/>
        <v>0</v>
      </c>
      <c r="B72" s="106">
        <f t="shared" si="643"/>
        <v>0</v>
      </c>
      <c r="C72" s="51"/>
      <c r="D72" s="52"/>
      <c r="E72" s="53"/>
      <c r="F72" s="53"/>
      <c r="G72" s="53"/>
      <c r="H72" s="53"/>
      <c r="I72" s="53"/>
      <c r="J72" s="53"/>
      <c r="K72" s="53"/>
      <c r="L72" s="53"/>
      <c r="M72" s="107" t="s">
        <v>35</v>
      </c>
      <c r="N72" s="86"/>
      <c r="O72" s="91" t="str">
        <f t="shared" si="431"/>
        <v/>
      </c>
      <c r="P72" s="91" t="str">
        <f t="shared" si="534"/>
        <v/>
      </c>
      <c r="Q72" s="86"/>
      <c r="R72" s="91" t="str">
        <f t="shared" si="432"/>
        <v/>
      </c>
      <c r="S72" s="91" t="str">
        <f t="shared" si="535"/>
        <v/>
      </c>
      <c r="T72" s="86"/>
      <c r="U72" s="91" t="str">
        <f t="shared" si="433"/>
        <v/>
      </c>
      <c r="V72" s="91" t="str">
        <f t="shared" si="536"/>
        <v/>
      </c>
      <c r="W72" s="86"/>
      <c r="X72" s="91" t="str">
        <f t="shared" si="434"/>
        <v/>
      </c>
      <c r="Y72" s="91" t="str">
        <f t="shared" si="537"/>
        <v/>
      </c>
      <c r="Z72" s="86"/>
      <c r="AA72" s="91" t="str">
        <f t="shared" si="435"/>
        <v/>
      </c>
      <c r="AB72" s="91" t="str">
        <f t="shared" si="538"/>
        <v/>
      </c>
      <c r="AC72" s="86"/>
      <c r="AD72" s="91" t="str">
        <f t="shared" si="436"/>
        <v/>
      </c>
      <c r="AE72" s="91" t="str">
        <f t="shared" si="539"/>
        <v/>
      </c>
      <c r="AF72" s="86"/>
      <c r="AG72" s="91" t="str">
        <f t="shared" si="437"/>
        <v/>
      </c>
      <c r="AH72" s="91" t="str">
        <f t="shared" si="540"/>
        <v/>
      </c>
      <c r="AI72" s="86"/>
      <c r="AJ72" s="91" t="str">
        <f t="shared" si="438"/>
        <v/>
      </c>
      <c r="AK72" s="91" t="str">
        <f t="shared" si="541"/>
        <v/>
      </c>
      <c r="AL72" s="86"/>
      <c r="AM72" s="91" t="str">
        <f t="shared" si="439"/>
        <v/>
      </c>
      <c r="AN72" s="91" t="str">
        <f t="shared" si="542"/>
        <v/>
      </c>
      <c r="AO72" s="86"/>
      <c r="AP72" s="91" t="str">
        <f t="shared" si="440"/>
        <v/>
      </c>
      <c r="AQ72" s="91" t="str">
        <f t="shared" si="543"/>
        <v/>
      </c>
      <c r="AR72" s="86"/>
      <c r="AS72" s="91" t="str">
        <f t="shared" si="441"/>
        <v/>
      </c>
      <c r="AT72" s="91" t="str">
        <f t="shared" si="544"/>
        <v/>
      </c>
      <c r="AU72" s="86"/>
      <c r="AV72" s="91" t="str">
        <f t="shared" si="442"/>
        <v/>
      </c>
      <c r="AW72" s="91" t="str">
        <f t="shared" si="545"/>
        <v/>
      </c>
      <c r="AX72" s="86"/>
      <c r="AY72" s="91" t="str">
        <f t="shared" si="443"/>
        <v/>
      </c>
      <c r="AZ72" s="91" t="str">
        <f t="shared" si="546"/>
        <v/>
      </c>
      <c r="BA72" s="86"/>
      <c r="BB72" s="91" t="str">
        <f t="shared" si="444"/>
        <v/>
      </c>
      <c r="BC72" s="91" t="str">
        <f t="shared" si="547"/>
        <v/>
      </c>
      <c r="BD72" s="86"/>
      <c r="BE72" s="91" t="str">
        <f t="shared" si="445"/>
        <v/>
      </c>
      <c r="BF72" s="91" t="str">
        <f t="shared" si="548"/>
        <v/>
      </c>
      <c r="BG72" s="86"/>
      <c r="BH72" s="91" t="str">
        <f t="shared" si="446"/>
        <v/>
      </c>
      <c r="BI72" s="91" t="str">
        <f t="shared" si="549"/>
        <v/>
      </c>
      <c r="BJ72" s="86"/>
      <c r="BK72" s="91" t="str">
        <f t="shared" si="447"/>
        <v/>
      </c>
      <c r="BL72" s="91" t="str">
        <f t="shared" si="550"/>
        <v/>
      </c>
      <c r="BM72" s="86"/>
      <c r="BN72" s="91" t="str">
        <f t="shared" si="448"/>
        <v/>
      </c>
      <c r="BO72" s="91" t="str">
        <f t="shared" si="551"/>
        <v/>
      </c>
      <c r="BP72" s="51"/>
      <c r="BQ72" s="91" t="str">
        <f t="shared" si="449"/>
        <v/>
      </c>
      <c r="BR72" s="91" t="str">
        <f t="shared" si="552"/>
        <v/>
      </c>
      <c r="BS72" s="86"/>
      <c r="BT72" s="91" t="str">
        <f t="shared" si="450"/>
        <v/>
      </c>
      <c r="BU72" s="91" t="str">
        <f t="shared" si="553"/>
        <v/>
      </c>
      <c r="BV72" s="86"/>
      <c r="BW72" s="91" t="str">
        <f t="shared" si="451"/>
        <v/>
      </c>
      <c r="BX72" s="91" t="str">
        <f t="shared" si="554"/>
        <v/>
      </c>
      <c r="BY72" s="86"/>
      <c r="BZ72" s="91" t="str">
        <f t="shared" si="452"/>
        <v/>
      </c>
      <c r="CA72" s="91" t="str">
        <f t="shared" si="555"/>
        <v/>
      </c>
      <c r="CB72" s="86"/>
      <c r="CC72" s="91" t="str">
        <f t="shared" si="453"/>
        <v/>
      </c>
      <c r="CD72" s="91" t="str">
        <f t="shared" si="556"/>
        <v/>
      </c>
      <c r="CE72" s="86"/>
      <c r="CF72" s="91" t="str">
        <f t="shared" si="454"/>
        <v/>
      </c>
      <c r="CG72" s="91" t="str">
        <f t="shared" si="557"/>
        <v/>
      </c>
      <c r="CH72" s="86"/>
      <c r="CI72" s="91" t="str">
        <f t="shared" si="455"/>
        <v/>
      </c>
      <c r="CJ72" s="91" t="str">
        <f t="shared" si="558"/>
        <v/>
      </c>
      <c r="CK72" s="86"/>
      <c r="CL72" s="91" t="str">
        <f t="shared" si="456"/>
        <v/>
      </c>
      <c r="CM72" s="91" t="str">
        <f t="shared" si="559"/>
        <v/>
      </c>
      <c r="CN72" s="86"/>
      <c r="CO72" s="91" t="str">
        <f t="shared" si="457"/>
        <v/>
      </c>
      <c r="CP72" s="91" t="str">
        <f t="shared" si="560"/>
        <v/>
      </c>
      <c r="CQ72" s="86"/>
      <c r="CR72" s="91" t="str">
        <f t="shared" si="458"/>
        <v/>
      </c>
      <c r="CS72" s="91" t="str">
        <f t="shared" si="561"/>
        <v/>
      </c>
      <c r="CT72" s="86"/>
      <c r="CU72" s="91" t="str">
        <f t="shared" si="459"/>
        <v/>
      </c>
      <c r="CV72" s="91" t="str">
        <f t="shared" si="562"/>
        <v/>
      </c>
      <c r="CW72" s="86"/>
      <c r="CX72" s="91" t="str">
        <f t="shared" si="460"/>
        <v/>
      </c>
      <c r="CY72" s="91" t="str">
        <f t="shared" si="563"/>
        <v/>
      </c>
      <c r="CZ72" s="86"/>
      <c r="DA72" s="91" t="str">
        <f t="shared" si="461"/>
        <v/>
      </c>
      <c r="DB72" s="91" t="str">
        <f t="shared" si="564"/>
        <v/>
      </c>
      <c r="DC72" s="86"/>
      <c r="DD72" s="91" t="str">
        <f t="shared" si="462"/>
        <v/>
      </c>
      <c r="DE72" s="91" t="str">
        <f t="shared" si="565"/>
        <v/>
      </c>
      <c r="DF72" s="86"/>
      <c r="DG72" s="91"/>
      <c r="DH72" s="91" t="str">
        <f t="shared" si="566"/>
        <v/>
      </c>
      <c r="DI72" s="86"/>
      <c r="DJ72" s="91" t="str">
        <f t="shared" si="463"/>
        <v/>
      </c>
      <c r="DK72" s="91" t="str">
        <f t="shared" si="567"/>
        <v/>
      </c>
      <c r="DL72" s="86"/>
      <c r="DM72" s="91" t="str">
        <f t="shared" si="464"/>
        <v/>
      </c>
      <c r="DN72" s="91" t="str">
        <f t="shared" si="568"/>
        <v/>
      </c>
      <c r="DO72" s="86"/>
      <c r="DP72" s="91" t="str">
        <f t="shared" si="465"/>
        <v/>
      </c>
      <c r="DQ72" s="91" t="str">
        <f t="shared" si="569"/>
        <v/>
      </c>
      <c r="DR72" s="86"/>
      <c r="DS72" s="91" t="str">
        <f t="shared" si="466"/>
        <v/>
      </c>
      <c r="DT72" s="91" t="str">
        <f t="shared" si="570"/>
        <v/>
      </c>
      <c r="DU72" s="86"/>
      <c r="DV72" s="91" t="str">
        <f t="shared" si="467"/>
        <v/>
      </c>
      <c r="DW72" s="91" t="str">
        <f t="shared" si="571"/>
        <v/>
      </c>
      <c r="DX72" s="86"/>
      <c r="DY72" s="91" t="str">
        <f t="shared" si="468"/>
        <v/>
      </c>
      <c r="DZ72" s="91" t="str">
        <f t="shared" si="572"/>
        <v/>
      </c>
      <c r="EA72" s="86"/>
      <c r="EB72" s="91" t="str">
        <f t="shared" si="469"/>
        <v/>
      </c>
      <c r="EC72" s="91" t="str">
        <f t="shared" si="573"/>
        <v/>
      </c>
      <c r="ED72" s="86"/>
      <c r="EE72" s="91" t="str">
        <f t="shared" si="470"/>
        <v/>
      </c>
      <c r="EF72" s="91" t="str">
        <f t="shared" si="574"/>
        <v/>
      </c>
      <c r="EG72" s="86"/>
      <c r="EH72" s="91" t="str">
        <f t="shared" si="471"/>
        <v/>
      </c>
      <c r="EI72" s="91" t="str">
        <f t="shared" si="575"/>
        <v/>
      </c>
      <c r="EJ72" s="86"/>
      <c r="EK72" s="91" t="str">
        <f t="shared" si="472"/>
        <v/>
      </c>
      <c r="EL72" s="91" t="str">
        <f t="shared" si="576"/>
        <v/>
      </c>
      <c r="EM72" s="86"/>
      <c r="EN72" s="91" t="str">
        <f t="shared" si="473"/>
        <v/>
      </c>
      <c r="EO72" s="91" t="str">
        <f t="shared" si="577"/>
        <v/>
      </c>
      <c r="EP72" s="86"/>
      <c r="EQ72" s="91" t="str">
        <f t="shared" si="474"/>
        <v/>
      </c>
      <c r="ER72" s="91" t="str">
        <f t="shared" si="578"/>
        <v/>
      </c>
      <c r="ES72" s="51"/>
      <c r="ET72" s="91" t="str">
        <f t="shared" si="475"/>
        <v/>
      </c>
      <c r="EU72" s="91" t="str">
        <f t="shared" si="579"/>
        <v/>
      </c>
      <c r="EV72" s="86"/>
      <c r="EW72" s="91" t="str">
        <f t="shared" si="476"/>
        <v/>
      </c>
      <c r="EX72" s="91" t="str">
        <f t="shared" si="580"/>
        <v/>
      </c>
      <c r="EY72" s="86"/>
      <c r="EZ72" s="91" t="str">
        <f t="shared" si="477"/>
        <v/>
      </c>
      <c r="FA72" s="91" t="str">
        <f t="shared" si="581"/>
        <v/>
      </c>
      <c r="FB72" s="86"/>
      <c r="FC72" s="91" t="str">
        <f t="shared" si="478"/>
        <v/>
      </c>
      <c r="FD72" s="91" t="str">
        <f t="shared" si="582"/>
        <v/>
      </c>
      <c r="FE72" s="86"/>
      <c r="FF72" s="91" t="str">
        <f t="shared" si="479"/>
        <v/>
      </c>
      <c r="FG72" s="91" t="str">
        <f t="shared" si="583"/>
        <v/>
      </c>
      <c r="FH72" s="86"/>
      <c r="FI72" s="91" t="str">
        <f t="shared" si="480"/>
        <v/>
      </c>
      <c r="FJ72" s="91" t="str">
        <f t="shared" si="584"/>
        <v/>
      </c>
      <c r="FK72" s="86"/>
      <c r="FL72" s="91" t="str">
        <f t="shared" si="481"/>
        <v/>
      </c>
      <c r="FM72" s="91" t="str">
        <f t="shared" si="585"/>
        <v/>
      </c>
      <c r="FN72" s="86"/>
      <c r="FO72" s="91" t="str">
        <f t="shared" si="482"/>
        <v/>
      </c>
      <c r="FP72" s="91" t="str">
        <f t="shared" si="586"/>
        <v/>
      </c>
      <c r="FQ72" s="86"/>
      <c r="FR72" s="91" t="str">
        <f t="shared" si="483"/>
        <v/>
      </c>
      <c r="FS72" s="91" t="str">
        <f t="shared" si="587"/>
        <v/>
      </c>
      <c r="FT72" s="86"/>
      <c r="FU72" s="91" t="str">
        <f t="shared" si="484"/>
        <v/>
      </c>
      <c r="FV72" s="91" t="str">
        <f t="shared" si="588"/>
        <v/>
      </c>
      <c r="FW72" s="92"/>
      <c r="FX72" s="91" t="str">
        <f t="shared" si="485"/>
        <v/>
      </c>
      <c r="FY72" s="91" t="str">
        <f t="shared" si="589"/>
        <v/>
      </c>
      <c r="FZ72" s="86"/>
      <c r="GA72" s="91" t="str">
        <f t="shared" si="486"/>
        <v/>
      </c>
      <c r="GB72" s="91" t="str">
        <f t="shared" si="590"/>
        <v/>
      </c>
      <c r="GC72" s="86"/>
      <c r="GD72" s="91" t="str">
        <f t="shared" si="487"/>
        <v/>
      </c>
      <c r="GE72" s="91" t="str">
        <f t="shared" si="591"/>
        <v/>
      </c>
      <c r="GF72" s="86"/>
      <c r="GG72" s="91" t="str">
        <f t="shared" si="488"/>
        <v/>
      </c>
      <c r="GH72" s="91" t="str">
        <f t="shared" si="592"/>
        <v/>
      </c>
      <c r="GI72" s="86"/>
      <c r="GJ72" s="91" t="str">
        <f t="shared" si="489"/>
        <v/>
      </c>
      <c r="GK72" s="91" t="str">
        <f t="shared" si="593"/>
        <v/>
      </c>
      <c r="GL72" s="86"/>
      <c r="GM72" s="91" t="str">
        <f t="shared" si="490"/>
        <v/>
      </c>
      <c r="GN72" s="91" t="str">
        <f t="shared" si="594"/>
        <v/>
      </c>
      <c r="GO72" s="86"/>
      <c r="GP72" s="91" t="str">
        <f t="shared" si="491"/>
        <v/>
      </c>
      <c r="GQ72" s="91" t="str">
        <f t="shared" si="595"/>
        <v/>
      </c>
      <c r="GR72" s="86"/>
      <c r="GS72" s="91" t="str">
        <f t="shared" si="492"/>
        <v/>
      </c>
      <c r="GT72" s="91" t="str">
        <f t="shared" si="596"/>
        <v/>
      </c>
      <c r="GU72" s="86"/>
      <c r="GV72" s="91" t="str">
        <f t="shared" si="493"/>
        <v/>
      </c>
      <c r="GW72" s="91" t="str">
        <f t="shared" si="597"/>
        <v/>
      </c>
      <c r="GX72" s="86"/>
      <c r="GY72" s="91" t="str">
        <f t="shared" si="494"/>
        <v/>
      </c>
      <c r="GZ72" s="91" t="str">
        <f t="shared" si="598"/>
        <v/>
      </c>
      <c r="HA72" s="86"/>
      <c r="HB72" s="91" t="str">
        <f t="shared" si="495"/>
        <v/>
      </c>
      <c r="HC72" s="91" t="str">
        <f t="shared" si="599"/>
        <v/>
      </c>
      <c r="HD72" s="86"/>
      <c r="HE72" s="91" t="str">
        <f t="shared" si="496"/>
        <v/>
      </c>
      <c r="HF72" s="91" t="str">
        <f t="shared" si="600"/>
        <v/>
      </c>
      <c r="HG72" s="86"/>
      <c r="HH72" s="91" t="str">
        <f t="shared" si="497"/>
        <v/>
      </c>
      <c r="HI72" s="91" t="str">
        <f t="shared" si="601"/>
        <v/>
      </c>
      <c r="HJ72" s="86"/>
      <c r="HK72" s="91" t="str">
        <f t="shared" si="498"/>
        <v/>
      </c>
      <c r="HL72" s="91" t="str">
        <f t="shared" si="602"/>
        <v/>
      </c>
      <c r="HM72" s="86"/>
      <c r="HN72" s="91" t="str">
        <f t="shared" si="499"/>
        <v/>
      </c>
      <c r="HO72" s="91" t="str">
        <f t="shared" si="603"/>
        <v/>
      </c>
      <c r="HP72" s="86"/>
      <c r="HQ72" s="91" t="str">
        <f t="shared" si="500"/>
        <v/>
      </c>
      <c r="HR72" s="91" t="str">
        <f t="shared" si="604"/>
        <v/>
      </c>
      <c r="HS72" s="86"/>
      <c r="HT72" s="91" t="str">
        <f t="shared" si="501"/>
        <v/>
      </c>
      <c r="HU72" s="91" t="str">
        <f t="shared" si="605"/>
        <v/>
      </c>
      <c r="HV72" s="86"/>
      <c r="HW72" s="91" t="str">
        <f t="shared" si="502"/>
        <v/>
      </c>
      <c r="HX72" s="91" t="str">
        <f t="shared" si="606"/>
        <v/>
      </c>
      <c r="HY72" s="86"/>
      <c r="HZ72" s="91" t="str">
        <f t="shared" si="503"/>
        <v/>
      </c>
      <c r="IA72" s="91" t="str">
        <f t="shared" si="607"/>
        <v/>
      </c>
      <c r="IB72" s="86"/>
      <c r="IC72" s="91" t="str">
        <f t="shared" si="504"/>
        <v/>
      </c>
      <c r="ID72" s="91" t="str">
        <f t="shared" si="608"/>
        <v/>
      </c>
      <c r="IE72" s="86"/>
      <c r="IF72" s="91" t="str">
        <f t="shared" si="505"/>
        <v/>
      </c>
      <c r="IG72" s="91" t="str">
        <f t="shared" si="609"/>
        <v/>
      </c>
      <c r="IH72" s="86"/>
      <c r="II72" s="91" t="str">
        <f t="shared" si="506"/>
        <v/>
      </c>
      <c r="IJ72" s="91" t="str">
        <f t="shared" si="610"/>
        <v/>
      </c>
      <c r="IK72" s="86"/>
      <c r="IL72" s="91" t="str">
        <f t="shared" si="507"/>
        <v/>
      </c>
      <c r="IM72" s="91" t="str">
        <f t="shared" si="611"/>
        <v/>
      </c>
      <c r="IN72" s="86"/>
      <c r="IO72" s="91" t="str">
        <f t="shared" si="508"/>
        <v/>
      </c>
      <c r="IP72" s="91" t="str">
        <f t="shared" si="612"/>
        <v/>
      </c>
      <c r="IQ72" s="86"/>
      <c r="IR72" s="91" t="str">
        <f t="shared" si="509"/>
        <v/>
      </c>
      <c r="IS72" s="91" t="str">
        <f t="shared" si="613"/>
        <v/>
      </c>
      <c r="IT72" s="86"/>
      <c r="IU72" s="91" t="str">
        <f t="shared" si="510"/>
        <v/>
      </c>
      <c r="IV72" s="91" t="str">
        <f t="shared" si="614"/>
        <v/>
      </c>
      <c r="IW72" s="86"/>
      <c r="IX72" s="91" t="str">
        <f t="shared" si="511"/>
        <v/>
      </c>
      <c r="IY72" s="91" t="str">
        <f t="shared" si="615"/>
        <v/>
      </c>
      <c r="IZ72" s="86"/>
      <c r="JA72" s="91" t="str">
        <f t="shared" si="512"/>
        <v/>
      </c>
      <c r="JB72" s="91" t="str">
        <f t="shared" si="616"/>
        <v/>
      </c>
      <c r="JC72" s="86"/>
      <c r="JD72" s="91" t="str">
        <f t="shared" si="513"/>
        <v/>
      </c>
      <c r="JE72" s="91" t="str">
        <f t="shared" si="617"/>
        <v/>
      </c>
      <c r="JF72" s="86"/>
      <c r="JG72" s="91" t="str">
        <f t="shared" si="514"/>
        <v/>
      </c>
      <c r="JH72" s="91" t="str">
        <f t="shared" si="618"/>
        <v/>
      </c>
      <c r="JI72" s="86"/>
      <c r="JJ72" s="91" t="str">
        <f t="shared" si="515"/>
        <v/>
      </c>
      <c r="JK72" s="91" t="str">
        <f t="shared" si="619"/>
        <v/>
      </c>
      <c r="JL72" s="86"/>
      <c r="JM72" s="91" t="str">
        <f t="shared" si="516"/>
        <v/>
      </c>
      <c r="JN72" s="91" t="str">
        <f t="shared" si="620"/>
        <v/>
      </c>
      <c r="JO72" s="86"/>
      <c r="JP72" s="91" t="str">
        <f t="shared" si="517"/>
        <v/>
      </c>
      <c r="JQ72" s="91" t="str">
        <f t="shared" si="621"/>
        <v/>
      </c>
      <c r="JR72" s="86"/>
      <c r="JS72" s="91" t="str">
        <f t="shared" si="518"/>
        <v/>
      </c>
      <c r="JT72" s="91" t="str">
        <f t="shared" si="622"/>
        <v/>
      </c>
      <c r="JU72" s="86"/>
      <c r="JV72" s="91" t="str">
        <f t="shared" si="519"/>
        <v/>
      </c>
      <c r="JW72" s="91" t="str">
        <f t="shared" si="623"/>
        <v/>
      </c>
      <c r="JX72" s="86"/>
      <c r="JY72" s="91" t="str">
        <f t="shared" si="520"/>
        <v/>
      </c>
      <c r="JZ72" s="91" t="str">
        <f t="shared" si="624"/>
        <v/>
      </c>
      <c r="KA72" s="86"/>
      <c r="KB72" s="91" t="str">
        <f t="shared" si="521"/>
        <v/>
      </c>
      <c r="KC72" s="91" t="str">
        <f t="shared" si="625"/>
        <v/>
      </c>
      <c r="KD72" s="86"/>
      <c r="KE72" s="91" t="str">
        <f t="shared" si="522"/>
        <v/>
      </c>
      <c r="KF72" s="91" t="str">
        <f t="shared" si="626"/>
        <v/>
      </c>
      <c r="KG72" s="86"/>
      <c r="KH72" s="91" t="str">
        <f t="shared" si="523"/>
        <v/>
      </c>
      <c r="KI72" s="91" t="str">
        <f t="shared" si="627"/>
        <v/>
      </c>
      <c r="KJ72" s="86"/>
      <c r="KK72" s="91" t="str">
        <f t="shared" si="524"/>
        <v/>
      </c>
      <c r="KL72" s="91" t="str">
        <f t="shared" si="628"/>
        <v/>
      </c>
      <c r="KM72" s="86"/>
      <c r="KN72" s="91" t="str">
        <f t="shared" si="525"/>
        <v/>
      </c>
      <c r="KO72" s="91" t="str">
        <f t="shared" si="629"/>
        <v/>
      </c>
      <c r="KP72" s="86"/>
      <c r="KQ72" s="91" t="str">
        <f t="shared" si="526"/>
        <v/>
      </c>
      <c r="KR72" s="91" t="str">
        <f t="shared" si="630"/>
        <v/>
      </c>
      <c r="KS72" s="86"/>
      <c r="KT72" s="91" t="str">
        <f t="shared" si="527"/>
        <v/>
      </c>
      <c r="KU72" s="91" t="str">
        <f t="shared" si="631"/>
        <v/>
      </c>
      <c r="KV72" s="86"/>
      <c r="KW72" s="91" t="str">
        <f t="shared" si="528"/>
        <v/>
      </c>
      <c r="KX72" s="91" t="str">
        <f t="shared" si="632"/>
        <v/>
      </c>
      <c r="KY72" s="92"/>
      <c r="KZ72" s="91" t="str">
        <f t="shared" si="529"/>
        <v/>
      </c>
      <c r="LA72" s="91" t="str">
        <f t="shared" si="633"/>
        <v/>
      </c>
      <c r="LB72" s="106" t="str">
        <f t="shared" si="430"/>
        <v/>
      </c>
      <c r="LC72" s="108" t="str">
        <f t="shared" si="634"/>
        <v/>
      </c>
      <c r="LD72" s="106" t="str">
        <f t="shared" si="635"/>
        <v/>
      </c>
      <c r="LE72" s="108" t="str">
        <f t="shared" si="636"/>
        <v/>
      </c>
      <c r="LF72" s="106" t="str">
        <f t="shared" si="637"/>
        <v/>
      </c>
      <c r="LG72" s="108" t="str">
        <f t="shared" si="638"/>
        <v/>
      </c>
      <c r="LH72" s="109" t="str">
        <f t="shared" si="530"/>
        <v/>
      </c>
      <c r="LI72" s="109" t="str">
        <f t="shared" si="531"/>
        <v/>
      </c>
      <c r="LJ72" s="109" t="str">
        <f t="shared" si="532"/>
        <v/>
      </c>
      <c r="LK72" s="109" t="str">
        <f t="shared" si="639"/>
        <v/>
      </c>
      <c r="LL72" s="111" t="str">
        <f t="shared" si="640"/>
        <v/>
      </c>
      <c r="LM72" s="64"/>
      <c r="LN72" s="112" t="str">
        <f t="shared" si="644"/>
        <v/>
      </c>
      <c r="LO72" s="113" t="str">
        <f t="shared" si="641"/>
        <v/>
      </c>
      <c r="LP72" s="64"/>
      <c r="LQ72" s="64"/>
      <c r="LR72" s="64"/>
    </row>
    <row r="73" spans="1:334" s="62" customFormat="1" ht="15" customHeight="1">
      <c r="A73" s="106">
        <f t="shared" si="642"/>
        <v>0</v>
      </c>
      <c r="B73" s="106">
        <f t="shared" si="643"/>
        <v>0</v>
      </c>
      <c r="C73" s="51"/>
      <c r="D73" s="52"/>
      <c r="E73" s="53"/>
      <c r="F73" s="53"/>
      <c r="G73" s="53"/>
      <c r="H73" s="53"/>
      <c r="I73" s="53"/>
      <c r="J73" s="53"/>
      <c r="K73" s="53"/>
      <c r="L73" s="53"/>
      <c r="M73" s="107" t="s">
        <v>35</v>
      </c>
      <c r="N73" s="86"/>
      <c r="O73" s="91" t="str">
        <f t="shared" si="431"/>
        <v/>
      </c>
      <c r="P73" s="91" t="str">
        <f t="shared" si="534"/>
        <v/>
      </c>
      <c r="Q73" s="86"/>
      <c r="R73" s="91" t="str">
        <f t="shared" si="432"/>
        <v/>
      </c>
      <c r="S73" s="91" t="str">
        <f t="shared" si="535"/>
        <v/>
      </c>
      <c r="T73" s="86"/>
      <c r="U73" s="91" t="str">
        <f t="shared" si="433"/>
        <v/>
      </c>
      <c r="V73" s="91" t="str">
        <f t="shared" si="536"/>
        <v/>
      </c>
      <c r="W73" s="92"/>
      <c r="X73" s="91" t="str">
        <f t="shared" si="434"/>
        <v/>
      </c>
      <c r="Y73" s="91" t="str">
        <f t="shared" si="537"/>
        <v/>
      </c>
      <c r="Z73" s="86"/>
      <c r="AA73" s="91" t="str">
        <f t="shared" si="435"/>
        <v/>
      </c>
      <c r="AB73" s="91" t="str">
        <f t="shared" si="538"/>
        <v/>
      </c>
      <c r="AC73" s="86"/>
      <c r="AD73" s="91" t="str">
        <f t="shared" si="436"/>
        <v/>
      </c>
      <c r="AE73" s="91" t="str">
        <f t="shared" si="539"/>
        <v/>
      </c>
      <c r="AF73" s="86"/>
      <c r="AG73" s="91" t="str">
        <f t="shared" si="437"/>
        <v/>
      </c>
      <c r="AH73" s="91" t="str">
        <f t="shared" si="540"/>
        <v/>
      </c>
      <c r="AI73" s="86"/>
      <c r="AJ73" s="91" t="str">
        <f t="shared" si="438"/>
        <v/>
      </c>
      <c r="AK73" s="91" t="str">
        <f t="shared" si="541"/>
        <v/>
      </c>
      <c r="AL73" s="86"/>
      <c r="AM73" s="91" t="str">
        <f t="shared" si="439"/>
        <v/>
      </c>
      <c r="AN73" s="91" t="str">
        <f t="shared" si="542"/>
        <v/>
      </c>
      <c r="AO73" s="86"/>
      <c r="AP73" s="91" t="str">
        <f t="shared" si="440"/>
        <v/>
      </c>
      <c r="AQ73" s="91" t="str">
        <f t="shared" si="543"/>
        <v/>
      </c>
      <c r="AR73" s="86"/>
      <c r="AS73" s="91" t="str">
        <f t="shared" si="441"/>
        <v/>
      </c>
      <c r="AT73" s="91" t="str">
        <f t="shared" si="544"/>
        <v/>
      </c>
      <c r="AU73" s="86"/>
      <c r="AV73" s="91" t="str">
        <f t="shared" si="442"/>
        <v/>
      </c>
      <c r="AW73" s="91" t="str">
        <f t="shared" si="545"/>
        <v/>
      </c>
      <c r="AX73" s="86"/>
      <c r="AY73" s="91" t="str">
        <f t="shared" si="443"/>
        <v/>
      </c>
      <c r="AZ73" s="91" t="str">
        <f t="shared" si="546"/>
        <v/>
      </c>
      <c r="BA73" s="86"/>
      <c r="BB73" s="91" t="str">
        <f t="shared" si="444"/>
        <v/>
      </c>
      <c r="BC73" s="91" t="str">
        <f t="shared" si="547"/>
        <v/>
      </c>
      <c r="BD73" s="86"/>
      <c r="BE73" s="91" t="str">
        <f t="shared" si="445"/>
        <v/>
      </c>
      <c r="BF73" s="91" t="str">
        <f t="shared" si="548"/>
        <v/>
      </c>
      <c r="BG73" s="86"/>
      <c r="BH73" s="91" t="str">
        <f t="shared" si="446"/>
        <v/>
      </c>
      <c r="BI73" s="91" t="str">
        <f t="shared" si="549"/>
        <v/>
      </c>
      <c r="BJ73" s="86"/>
      <c r="BK73" s="91" t="str">
        <f t="shared" si="447"/>
        <v/>
      </c>
      <c r="BL73" s="91" t="str">
        <f t="shared" si="550"/>
        <v/>
      </c>
      <c r="BM73" s="86"/>
      <c r="BN73" s="91" t="str">
        <f t="shared" si="448"/>
        <v/>
      </c>
      <c r="BO73" s="91" t="str">
        <f t="shared" si="551"/>
        <v/>
      </c>
      <c r="BP73" s="51"/>
      <c r="BQ73" s="91" t="str">
        <f t="shared" si="449"/>
        <v/>
      </c>
      <c r="BR73" s="91" t="str">
        <f t="shared" si="552"/>
        <v/>
      </c>
      <c r="BS73" s="86"/>
      <c r="BT73" s="91" t="str">
        <f t="shared" si="450"/>
        <v/>
      </c>
      <c r="BU73" s="91" t="str">
        <f t="shared" si="553"/>
        <v/>
      </c>
      <c r="BV73" s="86"/>
      <c r="BW73" s="91" t="str">
        <f t="shared" si="451"/>
        <v/>
      </c>
      <c r="BX73" s="91" t="str">
        <f t="shared" si="554"/>
        <v/>
      </c>
      <c r="BY73" s="86"/>
      <c r="BZ73" s="91" t="str">
        <f t="shared" si="452"/>
        <v/>
      </c>
      <c r="CA73" s="91" t="str">
        <f t="shared" si="555"/>
        <v/>
      </c>
      <c r="CB73" s="86"/>
      <c r="CC73" s="91" t="str">
        <f t="shared" si="453"/>
        <v/>
      </c>
      <c r="CD73" s="91" t="str">
        <f t="shared" si="556"/>
        <v/>
      </c>
      <c r="CE73" s="86"/>
      <c r="CF73" s="91" t="str">
        <f t="shared" si="454"/>
        <v/>
      </c>
      <c r="CG73" s="91" t="str">
        <f t="shared" si="557"/>
        <v/>
      </c>
      <c r="CH73" s="86"/>
      <c r="CI73" s="91" t="str">
        <f t="shared" si="455"/>
        <v/>
      </c>
      <c r="CJ73" s="91" t="str">
        <f t="shared" si="558"/>
        <v/>
      </c>
      <c r="CK73" s="86"/>
      <c r="CL73" s="91" t="str">
        <f t="shared" si="456"/>
        <v/>
      </c>
      <c r="CM73" s="91" t="str">
        <f t="shared" si="559"/>
        <v/>
      </c>
      <c r="CN73" s="86"/>
      <c r="CO73" s="91" t="str">
        <f t="shared" si="457"/>
        <v/>
      </c>
      <c r="CP73" s="91" t="str">
        <f t="shared" si="560"/>
        <v/>
      </c>
      <c r="CQ73" s="86"/>
      <c r="CR73" s="91" t="str">
        <f t="shared" si="458"/>
        <v/>
      </c>
      <c r="CS73" s="91" t="str">
        <f t="shared" si="561"/>
        <v/>
      </c>
      <c r="CT73" s="86"/>
      <c r="CU73" s="91" t="str">
        <f t="shared" si="459"/>
        <v/>
      </c>
      <c r="CV73" s="91" t="str">
        <f t="shared" si="562"/>
        <v/>
      </c>
      <c r="CW73" s="86"/>
      <c r="CX73" s="91" t="str">
        <f t="shared" si="460"/>
        <v/>
      </c>
      <c r="CY73" s="91" t="str">
        <f t="shared" si="563"/>
        <v/>
      </c>
      <c r="CZ73" s="86"/>
      <c r="DA73" s="91" t="str">
        <f t="shared" si="461"/>
        <v/>
      </c>
      <c r="DB73" s="91" t="str">
        <f t="shared" si="564"/>
        <v/>
      </c>
      <c r="DC73" s="86"/>
      <c r="DD73" s="91" t="str">
        <f t="shared" si="462"/>
        <v/>
      </c>
      <c r="DE73" s="91" t="str">
        <f t="shared" si="565"/>
        <v/>
      </c>
      <c r="DF73" s="86"/>
      <c r="DG73" s="91"/>
      <c r="DH73" s="91" t="str">
        <f t="shared" si="566"/>
        <v/>
      </c>
      <c r="DI73" s="86"/>
      <c r="DJ73" s="91" t="str">
        <f t="shared" si="463"/>
        <v/>
      </c>
      <c r="DK73" s="91" t="str">
        <f t="shared" si="567"/>
        <v/>
      </c>
      <c r="DL73" s="86"/>
      <c r="DM73" s="91" t="str">
        <f t="shared" si="464"/>
        <v/>
      </c>
      <c r="DN73" s="91" t="str">
        <f t="shared" si="568"/>
        <v/>
      </c>
      <c r="DO73" s="86"/>
      <c r="DP73" s="91" t="str">
        <f t="shared" si="465"/>
        <v/>
      </c>
      <c r="DQ73" s="91" t="str">
        <f t="shared" si="569"/>
        <v/>
      </c>
      <c r="DR73" s="86"/>
      <c r="DS73" s="91" t="str">
        <f t="shared" si="466"/>
        <v/>
      </c>
      <c r="DT73" s="91" t="str">
        <f t="shared" si="570"/>
        <v/>
      </c>
      <c r="DU73" s="86"/>
      <c r="DV73" s="91" t="str">
        <f t="shared" si="467"/>
        <v/>
      </c>
      <c r="DW73" s="91" t="str">
        <f t="shared" si="571"/>
        <v/>
      </c>
      <c r="DX73" s="86"/>
      <c r="DY73" s="91" t="str">
        <f t="shared" si="468"/>
        <v/>
      </c>
      <c r="DZ73" s="91" t="str">
        <f t="shared" si="572"/>
        <v/>
      </c>
      <c r="EA73" s="86"/>
      <c r="EB73" s="91" t="str">
        <f t="shared" si="469"/>
        <v/>
      </c>
      <c r="EC73" s="91" t="str">
        <f t="shared" si="573"/>
        <v/>
      </c>
      <c r="ED73" s="86"/>
      <c r="EE73" s="91" t="str">
        <f t="shared" si="470"/>
        <v/>
      </c>
      <c r="EF73" s="91" t="str">
        <f t="shared" si="574"/>
        <v/>
      </c>
      <c r="EG73" s="86"/>
      <c r="EH73" s="91" t="str">
        <f t="shared" si="471"/>
        <v/>
      </c>
      <c r="EI73" s="91" t="str">
        <f t="shared" si="575"/>
        <v/>
      </c>
      <c r="EJ73" s="86"/>
      <c r="EK73" s="91" t="str">
        <f t="shared" si="472"/>
        <v/>
      </c>
      <c r="EL73" s="91" t="str">
        <f t="shared" si="576"/>
        <v/>
      </c>
      <c r="EM73" s="86"/>
      <c r="EN73" s="91" t="str">
        <f t="shared" si="473"/>
        <v/>
      </c>
      <c r="EO73" s="91" t="str">
        <f t="shared" si="577"/>
        <v/>
      </c>
      <c r="EP73" s="86"/>
      <c r="EQ73" s="91" t="str">
        <f t="shared" si="474"/>
        <v/>
      </c>
      <c r="ER73" s="91" t="str">
        <f t="shared" si="578"/>
        <v/>
      </c>
      <c r="ES73" s="51"/>
      <c r="ET73" s="91" t="str">
        <f t="shared" si="475"/>
        <v/>
      </c>
      <c r="EU73" s="91" t="str">
        <f t="shared" si="579"/>
        <v/>
      </c>
      <c r="EV73" s="86"/>
      <c r="EW73" s="91" t="str">
        <f t="shared" si="476"/>
        <v/>
      </c>
      <c r="EX73" s="91" t="str">
        <f t="shared" si="580"/>
        <v/>
      </c>
      <c r="EY73" s="86"/>
      <c r="EZ73" s="91" t="str">
        <f t="shared" si="477"/>
        <v/>
      </c>
      <c r="FA73" s="91" t="str">
        <f t="shared" si="581"/>
        <v/>
      </c>
      <c r="FB73" s="86"/>
      <c r="FC73" s="91" t="str">
        <f t="shared" si="478"/>
        <v/>
      </c>
      <c r="FD73" s="91" t="str">
        <f t="shared" si="582"/>
        <v/>
      </c>
      <c r="FE73" s="86"/>
      <c r="FF73" s="91" t="str">
        <f t="shared" si="479"/>
        <v/>
      </c>
      <c r="FG73" s="91" t="str">
        <f t="shared" si="583"/>
        <v/>
      </c>
      <c r="FH73" s="86"/>
      <c r="FI73" s="91" t="str">
        <f t="shared" si="480"/>
        <v/>
      </c>
      <c r="FJ73" s="91" t="str">
        <f t="shared" si="584"/>
        <v/>
      </c>
      <c r="FK73" s="86"/>
      <c r="FL73" s="91" t="str">
        <f t="shared" si="481"/>
        <v/>
      </c>
      <c r="FM73" s="91" t="str">
        <f t="shared" si="585"/>
        <v/>
      </c>
      <c r="FN73" s="86"/>
      <c r="FO73" s="91" t="str">
        <f t="shared" si="482"/>
        <v/>
      </c>
      <c r="FP73" s="91" t="str">
        <f t="shared" si="586"/>
        <v/>
      </c>
      <c r="FQ73" s="86"/>
      <c r="FR73" s="91" t="str">
        <f t="shared" si="483"/>
        <v/>
      </c>
      <c r="FS73" s="91" t="str">
        <f t="shared" si="587"/>
        <v/>
      </c>
      <c r="FT73" s="86"/>
      <c r="FU73" s="91" t="str">
        <f t="shared" si="484"/>
        <v/>
      </c>
      <c r="FV73" s="91" t="str">
        <f t="shared" si="588"/>
        <v/>
      </c>
      <c r="FW73" s="92"/>
      <c r="FX73" s="91" t="str">
        <f t="shared" si="485"/>
        <v/>
      </c>
      <c r="FY73" s="91" t="str">
        <f t="shared" si="589"/>
        <v/>
      </c>
      <c r="FZ73" s="86"/>
      <c r="GA73" s="91" t="str">
        <f t="shared" si="486"/>
        <v/>
      </c>
      <c r="GB73" s="91" t="str">
        <f t="shared" si="590"/>
        <v/>
      </c>
      <c r="GC73" s="86"/>
      <c r="GD73" s="91" t="str">
        <f t="shared" si="487"/>
        <v/>
      </c>
      <c r="GE73" s="91" t="str">
        <f t="shared" si="591"/>
        <v/>
      </c>
      <c r="GF73" s="86"/>
      <c r="GG73" s="91" t="str">
        <f t="shared" si="488"/>
        <v/>
      </c>
      <c r="GH73" s="91" t="str">
        <f t="shared" si="592"/>
        <v/>
      </c>
      <c r="GI73" s="86"/>
      <c r="GJ73" s="91" t="str">
        <f t="shared" si="489"/>
        <v/>
      </c>
      <c r="GK73" s="91" t="str">
        <f t="shared" si="593"/>
        <v/>
      </c>
      <c r="GL73" s="86"/>
      <c r="GM73" s="91" t="str">
        <f t="shared" si="490"/>
        <v/>
      </c>
      <c r="GN73" s="91" t="str">
        <f t="shared" si="594"/>
        <v/>
      </c>
      <c r="GO73" s="86"/>
      <c r="GP73" s="91" t="str">
        <f t="shared" si="491"/>
        <v/>
      </c>
      <c r="GQ73" s="91" t="str">
        <f t="shared" si="595"/>
        <v/>
      </c>
      <c r="GR73" s="86"/>
      <c r="GS73" s="91" t="str">
        <f t="shared" si="492"/>
        <v/>
      </c>
      <c r="GT73" s="91" t="str">
        <f t="shared" si="596"/>
        <v/>
      </c>
      <c r="GU73" s="86"/>
      <c r="GV73" s="91" t="str">
        <f t="shared" si="493"/>
        <v/>
      </c>
      <c r="GW73" s="91" t="str">
        <f t="shared" si="597"/>
        <v/>
      </c>
      <c r="GX73" s="86"/>
      <c r="GY73" s="91" t="str">
        <f t="shared" si="494"/>
        <v/>
      </c>
      <c r="GZ73" s="91" t="str">
        <f t="shared" si="598"/>
        <v/>
      </c>
      <c r="HA73" s="86"/>
      <c r="HB73" s="91" t="str">
        <f t="shared" si="495"/>
        <v/>
      </c>
      <c r="HC73" s="91" t="str">
        <f t="shared" si="599"/>
        <v/>
      </c>
      <c r="HD73" s="86"/>
      <c r="HE73" s="91" t="str">
        <f t="shared" si="496"/>
        <v/>
      </c>
      <c r="HF73" s="91" t="str">
        <f t="shared" si="600"/>
        <v/>
      </c>
      <c r="HG73" s="86"/>
      <c r="HH73" s="91" t="str">
        <f t="shared" si="497"/>
        <v/>
      </c>
      <c r="HI73" s="91" t="str">
        <f t="shared" si="601"/>
        <v/>
      </c>
      <c r="HJ73" s="86"/>
      <c r="HK73" s="91" t="str">
        <f t="shared" si="498"/>
        <v/>
      </c>
      <c r="HL73" s="91" t="str">
        <f t="shared" si="602"/>
        <v/>
      </c>
      <c r="HM73" s="86"/>
      <c r="HN73" s="91" t="str">
        <f t="shared" si="499"/>
        <v/>
      </c>
      <c r="HO73" s="91" t="str">
        <f t="shared" si="603"/>
        <v/>
      </c>
      <c r="HP73" s="86"/>
      <c r="HQ73" s="91" t="str">
        <f t="shared" si="500"/>
        <v/>
      </c>
      <c r="HR73" s="91" t="str">
        <f t="shared" si="604"/>
        <v/>
      </c>
      <c r="HS73" s="86"/>
      <c r="HT73" s="91" t="str">
        <f t="shared" si="501"/>
        <v/>
      </c>
      <c r="HU73" s="91" t="str">
        <f t="shared" si="605"/>
        <v/>
      </c>
      <c r="HV73" s="86"/>
      <c r="HW73" s="91" t="str">
        <f t="shared" si="502"/>
        <v/>
      </c>
      <c r="HX73" s="91" t="str">
        <f t="shared" si="606"/>
        <v/>
      </c>
      <c r="HY73" s="86"/>
      <c r="HZ73" s="91" t="str">
        <f t="shared" si="503"/>
        <v/>
      </c>
      <c r="IA73" s="91" t="str">
        <f t="shared" si="607"/>
        <v/>
      </c>
      <c r="IB73" s="86"/>
      <c r="IC73" s="91" t="str">
        <f t="shared" si="504"/>
        <v/>
      </c>
      <c r="ID73" s="91" t="str">
        <f t="shared" si="608"/>
        <v/>
      </c>
      <c r="IE73" s="86"/>
      <c r="IF73" s="91" t="str">
        <f t="shared" si="505"/>
        <v/>
      </c>
      <c r="IG73" s="91" t="str">
        <f t="shared" si="609"/>
        <v/>
      </c>
      <c r="IH73" s="86"/>
      <c r="II73" s="91" t="str">
        <f t="shared" si="506"/>
        <v/>
      </c>
      <c r="IJ73" s="91" t="str">
        <f t="shared" si="610"/>
        <v/>
      </c>
      <c r="IK73" s="86"/>
      <c r="IL73" s="91" t="str">
        <f t="shared" si="507"/>
        <v/>
      </c>
      <c r="IM73" s="91" t="str">
        <f t="shared" si="611"/>
        <v/>
      </c>
      <c r="IN73" s="86"/>
      <c r="IO73" s="91" t="str">
        <f t="shared" si="508"/>
        <v/>
      </c>
      <c r="IP73" s="91" t="str">
        <f t="shared" si="612"/>
        <v/>
      </c>
      <c r="IQ73" s="86"/>
      <c r="IR73" s="91" t="str">
        <f t="shared" si="509"/>
        <v/>
      </c>
      <c r="IS73" s="91" t="str">
        <f t="shared" si="613"/>
        <v/>
      </c>
      <c r="IT73" s="86"/>
      <c r="IU73" s="91" t="str">
        <f t="shared" si="510"/>
        <v/>
      </c>
      <c r="IV73" s="91" t="str">
        <f t="shared" si="614"/>
        <v/>
      </c>
      <c r="IW73" s="86"/>
      <c r="IX73" s="91" t="str">
        <f t="shared" si="511"/>
        <v/>
      </c>
      <c r="IY73" s="91" t="str">
        <f t="shared" si="615"/>
        <v/>
      </c>
      <c r="IZ73" s="86"/>
      <c r="JA73" s="91" t="str">
        <f t="shared" si="512"/>
        <v/>
      </c>
      <c r="JB73" s="91" t="str">
        <f t="shared" si="616"/>
        <v/>
      </c>
      <c r="JC73" s="86"/>
      <c r="JD73" s="91" t="str">
        <f t="shared" si="513"/>
        <v/>
      </c>
      <c r="JE73" s="91" t="str">
        <f t="shared" si="617"/>
        <v/>
      </c>
      <c r="JF73" s="86"/>
      <c r="JG73" s="91" t="str">
        <f t="shared" si="514"/>
        <v/>
      </c>
      <c r="JH73" s="91" t="str">
        <f t="shared" si="618"/>
        <v/>
      </c>
      <c r="JI73" s="86"/>
      <c r="JJ73" s="91" t="str">
        <f t="shared" si="515"/>
        <v/>
      </c>
      <c r="JK73" s="91" t="str">
        <f t="shared" si="619"/>
        <v/>
      </c>
      <c r="JL73" s="86"/>
      <c r="JM73" s="91" t="str">
        <f t="shared" si="516"/>
        <v/>
      </c>
      <c r="JN73" s="91" t="str">
        <f t="shared" si="620"/>
        <v/>
      </c>
      <c r="JO73" s="86"/>
      <c r="JP73" s="91" t="str">
        <f t="shared" si="517"/>
        <v/>
      </c>
      <c r="JQ73" s="91" t="str">
        <f t="shared" si="621"/>
        <v/>
      </c>
      <c r="JR73" s="86"/>
      <c r="JS73" s="91" t="str">
        <f t="shared" si="518"/>
        <v/>
      </c>
      <c r="JT73" s="91" t="str">
        <f t="shared" si="622"/>
        <v/>
      </c>
      <c r="JU73" s="86"/>
      <c r="JV73" s="91" t="str">
        <f t="shared" si="519"/>
        <v/>
      </c>
      <c r="JW73" s="91" t="str">
        <f t="shared" si="623"/>
        <v/>
      </c>
      <c r="JX73" s="86"/>
      <c r="JY73" s="91" t="str">
        <f t="shared" si="520"/>
        <v/>
      </c>
      <c r="JZ73" s="91" t="str">
        <f t="shared" si="624"/>
        <v/>
      </c>
      <c r="KA73" s="86"/>
      <c r="KB73" s="91" t="str">
        <f t="shared" si="521"/>
        <v/>
      </c>
      <c r="KC73" s="91" t="str">
        <f t="shared" si="625"/>
        <v/>
      </c>
      <c r="KD73" s="86"/>
      <c r="KE73" s="91" t="str">
        <f t="shared" si="522"/>
        <v/>
      </c>
      <c r="KF73" s="91" t="str">
        <f t="shared" si="626"/>
        <v/>
      </c>
      <c r="KG73" s="86"/>
      <c r="KH73" s="91" t="str">
        <f t="shared" si="523"/>
        <v/>
      </c>
      <c r="KI73" s="91" t="str">
        <f t="shared" si="627"/>
        <v/>
      </c>
      <c r="KJ73" s="86"/>
      <c r="KK73" s="91" t="str">
        <f t="shared" si="524"/>
        <v/>
      </c>
      <c r="KL73" s="91" t="str">
        <f t="shared" si="628"/>
        <v/>
      </c>
      <c r="KM73" s="86"/>
      <c r="KN73" s="91" t="str">
        <f t="shared" si="525"/>
        <v/>
      </c>
      <c r="KO73" s="91" t="str">
        <f t="shared" si="629"/>
        <v/>
      </c>
      <c r="KP73" s="86"/>
      <c r="KQ73" s="91" t="str">
        <f t="shared" si="526"/>
        <v/>
      </c>
      <c r="KR73" s="91" t="str">
        <f t="shared" si="630"/>
        <v/>
      </c>
      <c r="KS73" s="86"/>
      <c r="KT73" s="91" t="str">
        <f t="shared" si="527"/>
        <v/>
      </c>
      <c r="KU73" s="91" t="str">
        <f t="shared" si="631"/>
        <v/>
      </c>
      <c r="KV73" s="86"/>
      <c r="KW73" s="91" t="str">
        <f t="shared" si="528"/>
        <v/>
      </c>
      <c r="KX73" s="91" t="str">
        <f t="shared" si="632"/>
        <v/>
      </c>
      <c r="KY73" s="92"/>
      <c r="KZ73" s="91" t="str">
        <f t="shared" si="529"/>
        <v/>
      </c>
      <c r="LA73" s="91" t="str">
        <f t="shared" si="633"/>
        <v/>
      </c>
      <c r="LB73" s="106" t="str">
        <f t="shared" si="430"/>
        <v/>
      </c>
      <c r="LC73" s="108" t="str">
        <f t="shared" si="634"/>
        <v/>
      </c>
      <c r="LD73" s="106" t="str">
        <f t="shared" si="635"/>
        <v/>
      </c>
      <c r="LE73" s="108" t="str">
        <f t="shared" si="636"/>
        <v/>
      </c>
      <c r="LF73" s="106" t="str">
        <f t="shared" si="637"/>
        <v/>
      </c>
      <c r="LG73" s="108" t="str">
        <f t="shared" si="638"/>
        <v/>
      </c>
      <c r="LH73" s="109" t="str">
        <f t="shared" si="530"/>
        <v/>
      </c>
      <c r="LI73" s="109" t="str">
        <f t="shared" si="531"/>
        <v/>
      </c>
      <c r="LJ73" s="109" t="str">
        <f t="shared" si="532"/>
        <v/>
      </c>
      <c r="LK73" s="109" t="str">
        <f t="shared" si="639"/>
        <v/>
      </c>
      <c r="LL73" s="111" t="str">
        <f t="shared" si="640"/>
        <v/>
      </c>
      <c r="LM73" s="64"/>
      <c r="LN73" s="112" t="str">
        <f t="shared" si="644"/>
        <v/>
      </c>
      <c r="LO73" s="113" t="str">
        <f t="shared" si="641"/>
        <v/>
      </c>
      <c r="LP73" s="64"/>
      <c r="LQ73" s="64"/>
      <c r="LR73" s="64"/>
    </row>
    <row r="74" spans="1:334" s="62" customFormat="1" ht="15" customHeight="1">
      <c r="A74" s="106">
        <f t="shared" si="642"/>
        <v>0</v>
      </c>
      <c r="B74" s="106">
        <f t="shared" si="643"/>
        <v>0</v>
      </c>
      <c r="C74" s="51"/>
      <c r="D74" s="52"/>
      <c r="E74" s="53"/>
      <c r="F74" s="53"/>
      <c r="G74" s="53"/>
      <c r="H74" s="53"/>
      <c r="I74" s="53"/>
      <c r="J74" s="53"/>
      <c r="K74" s="53"/>
      <c r="L74" s="53"/>
      <c r="M74" s="107" t="s">
        <v>35</v>
      </c>
      <c r="N74" s="86"/>
      <c r="O74" s="91" t="str">
        <f t="shared" si="431"/>
        <v/>
      </c>
      <c r="P74" s="91" t="str">
        <f t="shared" si="534"/>
        <v/>
      </c>
      <c r="Q74" s="86"/>
      <c r="R74" s="91" t="str">
        <f t="shared" si="432"/>
        <v/>
      </c>
      <c r="S74" s="91" t="str">
        <f t="shared" si="535"/>
        <v/>
      </c>
      <c r="T74" s="86"/>
      <c r="U74" s="91" t="str">
        <f t="shared" si="433"/>
        <v/>
      </c>
      <c r="V74" s="91" t="str">
        <f t="shared" si="536"/>
        <v/>
      </c>
      <c r="W74" s="86"/>
      <c r="X74" s="91" t="str">
        <f t="shared" si="434"/>
        <v/>
      </c>
      <c r="Y74" s="91" t="str">
        <f t="shared" si="537"/>
        <v/>
      </c>
      <c r="Z74" s="86"/>
      <c r="AA74" s="91" t="str">
        <f t="shared" si="435"/>
        <v/>
      </c>
      <c r="AB74" s="91" t="str">
        <f t="shared" si="538"/>
        <v/>
      </c>
      <c r="AC74" s="86"/>
      <c r="AD74" s="91" t="str">
        <f t="shared" si="436"/>
        <v/>
      </c>
      <c r="AE74" s="91" t="str">
        <f t="shared" si="539"/>
        <v/>
      </c>
      <c r="AF74" s="86"/>
      <c r="AG74" s="91" t="str">
        <f t="shared" si="437"/>
        <v/>
      </c>
      <c r="AH74" s="91" t="str">
        <f t="shared" si="540"/>
        <v/>
      </c>
      <c r="AI74" s="86"/>
      <c r="AJ74" s="91" t="str">
        <f t="shared" si="438"/>
        <v/>
      </c>
      <c r="AK74" s="91" t="str">
        <f t="shared" si="541"/>
        <v/>
      </c>
      <c r="AL74" s="86"/>
      <c r="AM74" s="91" t="str">
        <f t="shared" si="439"/>
        <v/>
      </c>
      <c r="AN74" s="91" t="str">
        <f t="shared" si="542"/>
        <v/>
      </c>
      <c r="AO74" s="86"/>
      <c r="AP74" s="91" t="str">
        <f t="shared" si="440"/>
        <v/>
      </c>
      <c r="AQ74" s="91" t="str">
        <f t="shared" si="543"/>
        <v/>
      </c>
      <c r="AR74" s="86"/>
      <c r="AS74" s="91" t="str">
        <f t="shared" si="441"/>
        <v/>
      </c>
      <c r="AT74" s="91" t="str">
        <f t="shared" si="544"/>
        <v/>
      </c>
      <c r="AU74" s="86"/>
      <c r="AV74" s="91" t="str">
        <f t="shared" si="442"/>
        <v/>
      </c>
      <c r="AW74" s="91" t="str">
        <f t="shared" si="545"/>
        <v/>
      </c>
      <c r="AX74" s="86"/>
      <c r="AY74" s="91" t="str">
        <f t="shared" si="443"/>
        <v/>
      </c>
      <c r="AZ74" s="91" t="str">
        <f t="shared" si="546"/>
        <v/>
      </c>
      <c r="BA74" s="86"/>
      <c r="BB74" s="91" t="str">
        <f t="shared" si="444"/>
        <v/>
      </c>
      <c r="BC74" s="91" t="str">
        <f t="shared" si="547"/>
        <v/>
      </c>
      <c r="BD74" s="86"/>
      <c r="BE74" s="91" t="str">
        <f t="shared" si="445"/>
        <v/>
      </c>
      <c r="BF74" s="91" t="str">
        <f t="shared" si="548"/>
        <v/>
      </c>
      <c r="BG74" s="86"/>
      <c r="BH74" s="91" t="str">
        <f t="shared" si="446"/>
        <v/>
      </c>
      <c r="BI74" s="91" t="str">
        <f t="shared" si="549"/>
        <v/>
      </c>
      <c r="BJ74" s="86"/>
      <c r="BK74" s="91" t="str">
        <f t="shared" si="447"/>
        <v/>
      </c>
      <c r="BL74" s="91" t="str">
        <f t="shared" si="550"/>
        <v/>
      </c>
      <c r="BM74" s="86"/>
      <c r="BN74" s="91" t="str">
        <f t="shared" si="448"/>
        <v/>
      </c>
      <c r="BO74" s="91" t="str">
        <f t="shared" si="551"/>
        <v/>
      </c>
      <c r="BP74" s="51"/>
      <c r="BQ74" s="91" t="str">
        <f t="shared" si="449"/>
        <v/>
      </c>
      <c r="BR74" s="91" t="str">
        <f t="shared" si="552"/>
        <v/>
      </c>
      <c r="BS74" s="86"/>
      <c r="BT74" s="91" t="str">
        <f t="shared" si="450"/>
        <v/>
      </c>
      <c r="BU74" s="91" t="str">
        <f t="shared" si="553"/>
        <v/>
      </c>
      <c r="BV74" s="86"/>
      <c r="BW74" s="91" t="str">
        <f t="shared" si="451"/>
        <v/>
      </c>
      <c r="BX74" s="91" t="str">
        <f t="shared" si="554"/>
        <v/>
      </c>
      <c r="BY74" s="86"/>
      <c r="BZ74" s="91" t="str">
        <f t="shared" si="452"/>
        <v/>
      </c>
      <c r="CA74" s="91" t="str">
        <f t="shared" si="555"/>
        <v/>
      </c>
      <c r="CB74" s="86"/>
      <c r="CC74" s="91" t="str">
        <f t="shared" si="453"/>
        <v/>
      </c>
      <c r="CD74" s="91" t="str">
        <f t="shared" si="556"/>
        <v/>
      </c>
      <c r="CE74" s="86"/>
      <c r="CF74" s="91" t="str">
        <f t="shared" si="454"/>
        <v/>
      </c>
      <c r="CG74" s="91" t="str">
        <f t="shared" si="557"/>
        <v/>
      </c>
      <c r="CH74" s="86"/>
      <c r="CI74" s="91" t="str">
        <f t="shared" si="455"/>
        <v/>
      </c>
      <c r="CJ74" s="91" t="str">
        <f t="shared" si="558"/>
        <v/>
      </c>
      <c r="CK74" s="86"/>
      <c r="CL74" s="91" t="str">
        <f t="shared" si="456"/>
        <v/>
      </c>
      <c r="CM74" s="91" t="str">
        <f t="shared" si="559"/>
        <v/>
      </c>
      <c r="CN74" s="86"/>
      <c r="CO74" s="91" t="str">
        <f t="shared" si="457"/>
        <v/>
      </c>
      <c r="CP74" s="91" t="str">
        <f t="shared" si="560"/>
        <v/>
      </c>
      <c r="CQ74" s="86"/>
      <c r="CR74" s="91" t="str">
        <f t="shared" si="458"/>
        <v/>
      </c>
      <c r="CS74" s="91" t="str">
        <f t="shared" si="561"/>
        <v/>
      </c>
      <c r="CT74" s="86"/>
      <c r="CU74" s="91" t="str">
        <f t="shared" si="459"/>
        <v/>
      </c>
      <c r="CV74" s="91" t="str">
        <f t="shared" si="562"/>
        <v/>
      </c>
      <c r="CW74" s="86"/>
      <c r="CX74" s="91" t="str">
        <f t="shared" si="460"/>
        <v/>
      </c>
      <c r="CY74" s="91" t="str">
        <f t="shared" si="563"/>
        <v/>
      </c>
      <c r="CZ74" s="86"/>
      <c r="DA74" s="91" t="str">
        <f t="shared" si="461"/>
        <v/>
      </c>
      <c r="DB74" s="91" t="str">
        <f t="shared" si="564"/>
        <v/>
      </c>
      <c r="DC74" s="86"/>
      <c r="DD74" s="91" t="str">
        <f t="shared" si="462"/>
        <v/>
      </c>
      <c r="DE74" s="91" t="str">
        <f t="shared" si="565"/>
        <v/>
      </c>
      <c r="DF74" s="86"/>
      <c r="DG74" s="91"/>
      <c r="DH74" s="91" t="str">
        <f t="shared" si="566"/>
        <v/>
      </c>
      <c r="DI74" s="86"/>
      <c r="DJ74" s="91" t="str">
        <f t="shared" si="463"/>
        <v/>
      </c>
      <c r="DK74" s="91" t="str">
        <f t="shared" si="567"/>
        <v/>
      </c>
      <c r="DL74" s="86"/>
      <c r="DM74" s="91" t="str">
        <f t="shared" si="464"/>
        <v/>
      </c>
      <c r="DN74" s="91" t="str">
        <f t="shared" si="568"/>
        <v/>
      </c>
      <c r="DO74" s="86"/>
      <c r="DP74" s="91" t="str">
        <f t="shared" si="465"/>
        <v/>
      </c>
      <c r="DQ74" s="91" t="str">
        <f t="shared" si="569"/>
        <v/>
      </c>
      <c r="DR74" s="86"/>
      <c r="DS74" s="91" t="str">
        <f t="shared" si="466"/>
        <v/>
      </c>
      <c r="DT74" s="91" t="str">
        <f t="shared" si="570"/>
        <v/>
      </c>
      <c r="DU74" s="86"/>
      <c r="DV74" s="91" t="str">
        <f t="shared" si="467"/>
        <v/>
      </c>
      <c r="DW74" s="91" t="str">
        <f t="shared" si="571"/>
        <v/>
      </c>
      <c r="DX74" s="86"/>
      <c r="DY74" s="91" t="str">
        <f t="shared" si="468"/>
        <v/>
      </c>
      <c r="DZ74" s="91" t="str">
        <f t="shared" si="572"/>
        <v/>
      </c>
      <c r="EA74" s="86"/>
      <c r="EB74" s="91" t="str">
        <f t="shared" si="469"/>
        <v/>
      </c>
      <c r="EC74" s="91" t="str">
        <f t="shared" si="573"/>
        <v/>
      </c>
      <c r="ED74" s="86"/>
      <c r="EE74" s="91" t="str">
        <f t="shared" si="470"/>
        <v/>
      </c>
      <c r="EF74" s="91" t="str">
        <f t="shared" si="574"/>
        <v/>
      </c>
      <c r="EG74" s="86"/>
      <c r="EH74" s="91" t="str">
        <f t="shared" si="471"/>
        <v/>
      </c>
      <c r="EI74" s="91" t="str">
        <f t="shared" si="575"/>
        <v/>
      </c>
      <c r="EJ74" s="86"/>
      <c r="EK74" s="91" t="str">
        <f t="shared" si="472"/>
        <v/>
      </c>
      <c r="EL74" s="91" t="str">
        <f t="shared" si="576"/>
        <v/>
      </c>
      <c r="EM74" s="86"/>
      <c r="EN74" s="91" t="str">
        <f t="shared" si="473"/>
        <v/>
      </c>
      <c r="EO74" s="91" t="str">
        <f t="shared" si="577"/>
        <v/>
      </c>
      <c r="EP74" s="86"/>
      <c r="EQ74" s="91" t="str">
        <f t="shared" si="474"/>
        <v/>
      </c>
      <c r="ER74" s="91" t="str">
        <f t="shared" si="578"/>
        <v/>
      </c>
      <c r="ES74" s="51"/>
      <c r="ET74" s="91" t="str">
        <f t="shared" si="475"/>
        <v/>
      </c>
      <c r="EU74" s="91" t="str">
        <f t="shared" si="579"/>
        <v/>
      </c>
      <c r="EV74" s="86"/>
      <c r="EW74" s="91" t="str">
        <f t="shared" si="476"/>
        <v/>
      </c>
      <c r="EX74" s="91" t="str">
        <f t="shared" si="580"/>
        <v/>
      </c>
      <c r="EY74" s="86"/>
      <c r="EZ74" s="91" t="str">
        <f t="shared" si="477"/>
        <v/>
      </c>
      <c r="FA74" s="91" t="str">
        <f t="shared" si="581"/>
        <v/>
      </c>
      <c r="FB74" s="86"/>
      <c r="FC74" s="91" t="str">
        <f t="shared" si="478"/>
        <v/>
      </c>
      <c r="FD74" s="91" t="str">
        <f t="shared" si="582"/>
        <v/>
      </c>
      <c r="FE74" s="86"/>
      <c r="FF74" s="91" t="str">
        <f t="shared" si="479"/>
        <v/>
      </c>
      <c r="FG74" s="91" t="str">
        <f t="shared" si="583"/>
        <v/>
      </c>
      <c r="FH74" s="86"/>
      <c r="FI74" s="91" t="str">
        <f t="shared" si="480"/>
        <v/>
      </c>
      <c r="FJ74" s="91" t="str">
        <f t="shared" si="584"/>
        <v/>
      </c>
      <c r="FK74" s="86"/>
      <c r="FL74" s="91" t="str">
        <f t="shared" si="481"/>
        <v/>
      </c>
      <c r="FM74" s="91" t="str">
        <f t="shared" si="585"/>
        <v/>
      </c>
      <c r="FN74" s="86"/>
      <c r="FO74" s="91" t="str">
        <f t="shared" si="482"/>
        <v/>
      </c>
      <c r="FP74" s="91" t="str">
        <f t="shared" si="586"/>
        <v/>
      </c>
      <c r="FQ74" s="86"/>
      <c r="FR74" s="91" t="str">
        <f t="shared" si="483"/>
        <v/>
      </c>
      <c r="FS74" s="91" t="str">
        <f t="shared" si="587"/>
        <v/>
      </c>
      <c r="FT74" s="86"/>
      <c r="FU74" s="91" t="str">
        <f t="shared" si="484"/>
        <v/>
      </c>
      <c r="FV74" s="91" t="str">
        <f t="shared" si="588"/>
        <v/>
      </c>
      <c r="FW74" s="92"/>
      <c r="FX74" s="91" t="str">
        <f t="shared" si="485"/>
        <v/>
      </c>
      <c r="FY74" s="91" t="str">
        <f t="shared" si="589"/>
        <v/>
      </c>
      <c r="FZ74" s="86"/>
      <c r="GA74" s="91" t="str">
        <f t="shared" si="486"/>
        <v/>
      </c>
      <c r="GB74" s="91" t="str">
        <f t="shared" si="590"/>
        <v/>
      </c>
      <c r="GC74" s="86"/>
      <c r="GD74" s="91" t="str">
        <f t="shared" si="487"/>
        <v/>
      </c>
      <c r="GE74" s="91" t="str">
        <f t="shared" si="591"/>
        <v/>
      </c>
      <c r="GF74" s="86"/>
      <c r="GG74" s="91" t="str">
        <f t="shared" si="488"/>
        <v/>
      </c>
      <c r="GH74" s="91" t="str">
        <f t="shared" si="592"/>
        <v/>
      </c>
      <c r="GI74" s="86"/>
      <c r="GJ74" s="91" t="str">
        <f t="shared" si="489"/>
        <v/>
      </c>
      <c r="GK74" s="91" t="str">
        <f t="shared" si="593"/>
        <v/>
      </c>
      <c r="GL74" s="86"/>
      <c r="GM74" s="91" t="str">
        <f t="shared" si="490"/>
        <v/>
      </c>
      <c r="GN74" s="91" t="str">
        <f t="shared" si="594"/>
        <v/>
      </c>
      <c r="GO74" s="86"/>
      <c r="GP74" s="91" t="str">
        <f t="shared" si="491"/>
        <v/>
      </c>
      <c r="GQ74" s="91" t="str">
        <f t="shared" si="595"/>
        <v/>
      </c>
      <c r="GR74" s="86"/>
      <c r="GS74" s="91" t="str">
        <f t="shared" si="492"/>
        <v/>
      </c>
      <c r="GT74" s="91" t="str">
        <f t="shared" si="596"/>
        <v/>
      </c>
      <c r="GU74" s="86"/>
      <c r="GV74" s="91" t="str">
        <f t="shared" si="493"/>
        <v/>
      </c>
      <c r="GW74" s="91" t="str">
        <f t="shared" si="597"/>
        <v/>
      </c>
      <c r="GX74" s="86"/>
      <c r="GY74" s="91" t="str">
        <f t="shared" si="494"/>
        <v/>
      </c>
      <c r="GZ74" s="91" t="str">
        <f t="shared" si="598"/>
        <v/>
      </c>
      <c r="HA74" s="86"/>
      <c r="HB74" s="91" t="str">
        <f t="shared" si="495"/>
        <v/>
      </c>
      <c r="HC74" s="91" t="str">
        <f t="shared" si="599"/>
        <v/>
      </c>
      <c r="HD74" s="86"/>
      <c r="HE74" s="91" t="str">
        <f t="shared" si="496"/>
        <v/>
      </c>
      <c r="HF74" s="91" t="str">
        <f t="shared" si="600"/>
        <v/>
      </c>
      <c r="HG74" s="86"/>
      <c r="HH74" s="91" t="str">
        <f t="shared" si="497"/>
        <v/>
      </c>
      <c r="HI74" s="91" t="str">
        <f t="shared" si="601"/>
        <v/>
      </c>
      <c r="HJ74" s="86"/>
      <c r="HK74" s="91" t="str">
        <f t="shared" si="498"/>
        <v/>
      </c>
      <c r="HL74" s="91" t="str">
        <f t="shared" si="602"/>
        <v/>
      </c>
      <c r="HM74" s="86"/>
      <c r="HN74" s="91" t="str">
        <f t="shared" si="499"/>
        <v/>
      </c>
      <c r="HO74" s="91" t="str">
        <f t="shared" si="603"/>
        <v/>
      </c>
      <c r="HP74" s="86"/>
      <c r="HQ74" s="91" t="str">
        <f t="shared" si="500"/>
        <v/>
      </c>
      <c r="HR74" s="91" t="str">
        <f t="shared" si="604"/>
        <v/>
      </c>
      <c r="HS74" s="86"/>
      <c r="HT74" s="91" t="str">
        <f t="shared" si="501"/>
        <v/>
      </c>
      <c r="HU74" s="91" t="str">
        <f t="shared" si="605"/>
        <v/>
      </c>
      <c r="HV74" s="86"/>
      <c r="HW74" s="91" t="str">
        <f t="shared" si="502"/>
        <v/>
      </c>
      <c r="HX74" s="91" t="str">
        <f t="shared" si="606"/>
        <v/>
      </c>
      <c r="HY74" s="86"/>
      <c r="HZ74" s="91" t="str">
        <f t="shared" si="503"/>
        <v/>
      </c>
      <c r="IA74" s="91" t="str">
        <f t="shared" si="607"/>
        <v/>
      </c>
      <c r="IB74" s="86"/>
      <c r="IC74" s="91" t="str">
        <f t="shared" si="504"/>
        <v/>
      </c>
      <c r="ID74" s="91" t="str">
        <f t="shared" si="608"/>
        <v/>
      </c>
      <c r="IE74" s="86"/>
      <c r="IF74" s="91" t="str">
        <f t="shared" si="505"/>
        <v/>
      </c>
      <c r="IG74" s="91" t="str">
        <f t="shared" si="609"/>
        <v/>
      </c>
      <c r="IH74" s="86"/>
      <c r="II74" s="91" t="str">
        <f t="shared" si="506"/>
        <v/>
      </c>
      <c r="IJ74" s="91" t="str">
        <f t="shared" si="610"/>
        <v/>
      </c>
      <c r="IK74" s="86"/>
      <c r="IL74" s="91" t="str">
        <f t="shared" si="507"/>
        <v/>
      </c>
      <c r="IM74" s="91" t="str">
        <f t="shared" si="611"/>
        <v/>
      </c>
      <c r="IN74" s="86"/>
      <c r="IO74" s="91" t="str">
        <f t="shared" si="508"/>
        <v/>
      </c>
      <c r="IP74" s="91" t="str">
        <f t="shared" si="612"/>
        <v/>
      </c>
      <c r="IQ74" s="86"/>
      <c r="IR74" s="91" t="str">
        <f t="shared" si="509"/>
        <v/>
      </c>
      <c r="IS74" s="91" t="str">
        <f t="shared" si="613"/>
        <v/>
      </c>
      <c r="IT74" s="86"/>
      <c r="IU74" s="91" t="str">
        <f t="shared" si="510"/>
        <v/>
      </c>
      <c r="IV74" s="91" t="str">
        <f t="shared" si="614"/>
        <v/>
      </c>
      <c r="IW74" s="86"/>
      <c r="IX74" s="91" t="str">
        <f t="shared" si="511"/>
        <v/>
      </c>
      <c r="IY74" s="91" t="str">
        <f t="shared" si="615"/>
        <v/>
      </c>
      <c r="IZ74" s="86"/>
      <c r="JA74" s="91" t="str">
        <f t="shared" si="512"/>
        <v/>
      </c>
      <c r="JB74" s="91" t="str">
        <f t="shared" si="616"/>
        <v/>
      </c>
      <c r="JC74" s="86"/>
      <c r="JD74" s="91" t="str">
        <f t="shared" si="513"/>
        <v/>
      </c>
      <c r="JE74" s="91" t="str">
        <f t="shared" si="617"/>
        <v/>
      </c>
      <c r="JF74" s="86"/>
      <c r="JG74" s="91" t="str">
        <f t="shared" si="514"/>
        <v/>
      </c>
      <c r="JH74" s="91" t="str">
        <f t="shared" si="618"/>
        <v/>
      </c>
      <c r="JI74" s="86"/>
      <c r="JJ74" s="91" t="str">
        <f t="shared" si="515"/>
        <v/>
      </c>
      <c r="JK74" s="91" t="str">
        <f t="shared" si="619"/>
        <v/>
      </c>
      <c r="JL74" s="86"/>
      <c r="JM74" s="91" t="str">
        <f t="shared" si="516"/>
        <v/>
      </c>
      <c r="JN74" s="91" t="str">
        <f t="shared" si="620"/>
        <v/>
      </c>
      <c r="JO74" s="86"/>
      <c r="JP74" s="91" t="str">
        <f t="shared" si="517"/>
        <v/>
      </c>
      <c r="JQ74" s="91" t="str">
        <f t="shared" si="621"/>
        <v/>
      </c>
      <c r="JR74" s="86"/>
      <c r="JS74" s="91" t="str">
        <f t="shared" si="518"/>
        <v/>
      </c>
      <c r="JT74" s="91" t="str">
        <f t="shared" si="622"/>
        <v/>
      </c>
      <c r="JU74" s="86"/>
      <c r="JV74" s="91" t="str">
        <f t="shared" si="519"/>
        <v/>
      </c>
      <c r="JW74" s="91" t="str">
        <f t="shared" si="623"/>
        <v/>
      </c>
      <c r="JX74" s="86"/>
      <c r="JY74" s="91" t="str">
        <f t="shared" si="520"/>
        <v/>
      </c>
      <c r="JZ74" s="91" t="str">
        <f t="shared" si="624"/>
        <v/>
      </c>
      <c r="KA74" s="86"/>
      <c r="KB74" s="91" t="str">
        <f t="shared" si="521"/>
        <v/>
      </c>
      <c r="KC74" s="91" t="str">
        <f t="shared" si="625"/>
        <v/>
      </c>
      <c r="KD74" s="86"/>
      <c r="KE74" s="91" t="str">
        <f t="shared" si="522"/>
        <v/>
      </c>
      <c r="KF74" s="91" t="str">
        <f t="shared" si="626"/>
        <v/>
      </c>
      <c r="KG74" s="86"/>
      <c r="KH74" s="91" t="str">
        <f t="shared" si="523"/>
        <v/>
      </c>
      <c r="KI74" s="91" t="str">
        <f t="shared" si="627"/>
        <v/>
      </c>
      <c r="KJ74" s="86"/>
      <c r="KK74" s="91" t="str">
        <f t="shared" si="524"/>
        <v/>
      </c>
      <c r="KL74" s="91" t="str">
        <f t="shared" si="628"/>
        <v/>
      </c>
      <c r="KM74" s="86"/>
      <c r="KN74" s="91" t="str">
        <f t="shared" si="525"/>
        <v/>
      </c>
      <c r="KO74" s="91" t="str">
        <f t="shared" si="629"/>
        <v/>
      </c>
      <c r="KP74" s="86"/>
      <c r="KQ74" s="91" t="str">
        <f t="shared" si="526"/>
        <v/>
      </c>
      <c r="KR74" s="91" t="str">
        <f t="shared" si="630"/>
        <v/>
      </c>
      <c r="KS74" s="86"/>
      <c r="KT74" s="91" t="str">
        <f t="shared" si="527"/>
        <v/>
      </c>
      <c r="KU74" s="91" t="str">
        <f t="shared" si="631"/>
        <v/>
      </c>
      <c r="KV74" s="86"/>
      <c r="KW74" s="91" t="str">
        <f t="shared" si="528"/>
        <v/>
      </c>
      <c r="KX74" s="91" t="str">
        <f t="shared" si="632"/>
        <v/>
      </c>
      <c r="KY74" s="92"/>
      <c r="KZ74" s="91" t="str">
        <f t="shared" si="529"/>
        <v/>
      </c>
      <c r="LA74" s="91" t="str">
        <f t="shared" si="633"/>
        <v/>
      </c>
      <c r="LB74" s="106" t="str">
        <f t="shared" si="430"/>
        <v/>
      </c>
      <c r="LC74" s="108" t="str">
        <f t="shared" si="634"/>
        <v/>
      </c>
      <c r="LD74" s="106" t="str">
        <f t="shared" si="635"/>
        <v/>
      </c>
      <c r="LE74" s="108" t="str">
        <f t="shared" si="636"/>
        <v/>
      </c>
      <c r="LF74" s="106" t="str">
        <f t="shared" si="637"/>
        <v/>
      </c>
      <c r="LG74" s="108" t="str">
        <f t="shared" si="638"/>
        <v/>
      </c>
      <c r="LH74" s="109" t="str">
        <f t="shared" si="530"/>
        <v/>
      </c>
      <c r="LI74" s="109" t="str">
        <f t="shared" si="531"/>
        <v/>
      </c>
      <c r="LJ74" s="109" t="str">
        <f t="shared" si="532"/>
        <v/>
      </c>
      <c r="LK74" s="109" t="str">
        <f t="shared" si="639"/>
        <v/>
      </c>
      <c r="LL74" s="111" t="str">
        <f t="shared" si="640"/>
        <v/>
      </c>
      <c r="LM74" s="64"/>
      <c r="LN74" s="112" t="str">
        <f t="shared" si="644"/>
        <v/>
      </c>
      <c r="LO74" s="113" t="str">
        <f t="shared" si="641"/>
        <v/>
      </c>
      <c r="LP74" s="64"/>
      <c r="LQ74" s="64"/>
      <c r="LR74" s="64"/>
    </row>
    <row r="75" spans="1:334" s="62" customFormat="1" ht="15" customHeight="1">
      <c r="A75" s="106">
        <f t="shared" si="642"/>
        <v>0</v>
      </c>
      <c r="B75" s="106">
        <f t="shared" si="643"/>
        <v>0</v>
      </c>
      <c r="C75" s="51"/>
      <c r="D75" s="52"/>
      <c r="E75" s="53"/>
      <c r="F75" s="53"/>
      <c r="G75" s="53"/>
      <c r="H75" s="53"/>
      <c r="I75" s="53"/>
      <c r="J75" s="53"/>
      <c r="K75" s="53"/>
      <c r="L75" s="53"/>
      <c r="M75" s="107" t="s">
        <v>35</v>
      </c>
      <c r="N75" s="86"/>
      <c r="O75" s="91" t="str">
        <f t="shared" si="431"/>
        <v/>
      </c>
      <c r="P75" s="91" t="str">
        <f t="shared" si="534"/>
        <v/>
      </c>
      <c r="Q75" s="86"/>
      <c r="R75" s="91" t="str">
        <f t="shared" si="432"/>
        <v/>
      </c>
      <c r="S75" s="91" t="str">
        <f t="shared" si="535"/>
        <v/>
      </c>
      <c r="T75" s="86"/>
      <c r="U75" s="91" t="str">
        <f t="shared" si="433"/>
        <v/>
      </c>
      <c r="V75" s="91" t="str">
        <f t="shared" si="536"/>
        <v/>
      </c>
      <c r="W75" s="86"/>
      <c r="X75" s="91" t="str">
        <f t="shared" si="434"/>
        <v/>
      </c>
      <c r="Y75" s="91" t="str">
        <f t="shared" si="537"/>
        <v/>
      </c>
      <c r="Z75" s="86"/>
      <c r="AA75" s="91" t="str">
        <f t="shared" si="435"/>
        <v/>
      </c>
      <c r="AB75" s="91" t="str">
        <f t="shared" si="538"/>
        <v/>
      </c>
      <c r="AC75" s="86"/>
      <c r="AD75" s="91" t="str">
        <f t="shared" si="436"/>
        <v/>
      </c>
      <c r="AE75" s="91" t="str">
        <f t="shared" si="539"/>
        <v/>
      </c>
      <c r="AF75" s="86"/>
      <c r="AG75" s="91" t="str">
        <f t="shared" si="437"/>
        <v/>
      </c>
      <c r="AH75" s="91" t="str">
        <f t="shared" si="540"/>
        <v/>
      </c>
      <c r="AI75" s="86"/>
      <c r="AJ75" s="91" t="str">
        <f t="shared" si="438"/>
        <v/>
      </c>
      <c r="AK75" s="91" t="str">
        <f t="shared" si="541"/>
        <v/>
      </c>
      <c r="AL75" s="86"/>
      <c r="AM75" s="91" t="str">
        <f t="shared" si="439"/>
        <v/>
      </c>
      <c r="AN75" s="91" t="str">
        <f t="shared" si="542"/>
        <v/>
      </c>
      <c r="AO75" s="86"/>
      <c r="AP75" s="91" t="str">
        <f t="shared" si="440"/>
        <v/>
      </c>
      <c r="AQ75" s="91" t="str">
        <f t="shared" si="543"/>
        <v/>
      </c>
      <c r="AR75" s="86"/>
      <c r="AS75" s="91" t="str">
        <f t="shared" si="441"/>
        <v/>
      </c>
      <c r="AT75" s="91" t="str">
        <f t="shared" si="544"/>
        <v/>
      </c>
      <c r="AU75" s="86"/>
      <c r="AV75" s="91" t="str">
        <f t="shared" si="442"/>
        <v/>
      </c>
      <c r="AW75" s="91" t="str">
        <f t="shared" si="545"/>
        <v/>
      </c>
      <c r="AX75" s="86"/>
      <c r="AY75" s="91" t="str">
        <f t="shared" si="443"/>
        <v/>
      </c>
      <c r="AZ75" s="91" t="str">
        <f t="shared" si="546"/>
        <v/>
      </c>
      <c r="BA75" s="86"/>
      <c r="BB75" s="91" t="str">
        <f t="shared" si="444"/>
        <v/>
      </c>
      <c r="BC75" s="91" t="str">
        <f t="shared" si="547"/>
        <v/>
      </c>
      <c r="BD75" s="86"/>
      <c r="BE75" s="91" t="str">
        <f t="shared" si="445"/>
        <v/>
      </c>
      <c r="BF75" s="91" t="str">
        <f t="shared" si="548"/>
        <v/>
      </c>
      <c r="BG75" s="86"/>
      <c r="BH75" s="91" t="str">
        <f t="shared" si="446"/>
        <v/>
      </c>
      <c r="BI75" s="91" t="str">
        <f t="shared" si="549"/>
        <v/>
      </c>
      <c r="BJ75" s="86"/>
      <c r="BK75" s="91" t="str">
        <f t="shared" si="447"/>
        <v/>
      </c>
      <c r="BL75" s="91" t="str">
        <f t="shared" si="550"/>
        <v/>
      </c>
      <c r="BM75" s="86"/>
      <c r="BN75" s="91" t="str">
        <f t="shared" si="448"/>
        <v/>
      </c>
      <c r="BO75" s="91" t="str">
        <f t="shared" si="551"/>
        <v/>
      </c>
      <c r="BP75" s="51"/>
      <c r="BQ75" s="91" t="str">
        <f t="shared" si="449"/>
        <v/>
      </c>
      <c r="BR75" s="91" t="str">
        <f t="shared" si="552"/>
        <v/>
      </c>
      <c r="BS75" s="86"/>
      <c r="BT75" s="91" t="str">
        <f t="shared" si="450"/>
        <v/>
      </c>
      <c r="BU75" s="91" t="str">
        <f t="shared" si="553"/>
        <v/>
      </c>
      <c r="BV75" s="86"/>
      <c r="BW75" s="91" t="str">
        <f t="shared" si="451"/>
        <v/>
      </c>
      <c r="BX75" s="91" t="str">
        <f t="shared" si="554"/>
        <v/>
      </c>
      <c r="BY75" s="86"/>
      <c r="BZ75" s="91" t="str">
        <f t="shared" si="452"/>
        <v/>
      </c>
      <c r="CA75" s="91" t="str">
        <f t="shared" si="555"/>
        <v/>
      </c>
      <c r="CB75" s="86"/>
      <c r="CC75" s="91" t="str">
        <f t="shared" si="453"/>
        <v/>
      </c>
      <c r="CD75" s="91" t="str">
        <f t="shared" si="556"/>
        <v/>
      </c>
      <c r="CE75" s="86"/>
      <c r="CF75" s="91" t="str">
        <f t="shared" si="454"/>
        <v/>
      </c>
      <c r="CG75" s="91" t="str">
        <f t="shared" si="557"/>
        <v/>
      </c>
      <c r="CH75" s="86"/>
      <c r="CI75" s="91" t="str">
        <f t="shared" si="455"/>
        <v/>
      </c>
      <c r="CJ75" s="91" t="str">
        <f t="shared" si="558"/>
        <v/>
      </c>
      <c r="CK75" s="86"/>
      <c r="CL75" s="91" t="str">
        <f t="shared" si="456"/>
        <v/>
      </c>
      <c r="CM75" s="91" t="str">
        <f t="shared" si="559"/>
        <v/>
      </c>
      <c r="CN75" s="86"/>
      <c r="CO75" s="91" t="str">
        <f t="shared" si="457"/>
        <v/>
      </c>
      <c r="CP75" s="91" t="str">
        <f t="shared" si="560"/>
        <v/>
      </c>
      <c r="CQ75" s="86"/>
      <c r="CR75" s="91" t="str">
        <f t="shared" si="458"/>
        <v/>
      </c>
      <c r="CS75" s="91" t="str">
        <f t="shared" si="561"/>
        <v/>
      </c>
      <c r="CT75" s="86"/>
      <c r="CU75" s="91" t="str">
        <f t="shared" si="459"/>
        <v/>
      </c>
      <c r="CV75" s="91" t="str">
        <f t="shared" si="562"/>
        <v/>
      </c>
      <c r="CW75" s="86"/>
      <c r="CX75" s="91" t="str">
        <f t="shared" si="460"/>
        <v/>
      </c>
      <c r="CY75" s="91" t="str">
        <f t="shared" si="563"/>
        <v/>
      </c>
      <c r="CZ75" s="86"/>
      <c r="DA75" s="91" t="str">
        <f t="shared" si="461"/>
        <v/>
      </c>
      <c r="DB75" s="91" t="str">
        <f t="shared" si="564"/>
        <v/>
      </c>
      <c r="DC75" s="86"/>
      <c r="DD75" s="91" t="str">
        <f t="shared" si="462"/>
        <v/>
      </c>
      <c r="DE75" s="91" t="str">
        <f t="shared" si="565"/>
        <v/>
      </c>
      <c r="DF75" s="86"/>
      <c r="DG75" s="91"/>
      <c r="DH75" s="91" t="str">
        <f t="shared" si="566"/>
        <v/>
      </c>
      <c r="DI75" s="86"/>
      <c r="DJ75" s="91" t="str">
        <f t="shared" si="463"/>
        <v/>
      </c>
      <c r="DK75" s="91" t="str">
        <f t="shared" si="567"/>
        <v/>
      </c>
      <c r="DL75" s="86"/>
      <c r="DM75" s="91" t="str">
        <f t="shared" si="464"/>
        <v/>
      </c>
      <c r="DN75" s="91" t="str">
        <f t="shared" si="568"/>
        <v/>
      </c>
      <c r="DO75" s="86"/>
      <c r="DP75" s="91" t="str">
        <f t="shared" si="465"/>
        <v/>
      </c>
      <c r="DQ75" s="91" t="str">
        <f t="shared" si="569"/>
        <v/>
      </c>
      <c r="DR75" s="86"/>
      <c r="DS75" s="91" t="str">
        <f t="shared" si="466"/>
        <v/>
      </c>
      <c r="DT75" s="91" t="str">
        <f t="shared" si="570"/>
        <v/>
      </c>
      <c r="DU75" s="86"/>
      <c r="DV75" s="91" t="str">
        <f t="shared" si="467"/>
        <v/>
      </c>
      <c r="DW75" s="91" t="str">
        <f t="shared" si="571"/>
        <v/>
      </c>
      <c r="DX75" s="86"/>
      <c r="DY75" s="91" t="str">
        <f t="shared" si="468"/>
        <v/>
      </c>
      <c r="DZ75" s="91" t="str">
        <f t="shared" si="572"/>
        <v/>
      </c>
      <c r="EA75" s="86"/>
      <c r="EB75" s="91" t="str">
        <f t="shared" si="469"/>
        <v/>
      </c>
      <c r="EC75" s="91" t="str">
        <f t="shared" si="573"/>
        <v/>
      </c>
      <c r="ED75" s="86"/>
      <c r="EE75" s="91" t="str">
        <f t="shared" si="470"/>
        <v/>
      </c>
      <c r="EF75" s="91" t="str">
        <f t="shared" si="574"/>
        <v/>
      </c>
      <c r="EG75" s="86"/>
      <c r="EH75" s="91" t="str">
        <f t="shared" si="471"/>
        <v/>
      </c>
      <c r="EI75" s="91" t="str">
        <f t="shared" si="575"/>
        <v/>
      </c>
      <c r="EJ75" s="86"/>
      <c r="EK75" s="91" t="str">
        <f t="shared" si="472"/>
        <v/>
      </c>
      <c r="EL75" s="91" t="str">
        <f t="shared" si="576"/>
        <v/>
      </c>
      <c r="EM75" s="86"/>
      <c r="EN75" s="91" t="str">
        <f t="shared" si="473"/>
        <v/>
      </c>
      <c r="EO75" s="91" t="str">
        <f t="shared" si="577"/>
        <v/>
      </c>
      <c r="EP75" s="86"/>
      <c r="EQ75" s="91" t="str">
        <f t="shared" si="474"/>
        <v/>
      </c>
      <c r="ER75" s="91" t="str">
        <f t="shared" si="578"/>
        <v/>
      </c>
      <c r="ES75" s="51"/>
      <c r="ET75" s="91" t="str">
        <f t="shared" si="475"/>
        <v/>
      </c>
      <c r="EU75" s="91" t="str">
        <f t="shared" si="579"/>
        <v/>
      </c>
      <c r="EV75" s="86"/>
      <c r="EW75" s="91" t="str">
        <f t="shared" si="476"/>
        <v/>
      </c>
      <c r="EX75" s="91" t="str">
        <f t="shared" si="580"/>
        <v/>
      </c>
      <c r="EY75" s="86"/>
      <c r="EZ75" s="91" t="str">
        <f t="shared" si="477"/>
        <v/>
      </c>
      <c r="FA75" s="91" t="str">
        <f t="shared" si="581"/>
        <v/>
      </c>
      <c r="FB75" s="86"/>
      <c r="FC75" s="91" t="str">
        <f t="shared" si="478"/>
        <v/>
      </c>
      <c r="FD75" s="91" t="str">
        <f t="shared" si="582"/>
        <v/>
      </c>
      <c r="FE75" s="86"/>
      <c r="FF75" s="91" t="str">
        <f t="shared" si="479"/>
        <v/>
      </c>
      <c r="FG75" s="91" t="str">
        <f t="shared" si="583"/>
        <v/>
      </c>
      <c r="FH75" s="86"/>
      <c r="FI75" s="91" t="str">
        <f t="shared" si="480"/>
        <v/>
      </c>
      <c r="FJ75" s="91" t="str">
        <f t="shared" si="584"/>
        <v/>
      </c>
      <c r="FK75" s="86"/>
      <c r="FL75" s="91" t="str">
        <f t="shared" si="481"/>
        <v/>
      </c>
      <c r="FM75" s="91" t="str">
        <f t="shared" si="585"/>
        <v/>
      </c>
      <c r="FN75" s="86"/>
      <c r="FO75" s="91" t="str">
        <f t="shared" si="482"/>
        <v/>
      </c>
      <c r="FP75" s="91" t="str">
        <f t="shared" si="586"/>
        <v/>
      </c>
      <c r="FQ75" s="86"/>
      <c r="FR75" s="91" t="str">
        <f t="shared" si="483"/>
        <v/>
      </c>
      <c r="FS75" s="91" t="str">
        <f t="shared" si="587"/>
        <v/>
      </c>
      <c r="FT75" s="86"/>
      <c r="FU75" s="91" t="str">
        <f t="shared" si="484"/>
        <v/>
      </c>
      <c r="FV75" s="91" t="str">
        <f t="shared" si="588"/>
        <v/>
      </c>
      <c r="FW75" s="92"/>
      <c r="FX75" s="91" t="str">
        <f t="shared" si="485"/>
        <v/>
      </c>
      <c r="FY75" s="91" t="str">
        <f t="shared" si="589"/>
        <v/>
      </c>
      <c r="FZ75" s="86"/>
      <c r="GA75" s="91" t="str">
        <f t="shared" si="486"/>
        <v/>
      </c>
      <c r="GB75" s="91" t="str">
        <f t="shared" si="590"/>
        <v/>
      </c>
      <c r="GC75" s="86"/>
      <c r="GD75" s="91" t="str">
        <f t="shared" si="487"/>
        <v/>
      </c>
      <c r="GE75" s="91" t="str">
        <f t="shared" si="591"/>
        <v/>
      </c>
      <c r="GF75" s="86"/>
      <c r="GG75" s="91" t="str">
        <f t="shared" si="488"/>
        <v/>
      </c>
      <c r="GH75" s="91" t="str">
        <f t="shared" si="592"/>
        <v/>
      </c>
      <c r="GI75" s="86"/>
      <c r="GJ75" s="91" t="str">
        <f t="shared" si="489"/>
        <v/>
      </c>
      <c r="GK75" s="91" t="str">
        <f t="shared" si="593"/>
        <v/>
      </c>
      <c r="GL75" s="86"/>
      <c r="GM75" s="91" t="str">
        <f t="shared" si="490"/>
        <v/>
      </c>
      <c r="GN75" s="91" t="str">
        <f t="shared" si="594"/>
        <v/>
      </c>
      <c r="GO75" s="86"/>
      <c r="GP75" s="91" t="str">
        <f t="shared" si="491"/>
        <v/>
      </c>
      <c r="GQ75" s="91" t="str">
        <f t="shared" si="595"/>
        <v/>
      </c>
      <c r="GR75" s="86"/>
      <c r="GS75" s="91" t="str">
        <f t="shared" si="492"/>
        <v/>
      </c>
      <c r="GT75" s="91" t="str">
        <f t="shared" si="596"/>
        <v/>
      </c>
      <c r="GU75" s="86"/>
      <c r="GV75" s="91" t="str">
        <f t="shared" si="493"/>
        <v/>
      </c>
      <c r="GW75" s="91" t="str">
        <f t="shared" si="597"/>
        <v/>
      </c>
      <c r="GX75" s="86"/>
      <c r="GY75" s="91" t="str">
        <f t="shared" si="494"/>
        <v/>
      </c>
      <c r="GZ75" s="91" t="str">
        <f t="shared" si="598"/>
        <v/>
      </c>
      <c r="HA75" s="86"/>
      <c r="HB75" s="91" t="str">
        <f t="shared" si="495"/>
        <v/>
      </c>
      <c r="HC75" s="91" t="str">
        <f t="shared" si="599"/>
        <v/>
      </c>
      <c r="HD75" s="86"/>
      <c r="HE75" s="91" t="str">
        <f t="shared" si="496"/>
        <v/>
      </c>
      <c r="HF75" s="91" t="str">
        <f t="shared" si="600"/>
        <v/>
      </c>
      <c r="HG75" s="86"/>
      <c r="HH75" s="91" t="str">
        <f t="shared" si="497"/>
        <v/>
      </c>
      <c r="HI75" s="91" t="str">
        <f t="shared" si="601"/>
        <v/>
      </c>
      <c r="HJ75" s="86"/>
      <c r="HK75" s="91" t="str">
        <f t="shared" si="498"/>
        <v/>
      </c>
      <c r="HL75" s="91" t="str">
        <f t="shared" si="602"/>
        <v/>
      </c>
      <c r="HM75" s="86"/>
      <c r="HN75" s="91" t="str">
        <f t="shared" si="499"/>
        <v/>
      </c>
      <c r="HO75" s="91" t="str">
        <f t="shared" si="603"/>
        <v/>
      </c>
      <c r="HP75" s="86"/>
      <c r="HQ75" s="91" t="str">
        <f t="shared" si="500"/>
        <v/>
      </c>
      <c r="HR75" s="91" t="str">
        <f t="shared" si="604"/>
        <v/>
      </c>
      <c r="HS75" s="86"/>
      <c r="HT75" s="91" t="str">
        <f t="shared" si="501"/>
        <v/>
      </c>
      <c r="HU75" s="91" t="str">
        <f t="shared" si="605"/>
        <v/>
      </c>
      <c r="HV75" s="86"/>
      <c r="HW75" s="91" t="str">
        <f t="shared" si="502"/>
        <v/>
      </c>
      <c r="HX75" s="91" t="str">
        <f t="shared" si="606"/>
        <v/>
      </c>
      <c r="HY75" s="86"/>
      <c r="HZ75" s="91" t="str">
        <f t="shared" si="503"/>
        <v/>
      </c>
      <c r="IA75" s="91" t="str">
        <f t="shared" si="607"/>
        <v/>
      </c>
      <c r="IB75" s="86"/>
      <c r="IC75" s="91" t="str">
        <f t="shared" si="504"/>
        <v/>
      </c>
      <c r="ID75" s="91" t="str">
        <f t="shared" si="608"/>
        <v/>
      </c>
      <c r="IE75" s="86"/>
      <c r="IF75" s="91" t="str">
        <f t="shared" si="505"/>
        <v/>
      </c>
      <c r="IG75" s="91" t="str">
        <f t="shared" si="609"/>
        <v/>
      </c>
      <c r="IH75" s="86"/>
      <c r="II75" s="91" t="str">
        <f t="shared" si="506"/>
        <v/>
      </c>
      <c r="IJ75" s="91" t="str">
        <f t="shared" si="610"/>
        <v/>
      </c>
      <c r="IK75" s="86"/>
      <c r="IL75" s="91" t="str">
        <f t="shared" si="507"/>
        <v/>
      </c>
      <c r="IM75" s="91" t="str">
        <f t="shared" si="611"/>
        <v/>
      </c>
      <c r="IN75" s="86"/>
      <c r="IO75" s="91" t="str">
        <f t="shared" si="508"/>
        <v/>
      </c>
      <c r="IP75" s="91" t="str">
        <f t="shared" si="612"/>
        <v/>
      </c>
      <c r="IQ75" s="86"/>
      <c r="IR75" s="91" t="str">
        <f t="shared" si="509"/>
        <v/>
      </c>
      <c r="IS75" s="91" t="str">
        <f t="shared" si="613"/>
        <v/>
      </c>
      <c r="IT75" s="86"/>
      <c r="IU75" s="91" t="str">
        <f t="shared" si="510"/>
        <v/>
      </c>
      <c r="IV75" s="91" t="str">
        <f t="shared" si="614"/>
        <v/>
      </c>
      <c r="IW75" s="86"/>
      <c r="IX75" s="91" t="str">
        <f t="shared" si="511"/>
        <v/>
      </c>
      <c r="IY75" s="91" t="str">
        <f t="shared" si="615"/>
        <v/>
      </c>
      <c r="IZ75" s="86"/>
      <c r="JA75" s="91" t="str">
        <f t="shared" si="512"/>
        <v/>
      </c>
      <c r="JB75" s="91" t="str">
        <f t="shared" si="616"/>
        <v/>
      </c>
      <c r="JC75" s="86"/>
      <c r="JD75" s="91" t="str">
        <f t="shared" si="513"/>
        <v/>
      </c>
      <c r="JE75" s="91" t="str">
        <f t="shared" si="617"/>
        <v/>
      </c>
      <c r="JF75" s="86"/>
      <c r="JG75" s="91" t="str">
        <f t="shared" si="514"/>
        <v/>
      </c>
      <c r="JH75" s="91" t="str">
        <f t="shared" si="618"/>
        <v/>
      </c>
      <c r="JI75" s="86"/>
      <c r="JJ75" s="91" t="str">
        <f t="shared" si="515"/>
        <v/>
      </c>
      <c r="JK75" s="91" t="str">
        <f t="shared" si="619"/>
        <v/>
      </c>
      <c r="JL75" s="86"/>
      <c r="JM75" s="91" t="str">
        <f t="shared" si="516"/>
        <v/>
      </c>
      <c r="JN75" s="91" t="str">
        <f t="shared" si="620"/>
        <v/>
      </c>
      <c r="JO75" s="86"/>
      <c r="JP75" s="91" t="str">
        <f t="shared" si="517"/>
        <v/>
      </c>
      <c r="JQ75" s="91" t="str">
        <f t="shared" si="621"/>
        <v/>
      </c>
      <c r="JR75" s="86"/>
      <c r="JS75" s="91" t="str">
        <f t="shared" si="518"/>
        <v/>
      </c>
      <c r="JT75" s="91" t="str">
        <f t="shared" si="622"/>
        <v/>
      </c>
      <c r="JU75" s="86"/>
      <c r="JV75" s="91" t="str">
        <f t="shared" si="519"/>
        <v/>
      </c>
      <c r="JW75" s="91" t="str">
        <f t="shared" si="623"/>
        <v/>
      </c>
      <c r="JX75" s="86"/>
      <c r="JY75" s="91" t="str">
        <f t="shared" si="520"/>
        <v/>
      </c>
      <c r="JZ75" s="91" t="str">
        <f t="shared" si="624"/>
        <v/>
      </c>
      <c r="KA75" s="86"/>
      <c r="KB75" s="91" t="str">
        <f t="shared" si="521"/>
        <v/>
      </c>
      <c r="KC75" s="91" t="str">
        <f t="shared" si="625"/>
        <v/>
      </c>
      <c r="KD75" s="86"/>
      <c r="KE75" s="91" t="str">
        <f t="shared" si="522"/>
        <v/>
      </c>
      <c r="KF75" s="91" t="str">
        <f t="shared" si="626"/>
        <v/>
      </c>
      <c r="KG75" s="86"/>
      <c r="KH75" s="91" t="str">
        <f t="shared" si="523"/>
        <v/>
      </c>
      <c r="KI75" s="91" t="str">
        <f t="shared" si="627"/>
        <v/>
      </c>
      <c r="KJ75" s="86"/>
      <c r="KK75" s="91" t="str">
        <f t="shared" si="524"/>
        <v/>
      </c>
      <c r="KL75" s="91" t="str">
        <f t="shared" si="628"/>
        <v/>
      </c>
      <c r="KM75" s="86"/>
      <c r="KN75" s="91" t="str">
        <f t="shared" si="525"/>
        <v/>
      </c>
      <c r="KO75" s="91" t="str">
        <f t="shared" si="629"/>
        <v/>
      </c>
      <c r="KP75" s="86"/>
      <c r="KQ75" s="91" t="str">
        <f t="shared" si="526"/>
        <v/>
      </c>
      <c r="KR75" s="91" t="str">
        <f t="shared" si="630"/>
        <v/>
      </c>
      <c r="KS75" s="86"/>
      <c r="KT75" s="91" t="str">
        <f t="shared" si="527"/>
        <v/>
      </c>
      <c r="KU75" s="91" t="str">
        <f t="shared" si="631"/>
        <v/>
      </c>
      <c r="KV75" s="86"/>
      <c r="KW75" s="91" t="str">
        <f t="shared" si="528"/>
        <v/>
      </c>
      <c r="KX75" s="91" t="str">
        <f t="shared" si="632"/>
        <v/>
      </c>
      <c r="KY75" s="92"/>
      <c r="KZ75" s="91" t="str">
        <f t="shared" si="529"/>
        <v/>
      </c>
      <c r="LA75" s="91" t="str">
        <f t="shared" si="633"/>
        <v/>
      </c>
      <c r="LB75" s="106" t="str">
        <f t="shared" si="430"/>
        <v/>
      </c>
      <c r="LC75" s="108" t="str">
        <f t="shared" si="634"/>
        <v/>
      </c>
      <c r="LD75" s="106" t="str">
        <f t="shared" si="635"/>
        <v/>
      </c>
      <c r="LE75" s="108" t="str">
        <f t="shared" si="636"/>
        <v/>
      </c>
      <c r="LF75" s="106" t="str">
        <f t="shared" si="637"/>
        <v/>
      </c>
      <c r="LG75" s="108" t="str">
        <f t="shared" si="638"/>
        <v/>
      </c>
      <c r="LH75" s="109" t="str">
        <f t="shared" si="530"/>
        <v/>
      </c>
      <c r="LI75" s="109" t="str">
        <f t="shared" si="531"/>
        <v/>
      </c>
      <c r="LJ75" s="109" t="str">
        <f t="shared" si="532"/>
        <v/>
      </c>
      <c r="LK75" s="109" t="str">
        <f t="shared" si="639"/>
        <v/>
      </c>
      <c r="LL75" s="111" t="str">
        <f t="shared" si="640"/>
        <v/>
      </c>
      <c r="LM75" s="64"/>
      <c r="LN75" s="112" t="str">
        <f t="shared" si="644"/>
        <v/>
      </c>
      <c r="LO75" s="113" t="str">
        <f t="shared" si="641"/>
        <v/>
      </c>
      <c r="LP75" s="64"/>
      <c r="LQ75" s="64"/>
      <c r="LR75" s="64"/>
    </row>
    <row r="76" spans="1:334" s="62" customFormat="1" ht="15" customHeight="1">
      <c r="A76" s="106">
        <f t="shared" si="642"/>
        <v>0</v>
      </c>
      <c r="B76" s="106">
        <f t="shared" si="643"/>
        <v>0</v>
      </c>
      <c r="C76" s="51"/>
      <c r="D76" s="52"/>
      <c r="E76" s="53"/>
      <c r="F76" s="53"/>
      <c r="G76" s="53"/>
      <c r="H76" s="53"/>
      <c r="I76" s="53"/>
      <c r="J76" s="53"/>
      <c r="K76" s="53"/>
      <c r="L76" s="53"/>
      <c r="M76" s="107" t="s">
        <v>35</v>
      </c>
      <c r="N76" s="86"/>
      <c r="O76" s="91" t="str">
        <f t="shared" si="431"/>
        <v/>
      </c>
      <c r="P76" s="91" t="str">
        <f t="shared" si="534"/>
        <v/>
      </c>
      <c r="Q76" s="86"/>
      <c r="R76" s="91" t="str">
        <f t="shared" si="432"/>
        <v/>
      </c>
      <c r="S76" s="91" t="str">
        <f t="shared" si="535"/>
        <v/>
      </c>
      <c r="T76" s="86"/>
      <c r="U76" s="91" t="str">
        <f t="shared" si="433"/>
        <v/>
      </c>
      <c r="V76" s="91" t="str">
        <f t="shared" si="536"/>
        <v/>
      </c>
      <c r="W76" s="86"/>
      <c r="X76" s="91" t="str">
        <f t="shared" si="434"/>
        <v/>
      </c>
      <c r="Y76" s="91" t="str">
        <f t="shared" si="537"/>
        <v/>
      </c>
      <c r="Z76" s="86"/>
      <c r="AA76" s="91" t="str">
        <f t="shared" si="435"/>
        <v/>
      </c>
      <c r="AB76" s="91" t="str">
        <f t="shared" si="538"/>
        <v/>
      </c>
      <c r="AC76" s="86"/>
      <c r="AD76" s="91" t="str">
        <f t="shared" si="436"/>
        <v/>
      </c>
      <c r="AE76" s="91" t="str">
        <f t="shared" si="539"/>
        <v/>
      </c>
      <c r="AF76" s="86"/>
      <c r="AG76" s="91" t="str">
        <f t="shared" si="437"/>
        <v/>
      </c>
      <c r="AH76" s="91" t="str">
        <f t="shared" si="540"/>
        <v/>
      </c>
      <c r="AI76" s="86"/>
      <c r="AJ76" s="91" t="str">
        <f t="shared" si="438"/>
        <v/>
      </c>
      <c r="AK76" s="91" t="str">
        <f t="shared" si="541"/>
        <v/>
      </c>
      <c r="AL76" s="86"/>
      <c r="AM76" s="91" t="str">
        <f t="shared" si="439"/>
        <v/>
      </c>
      <c r="AN76" s="91" t="str">
        <f t="shared" si="542"/>
        <v/>
      </c>
      <c r="AO76" s="86"/>
      <c r="AP76" s="91" t="str">
        <f t="shared" si="440"/>
        <v/>
      </c>
      <c r="AQ76" s="91" t="str">
        <f t="shared" si="543"/>
        <v/>
      </c>
      <c r="AR76" s="86"/>
      <c r="AS76" s="91" t="str">
        <f t="shared" si="441"/>
        <v/>
      </c>
      <c r="AT76" s="91" t="str">
        <f t="shared" si="544"/>
        <v/>
      </c>
      <c r="AU76" s="86"/>
      <c r="AV76" s="91" t="str">
        <f t="shared" si="442"/>
        <v/>
      </c>
      <c r="AW76" s="91" t="str">
        <f t="shared" si="545"/>
        <v/>
      </c>
      <c r="AX76" s="86"/>
      <c r="AY76" s="91" t="str">
        <f t="shared" si="443"/>
        <v/>
      </c>
      <c r="AZ76" s="91" t="str">
        <f t="shared" si="546"/>
        <v/>
      </c>
      <c r="BA76" s="86"/>
      <c r="BB76" s="91" t="str">
        <f t="shared" si="444"/>
        <v/>
      </c>
      <c r="BC76" s="91" t="str">
        <f t="shared" si="547"/>
        <v/>
      </c>
      <c r="BD76" s="86"/>
      <c r="BE76" s="91" t="str">
        <f t="shared" si="445"/>
        <v/>
      </c>
      <c r="BF76" s="91" t="str">
        <f t="shared" si="548"/>
        <v/>
      </c>
      <c r="BG76" s="86"/>
      <c r="BH76" s="91" t="str">
        <f t="shared" si="446"/>
        <v/>
      </c>
      <c r="BI76" s="91" t="str">
        <f t="shared" si="549"/>
        <v/>
      </c>
      <c r="BJ76" s="86"/>
      <c r="BK76" s="91" t="str">
        <f t="shared" si="447"/>
        <v/>
      </c>
      <c r="BL76" s="91" t="str">
        <f t="shared" si="550"/>
        <v/>
      </c>
      <c r="BM76" s="86"/>
      <c r="BN76" s="91" t="str">
        <f t="shared" si="448"/>
        <v/>
      </c>
      <c r="BO76" s="91" t="str">
        <f t="shared" si="551"/>
        <v/>
      </c>
      <c r="BP76" s="51"/>
      <c r="BQ76" s="91" t="str">
        <f t="shared" si="449"/>
        <v/>
      </c>
      <c r="BR76" s="91" t="str">
        <f t="shared" si="552"/>
        <v/>
      </c>
      <c r="BS76" s="86"/>
      <c r="BT76" s="91" t="str">
        <f t="shared" si="450"/>
        <v/>
      </c>
      <c r="BU76" s="91" t="str">
        <f t="shared" si="553"/>
        <v/>
      </c>
      <c r="BV76" s="86"/>
      <c r="BW76" s="91" t="str">
        <f t="shared" si="451"/>
        <v/>
      </c>
      <c r="BX76" s="91" t="str">
        <f t="shared" si="554"/>
        <v/>
      </c>
      <c r="BY76" s="86"/>
      <c r="BZ76" s="91" t="str">
        <f t="shared" si="452"/>
        <v/>
      </c>
      <c r="CA76" s="91" t="str">
        <f t="shared" si="555"/>
        <v/>
      </c>
      <c r="CB76" s="86"/>
      <c r="CC76" s="91" t="str">
        <f t="shared" si="453"/>
        <v/>
      </c>
      <c r="CD76" s="91" t="str">
        <f t="shared" si="556"/>
        <v/>
      </c>
      <c r="CE76" s="86"/>
      <c r="CF76" s="91" t="str">
        <f t="shared" si="454"/>
        <v/>
      </c>
      <c r="CG76" s="91" t="str">
        <f t="shared" si="557"/>
        <v/>
      </c>
      <c r="CH76" s="86"/>
      <c r="CI76" s="91" t="str">
        <f t="shared" si="455"/>
        <v/>
      </c>
      <c r="CJ76" s="91" t="str">
        <f t="shared" si="558"/>
        <v/>
      </c>
      <c r="CK76" s="86"/>
      <c r="CL76" s="91" t="str">
        <f t="shared" si="456"/>
        <v/>
      </c>
      <c r="CM76" s="91" t="str">
        <f t="shared" si="559"/>
        <v/>
      </c>
      <c r="CN76" s="86"/>
      <c r="CO76" s="91" t="str">
        <f t="shared" si="457"/>
        <v/>
      </c>
      <c r="CP76" s="91" t="str">
        <f t="shared" si="560"/>
        <v/>
      </c>
      <c r="CQ76" s="86"/>
      <c r="CR76" s="91" t="str">
        <f t="shared" si="458"/>
        <v/>
      </c>
      <c r="CS76" s="91" t="str">
        <f t="shared" si="561"/>
        <v/>
      </c>
      <c r="CT76" s="86"/>
      <c r="CU76" s="91" t="str">
        <f t="shared" si="459"/>
        <v/>
      </c>
      <c r="CV76" s="91" t="str">
        <f t="shared" si="562"/>
        <v/>
      </c>
      <c r="CW76" s="86"/>
      <c r="CX76" s="91" t="str">
        <f t="shared" si="460"/>
        <v/>
      </c>
      <c r="CY76" s="91" t="str">
        <f t="shared" si="563"/>
        <v/>
      </c>
      <c r="CZ76" s="86"/>
      <c r="DA76" s="91" t="str">
        <f t="shared" si="461"/>
        <v/>
      </c>
      <c r="DB76" s="91" t="str">
        <f t="shared" si="564"/>
        <v/>
      </c>
      <c r="DC76" s="86"/>
      <c r="DD76" s="91" t="str">
        <f t="shared" si="462"/>
        <v/>
      </c>
      <c r="DE76" s="91" t="str">
        <f t="shared" si="565"/>
        <v/>
      </c>
      <c r="DF76" s="86"/>
      <c r="DG76" s="91"/>
      <c r="DH76" s="91" t="str">
        <f t="shared" si="566"/>
        <v/>
      </c>
      <c r="DI76" s="86"/>
      <c r="DJ76" s="91" t="str">
        <f t="shared" si="463"/>
        <v/>
      </c>
      <c r="DK76" s="91" t="str">
        <f t="shared" si="567"/>
        <v/>
      </c>
      <c r="DL76" s="86"/>
      <c r="DM76" s="91" t="str">
        <f t="shared" si="464"/>
        <v/>
      </c>
      <c r="DN76" s="91" t="str">
        <f t="shared" si="568"/>
        <v/>
      </c>
      <c r="DO76" s="86"/>
      <c r="DP76" s="91" t="str">
        <f t="shared" si="465"/>
        <v/>
      </c>
      <c r="DQ76" s="91" t="str">
        <f t="shared" si="569"/>
        <v/>
      </c>
      <c r="DR76" s="86"/>
      <c r="DS76" s="91" t="str">
        <f t="shared" si="466"/>
        <v/>
      </c>
      <c r="DT76" s="91" t="str">
        <f t="shared" si="570"/>
        <v/>
      </c>
      <c r="DU76" s="86"/>
      <c r="DV76" s="91" t="str">
        <f t="shared" si="467"/>
        <v/>
      </c>
      <c r="DW76" s="91" t="str">
        <f t="shared" si="571"/>
        <v/>
      </c>
      <c r="DX76" s="86"/>
      <c r="DY76" s="91" t="str">
        <f t="shared" si="468"/>
        <v/>
      </c>
      <c r="DZ76" s="91" t="str">
        <f t="shared" si="572"/>
        <v/>
      </c>
      <c r="EA76" s="86"/>
      <c r="EB76" s="91" t="str">
        <f t="shared" si="469"/>
        <v/>
      </c>
      <c r="EC76" s="91" t="str">
        <f t="shared" si="573"/>
        <v/>
      </c>
      <c r="ED76" s="86"/>
      <c r="EE76" s="91" t="str">
        <f t="shared" si="470"/>
        <v/>
      </c>
      <c r="EF76" s="91" t="str">
        <f t="shared" si="574"/>
        <v/>
      </c>
      <c r="EG76" s="86"/>
      <c r="EH76" s="91" t="str">
        <f t="shared" si="471"/>
        <v/>
      </c>
      <c r="EI76" s="91" t="str">
        <f t="shared" si="575"/>
        <v/>
      </c>
      <c r="EJ76" s="86"/>
      <c r="EK76" s="91" t="str">
        <f t="shared" si="472"/>
        <v/>
      </c>
      <c r="EL76" s="91" t="str">
        <f t="shared" si="576"/>
        <v/>
      </c>
      <c r="EM76" s="86"/>
      <c r="EN76" s="91" t="str">
        <f t="shared" si="473"/>
        <v/>
      </c>
      <c r="EO76" s="91" t="str">
        <f t="shared" si="577"/>
        <v/>
      </c>
      <c r="EP76" s="86"/>
      <c r="EQ76" s="91" t="str">
        <f t="shared" si="474"/>
        <v/>
      </c>
      <c r="ER76" s="91" t="str">
        <f t="shared" si="578"/>
        <v/>
      </c>
      <c r="ES76" s="51"/>
      <c r="ET76" s="91" t="str">
        <f t="shared" si="475"/>
        <v/>
      </c>
      <c r="EU76" s="91" t="str">
        <f t="shared" si="579"/>
        <v/>
      </c>
      <c r="EV76" s="86"/>
      <c r="EW76" s="91" t="str">
        <f t="shared" si="476"/>
        <v/>
      </c>
      <c r="EX76" s="91" t="str">
        <f t="shared" si="580"/>
        <v/>
      </c>
      <c r="EY76" s="86"/>
      <c r="EZ76" s="91" t="str">
        <f t="shared" si="477"/>
        <v/>
      </c>
      <c r="FA76" s="91" t="str">
        <f t="shared" si="581"/>
        <v/>
      </c>
      <c r="FB76" s="86"/>
      <c r="FC76" s="91" t="str">
        <f t="shared" si="478"/>
        <v/>
      </c>
      <c r="FD76" s="91" t="str">
        <f t="shared" si="582"/>
        <v/>
      </c>
      <c r="FE76" s="86"/>
      <c r="FF76" s="91" t="str">
        <f t="shared" si="479"/>
        <v/>
      </c>
      <c r="FG76" s="91" t="str">
        <f t="shared" si="583"/>
        <v/>
      </c>
      <c r="FH76" s="86"/>
      <c r="FI76" s="91" t="str">
        <f t="shared" si="480"/>
        <v/>
      </c>
      <c r="FJ76" s="91" t="str">
        <f t="shared" si="584"/>
        <v/>
      </c>
      <c r="FK76" s="86"/>
      <c r="FL76" s="91" t="str">
        <f t="shared" si="481"/>
        <v/>
      </c>
      <c r="FM76" s="91" t="str">
        <f t="shared" si="585"/>
        <v/>
      </c>
      <c r="FN76" s="86"/>
      <c r="FO76" s="91" t="str">
        <f t="shared" si="482"/>
        <v/>
      </c>
      <c r="FP76" s="91" t="str">
        <f t="shared" si="586"/>
        <v/>
      </c>
      <c r="FQ76" s="86"/>
      <c r="FR76" s="91" t="str">
        <f t="shared" si="483"/>
        <v/>
      </c>
      <c r="FS76" s="91" t="str">
        <f t="shared" si="587"/>
        <v/>
      </c>
      <c r="FT76" s="86"/>
      <c r="FU76" s="91" t="str">
        <f t="shared" si="484"/>
        <v/>
      </c>
      <c r="FV76" s="91" t="str">
        <f t="shared" si="588"/>
        <v/>
      </c>
      <c r="FW76" s="92"/>
      <c r="FX76" s="91" t="str">
        <f t="shared" si="485"/>
        <v/>
      </c>
      <c r="FY76" s="91" t="str">
        <f t="shared" si="589"/>
        <v/>
      </c>
      <c r="FZ76" s="86"/>
      <c r="GA76" s="91" t="str">
        <f t="shared" si="486"/>
        <v/>
      </c>
      <c r="GB76" s="91" t="str">
        <f t="shared" si="590"/>
        <v/>
      </c>
      <c r="GC76" s="86"/>
      <c r="GD76" s="91" t="str">
        <f t="shared" si="487"/>
        <v/>
      </c>
      <c r="GE76" s="91" t="str">
        <f t="shared" si="591"/>
        <v/>
      </c>
      <c r="GF76" s="86"/>
      <c r="GG76" s="91" t="str">
        <f t="shared" si="488"/>
        <v/>
      </c>
      <c r="GH76" s="91" t="str">
        <f t="shared" si="592"/>
        <v/>
      </c>
      <c r="GI76" s="86"/>
      <c r="GJ76" s="91" t="str">
        <f t="shared" si="489"/>
        <v/>
      </c>
      <c r="GK76" s="91" t="str">
        <f t="shared" si="593"/>
        <v/>
      </c>
      <c r="GL76" s="86"/>
      <c r="GM76" s="91" t="str">
        <f t="shared" si="490"/>
        <v/>
      </c>
      <c r="GN76" s="91" t="str">
        <f t="shared" si="594"/>
        <v/>
      </c>
      <c r="GO76" s="86"/>
      <c r="GP76" s="91" t="str">
        <f t="shared" si="491"/>
        <v/>
      </c>
      <c r="GQ76" s="91" t="str">
        <f t="shared" si="595"/>
        <v/>
      </c>
      <c r="GR76" s="86"/>
      <c r="GS76" s="91" t="str">
        <f t="shared" si="492"/>
        <v/>
      </c>
      <c r="GT76" s="91" t="str">
        <f t="shared" si="596"/>
        <v/>
      </c>
      <c r="GU76" s="86"/>
      <c r="GV76" s="91" t="str">
        <f t="shared" si="493"/>
        <v/>
      </c>
      <c r="GW76" s="91" t="str">
        <f t="shared" si="597"/>
        <v/>
      </c>
      <c r="GX76" s="86"/>
      <c r="GY76" s="91" t="str">
        <f t="shared" si="494"/>
        <v/>
      </c>
      <c r="GZ76" s="91" t="str">
        <f t="shared" si="598"/>
        <v/>
      </c>
      <c r="HA76" s="86"/>
      <c r="HB76" s="91" t="str">
        <f t="shared" si="495"/>
        <v/>
      </c>
      <c r="HC76" s="91" t="str">
        <f t="shared" si="599"/>
        <v/>
      </c>
      <c r="HD76" s="86"/>
      <c r="HE76" s="91" t="str">
        <f t="shared" si="496"/>
        <v/>
      </c>
      <c r="HF76" s="91" t="str">
        <f t="shared" si="600"/>
        <v/>
      </c>
      <c r="HG76" s="86"/>
      <c r="HH76" s="91" t="str">
        <f t="shared" si="497"/>
        <v/>
      </c>
      <c r="HI76" s="91" t="str">
        <f t="shared" si="601"/>
        <v/>
      </c>
      <c r="HJ76" s="86"/>
      <c r="HK76" s="91" t="str">
        <f t="shared" si="498"/>
        <v/>
      </c>
      <c r="HL76" s="91" t="str">
        <f t="shared" si="602"/>
        <v/>
      </c>
      <c r="HM76" s="86"/>
      <c r="HN76" s="91" t="str">
        <f t="shared" si="499"/>
        <v/>
      </c>
      <c r="HO76" s="91" t="str">
        <f t="shared" si="603"/>
        <v/>
      </c>
      <c r="HP76" s="86"/>
      <c r="HQ76" s="91" t="str">
        <f t="shared" si="500"/>
        <v/>
      </c>
      <c r="HR76" s="91" t="str">
        <f t="shared" si="604"/>
        <v/>
      </c>
      <c r="HS76" s="86"/>
      <c r="HT76" s="91" t="str">
        <f t="shared" si="501"/>
        <v/>
      </c>
      <c r="HU76" s="91" t="str">
        <f t="shared" si="605"/>
        <v/>
      </c>
      <c r="HV76" s="86"/>
      <c r="HW76" s="91" t="str">
        <f t="shared" si="502"/>
        <v/>
      </c>
      <c r="HX76" s="91" t="str">
        <f t="shared" si="606"/>
        <v/>
      </c>
      <c r="HY76" s="86"/>
      <c r="HZ76" s="91" t="str">
        <f t="shared" si="503"/>
        <v/>
      </c>
      <c r="IA76" s="91" t="str">
        <f t="shared" si="607"/>
        <v/>
      </c>
      <c r="IB76" s="86"/>
      <c r="IC76" s="91" t="str">
        <f t="shared" si="504"/>
        <v/>
      </c>
      <c r="ID76" s="91" t="str">
        <f t="shared" si="608"/>
        <v/>
      </c>
      <c r="IE76" s="86"/>
      <c r="IF76" s="91" t="str">
        <f t="shared" si="505"/>
        <v/>
      </c>
      <c r="IG76" s="91" t="str">
        <f t="shared" si="609"/>
        <v/>
      </c>
      <c r="IH76" s="86"/>
      <c r="II76" s="91" t="str">
        <f t="shared" si="506"/>
        <v/>
      </c>
      <c r="IJ76" s="91" t="str">
        <f t="shared" si="610"/>
        <v/>
      </c>
      <c r="IK76" s="86"/>
      <c r="IL76" s="91" t="str">
        <f t="shared" si="507"/>
        <v/>
      </c>
      <c r="IM76" s="91" t="str">
        <f t="shared" si="611"/>
        <v/>
      </c>
      <c r="IN76" s="86"/>
      <c r="IO76" s="91" t="str">
        <f t="shared" si="508"/>
        <v/>
      </c>
      <c r="IP76" s="91" t="str">
        <f t="shared" si="612"/>
        <v/>
      </c>
      <c r="IQ76" s="86"/>
      <c r="IR76" s="91" t="str">
        <f t="shared" si="509"/>
        <v/>
      </c>
      <c r="IS76" s="91" t="str">
        <f t="shared" si="613"/>
        <v/>
      </c>
      <c r="IT76" s="86"/>
      <c r="IU76" s="91" t="str">
        <f t="shared" si="510"/>
        <v/>
      </c>
      <c r="IV76" s="91" t="str">
        <f t="shared" si="614"/>
        <v/>
      </c>
      <c r="IW76" s="86"/>
      <c r="IX76" s="91" t="str">
        <f t="shared" si="511"/>
        <v/>
      </c>
      <c r="IY76" s="91" t="str">
        <f t="shared" si="615"/>
        <v/>
      </c>
      <c r="IZ76" s="86"/>
      <c r="JA76" s="91" t="str">
        <f t="shared" si="512"/>
        <v/>
      </c>
      <c r="JB76" s="91" t="str">
        <f t="shared" si="616"/>
        <v/>
      </c>
      <c r="JC76" s="86"/>
      <c r="JD76" s="91" t="str">
        <f t="shared" si="513"/>
        <v/>
      </c>
      <c r="JE76" s="91" t="str">
        <f t="shared" si="617"/>
        <v/>
      </c>
      <c r="JF76" s="86"/>
      <c r="JG76" s="91" t="str">
        <f t="shared" si="514"/>
        <v/>
      </c>
      <c r="JH76" s="91" t="str">
        <f t="shared" si="618"/>
        <v/>
      </c>
      <c r="JI76" s="86"/>
      <c r="JJ76" s="91" t="str">
        <f t="shared" si="515"/>
        <v/>
      </c>
      <c r="JK76" s="91" t="str">
        <f t="shared" si="619"/>
        <v/>
      </c>
      <c r="JL76" s="86"/>
      <c r="JM76" s="91" t="str">
        <f t="shared" si="516"/>
        <v/>
      </c>
      <c r="JN76" s="91" t="str">
        <f t="shared" si="620"/>
        <v/>
      </c>
      <c r="JO76" s="86"/>
      <c r="JP76" s="91" t="str">
        <f t="shared" si="517"/>
        <v/>
      </c>
      <c r="JQ76" s="91" t="str">
        <f t="shared" si="621"/>
        <v/>
      </c>
      <c r="JR76" s="86"/>
      <c r="JS76" s="91" t="str">
        <f t="shared" si="518"/>
        <v/>
      </c>
      <c r="JT76" s="91" t="str">
        <f t="shared" si="622"/>
        <v/>
      </c>
      <c r="JU76" s="86"/>
      <c r="JV76" s="91" t="str">
        <f t="shared" si="519"/>
        <v/>
      </c>
      <c r="JW76" s="91" t="str">
        <f t="shared" si="623"/>
        <v/>
      </c>
      <c r="JX76" s="86"/>
      <c r="JY76" s="91" t="str">
        <f t="shared" si="520"/>
        <v/>
      </c>
      <c r="JZ76" s="91" t="str">
        <f t="shared" si="624"/>
        <v/>
      </c>
      <c r="KA76" s="86"/>
      <c r="KB76" s="91" t="str">
        <f t="shared" si="521"/>
        <v/>
      </c>
      <c r="KC76" s="91" t="str">
        <f t="shared" si="625"/>
        <v/>
      </c>
      <c r="KD76" s="86"/>
      <c r="KE76" s="91" t="str">
        <f t="shared" si="522"/>
        <v/>
      </c>
      <c r="KF76" s="91" t="str">
        <f t="shared" si="626"/>
        <v/>
      </c>
      <c r="KG76" s="86"/>
      <c r="KH76" s="91" t="str">
        <f t="shared" si="523"/>
        <v/>
      </c>
      <c r="KI76" s="91" t="str">
        <f t="shared" si="627"/>
        <v/>
      </c>
      <c r="KJ76" s="86"/>
      <c r="KK76" s="91" t="str">
        <f t="shared" si="524"/>
        <v/>
      </c>
      <c r="KL76" s="91" t="str">
        <f t="shared" si="628"/>
        <v/>
      </c>
      <c r="KM76" s="86"/>
      <c r="KN76" s="91" t="str">
        <f t="shared" si="525"/>
        <v/>
      </c>
      <c r="KO76" s="91" t="str">
        <f t="shared" si="629"/>
        <v/>
      </c>
      <c r="KP76" s="86"/>
      <c r="KQ76" s="91" t="str">
        <f t="shared" si="526"/>
        <v/>
      </c>
      <c r="KR76" s="91" t="str">
        <f t="shared" si="630"/>
        <v/>
      </c>
      <c r="KS76" s="86"/>
      <c r="KT76" s="91" t="str">
        <f t="shared" si="527"/>
        <v/>
      </c>
      <c r="KU76" s="91" t="str">
        <f t="shared" si="631"/>
        <v/>
      </c>
      <c r="KV76" s="86"/>
      <c r="KW76" s="91" t="str">
        <f t="shared" si="528"/>
        <v/>
      </c>
      <c r="KX76" s="91" t="str">
        <f t="shared" si="632"/>
        <v/>
      </c>
      <c r="KY76" s="92"/>
      <c r="KZ76" s="91" t="str">
        <f t="shared" si="529"/>
        <v/>
      </c>
      <c r="LA76" s="91" t="str">
        <f t="shared" si="633"/>
        <v/>
      </c>
      <c r="LB76" s="106" t="str">
        <f t="shared" si="430"/>
        <v/>
      </c>
      <c r="LC76" s="108" t="str">
        <f t="shared" si="634"/>
        <v/>
      </c>
      <c r="LD76" s="106" t="str">
        <f t="shared" si="635"/>
        <v/>
      </c>
      <c r="LE76" s="108" t="str">
        <f t="shared" si="636"/>
        <v/>
      </c>
      <c r="LF76" s="106" t="str">
        <f t="shared" si="637"/>
        <v/>
      </c>
      <c r="LG76" s="108" t="str">
        <f t="shared" si="638"/>
        <v/>
      </c>
      <c r="LH76" s="109" t="str">
        <f t="shared" si="530"/>
        <v/>
      </c>
      <c r="LI76" s="109" t="str">
        <f t="shared" si="531"/>
        <v/>
      </c>
      <c r="LJ76" s="109" t="str">
        <f t="shared" si="532"/>
        <v/>
      </c>
      <c r="LK76" s="109" t="str">
        <f t="shared" si="639"/>
        <v/>
      </c>
      <c r="LL76" s="111" t="str">
        <f t="shared" si="640"/>
        <v/>
      </c>
      <c r="LM76" s="64"/>
      <c r="LN76" s="112" t="str">
        <f t="shared" si="644"/>
        <v/>
      </c>
      <c r="LO76" s="113" t="str">
        <f t="shared" si="641"/>
        <v/>
      </c>
      <c r="LP76" s="64"/>
      <c r="LQ76" s="64"/>
      <c r="LR76" s="64"/>
    </row>
    <row r="77" spans="1:334" s="62" customFormat="1" ht="15" customHeight="1">
      <c r="A77" s="106">
        <f t="shared" si="642"/>
        <v>0</v>
      </c>
      <c r="B77" s="106">
        <f t="shared" si="643"/>
        <v>0</v>
      </c>
      <c r="C77" s="51"/>
      <c r="D77" s="52"/>
      <c r="E77" s="53"/>
      <c r="F77" s="53"/>
      <c r="G77" s="53"/>
      <c r="H77" s="53"/>
      <c r="I77" s="53"/>
      <c r="J77" s="53"/>
      <c r="K77" s="53"/>
      <c r="L77" s="53"/>
      <c r="M77" s="107" t="s">
        <v>35</v>
      </c>
      <c r="N77" s="86"/>
      <c r="O77" s="91" t="str">
        <f t="shared" si="431"/>
        <v/>
      </c>
      <c r="P77" s="91" t="str">
        <f t="shared" si="534"/>
        <v/>
      </c>
      <c r="Q77" s="86"/>
      <c r="R77" s="91" t="str">
        <f t="shared" si="432"/>
        <v/>
      </c>
      <c r="S77" s="91" t="str">
        <f t="shared" si="535"/>
        <v/>
      </c>
      <c r="T77" s="86"/>
      <c r="U77" s="91" t="str">
        <f t="shared" si="433"/>
        <v/>
      </c>
      <c r="V77" s="91" t="str">
        <f t="shared" si="536"/>
        <v/>
      </c>
      <c r="W77" s="86"/>
      <c r="X77" s="91" t="str">
        <f t="shared" si="434"/>
        <v/>
      </c>
      <c r="Y77" s="91" t="str">
        <f t="shared" si="537"/>
        <v/>
      </c>
      <c r="Z77" s="86"/>
      <c r="AA77" s="91" t="str">
        <f t="shared" si="435"/>
        <v/>
      </c>
      <c r="AB77" s="91" t="str">
        <f t="shared" si="538"/>
        <v/>
      </c>
      <c r="AC77" s="86"/>
      <c r="AD77" s="91" t="str">
        <f t="shared" si="436"/>
        <v/>
      </c>
      <c r="AE77" s="91" t="str">
        <f t="shared" si="539"/>
        <v/>
      </c>
      <c r="AF77" s="86"/>
      <c r="AG77" s="91" t="str">
        <f t="shared" si="437"/>
        <v/>
      </c>
      <c r="AH77" s="91" t="str">
        <f t="shared" si="540"/>
        <v/>
      </c>
      <c r="AI77" s="86"/>
      <c r="AJ77" s="91" t="str">
        <f t="shared" si="438"/>
        <v/>
      </c>
      <c r="AK77" s="91" t="str">
        <f t="shared" si="541"/>
        <v/>
      </c>
      <c r="AL77" s="86"/>
      <c r="AM77" s="91" t="str">
        <f t="shared" si="439"/>
        <v/>
      </c>
      <c r="AN77" s="91" t="str">
        <f t="shared" si="542"/>
        <v/>
      </c>
      <c r="AO77" s="86"/>
      <c r="AP77" s="91" t="str">
        <f t="shared" si="440"/>
        <v/>
      </c>
      <c r="AQ77" s="91" t="str">
        <f t="shared" si="543"/>
        <v/>
      </c>
      <c r="AR77" s="86"/>
      <c r="AS77" s="91" t="str">
        <f t="shared" si="441"/>
        <v/>
      </c>
      <c r="AT77" s="91" t="str">
        <f t="shared" si="544"/>
        <v/>
      </c>
      <c r="AU77" s="86"/>
      <c r="AV77" s="91" t="str">
        <f t="shared" si="442"/>
        <v/>
      </c>
      <c r="AW77" s="91" t="str">
        <f t="shared" si="545"/>
        <v/>
      </c>
      <c r="AX77" s="86"/>
      <c r="AY77" s="91" t="str">
        <f t="shared" si="443"/>
        <v/>
      </c>
      <c r="AZ77" s="91" t="str">
        <f t="shared" si="546"/>
        <v/>
      </c>
      <c r="BA77" s="86"/>
      <c r="BB77" s="91" t="str">
        <f t="shared" si="444"/>
        <v/>
      </c>
      <c r="BC77" s="91" t="str">
        <f t="shared" si="547"/>
        <v/>
      </c>
      <c r="BD77" s="86"/>
      <c r="BE77" s="91" t="str">
        <f t="shared" si="445"/>
        <v/>
      </c>
      <c r="BF77" s="91" t="str">
        <f t="shared" si="548"/>
        <v/>
      </c>
      <c r="BG77" s="86"/>
      <c r="BH77" s="91" t="str">
        <f t="shared" si="446"/>
        <v/>
      </c>
      <c r="BI77" s="91" t="str">
        <f t="shared" si="549"/>
        <v/>
      </c>
      <c r="BJ77" s="86"/>
      <c r="BK77" s="91" t="str">
        <f t="shared" si="447"/>
        <v/>
      </c>
      <c r="BL77" s="91" t="str">
        <f t="shared" si="550"/>
        <v/>
      </c>
      <c r="BM77" s="86"/>
      <c r="BN77" s="91" t="str">
        <f t="shared" si="448"/>
        <v/>
      </c>
      <c r="BO77" s="91" t="str">
        <f t="shared" si="551"/>
        <v/>
      </c>
      <c r="BP77" s="51"/>
      <c r="BQ77" s="91" t="str">
        <f t="shared" si="449"/>
        <v/>
      </c>
      <c r="BR77" s="91" t="str">
        <f t="shared" si="552"/>
        <v/>
      </c>
      <c r="BS77" s="86"/>
      <c r="BT77" s="91" t="str">
        <f t="shared" si="450"/>
        <v/>
      </c>
      <c r="BU77" s="91" t="str">
        <f t="shared" si="553"/>
        <v/>
      </c>
      <c r="BV77" s="86"/>
      <c r="BW77" s="91" t="str">
        <f t="shared" si="451"/>
        <v/>
      </c>
      <c r="BX77" s="91" t="str">
        <f t="shared" si="554"/>
        <v/>
      </c>
      <c r="BY77" s="86"/>
      <c r="BZ77" s="91" t="str">
        <f t="shared" si="452"/>
        <v/>
      </c>
      <c r="CA77" s="91" t="str">
        <f t="shared" si="555"/>
        <v/>
      </c>
      <c r="CB77" s="86"/>
      <c r="CC77" s="91" t="str">
        <f t="shared" si="453"/>
        <v/>
      </c>
      <c r="CD77" s="91" t="str">
        <f t="shared" si="556"/>
        <v/>
      </c>
      <c r="CE77" s="86"/>
      <c r="CF77" s="91" t="str">
        <f t="shared" si="454"/>
        <v/>
      </c>
      <c r="CG77" s="91" t="str">
        <f t="shared" si="557"/>
        <v/>
      </c>
      <c r="CH77" s="86"/>
      <c r="CI77" s="91" t="str">
        <f t="shared" si="455"/>
        <v/>
      </c>
      <c r="CJ77" s="91" t="str">
        <f t="shared" si="558"/>
        <v/>
      </c>
      <c r="CK77" s="86"/>
      <c r="CL77" s="91" t="str">
        <f t="shared" si="456"/>
        <v/>
      </c>
      <c r="CM77" s="91" t="str">
        <f t="shared" si="559"/>
        <v/>
      </c>
      <c r="CN77" s="86"/>
      <c r="CO77" s="91" t="str">
        <f t="shared" si="457"/>
        <v/>
      </c>
      <c r="CP77" s="91" t="str">
        <f t="shared" si="560"/>
        <v/>
      </c>
      <c r="CQ77" s="86"/>
      <c r="CR77" s="91" t="str">
        <f t="shared" si="458"/>
        <v/>
      </c>
      <c r="CS77" s="91" t="str">
        <f t="shared" si="561"/>
        <v/>
      </c>
      <c r="CT77" s="86"/>
      <c r="CU77" s="91" t="str">
        <f t="shared" si="459"/>
        <v/>
      </c>
      <c r="CV77" s="91" t="str">
        <f t="shared" si="562"/>
        <v/>
      </c>
      <c r="CW77" s="86"/>
      <c r="CX77" s="91" t="str">
        <f t="shared" si="460"/>
        <v/>
      </c>
      <c r="CY77" s="91" t="str">
        <f t="shared" si="563"/>
        <v/>
      </c>
      <c r="CZ77" s="86"/>
      <c r="DA77" s="91" t="str">
        <f t="shared" si="461"/>
        <v/>
      </c>
      <c r="DB77" s="91" t="str">
        <f t="shared" si="564"/>
        <v/>
      </c>
      <c r="DC77" s="86"/>
      <c r="DD77" s="91" t="str">
        <f t="shared" si="462"/>
        <v/>
      </c>
      <c r="DE77" s="91" t="str">
        <f t="shared" si="565"/>
        <v/>
      </c>
      <c r="DF77" s="86"/>
      <c r="DG77" s="91"/>
      <c r="DH77" s="91" t="str">
        <f t="shared" si="566"/>
        <v/>
      </c>
      <c r="DI77" s="86"/>
      <c r="DJ77" s="91" t="str">
        <f t="shared" si="463"/>
        <v/>
      </c>
      <c r="DK77" s="91" t="str">
        <f t="shared" si="567"/>
        <v/>
      </c>
      <c r="DL77" s="86"/>
      <c r="DM77" s="91" t="str">
        <f t="shared" si="464"/>
        <v/>
      </c>
      <c r="DN77" s="91" t="str">
        <f t="shared" si="568"/>
        <v/>
      </c>
      <c r="DO77" s="86"/>
      <c r="DP77" s="91" t="str">
        <f t="shared" si="465"/>
        <v/>
      </c>
      <c r="DQ77" s="91" t="str">
        <f t="shared" si="569"/>
        <v/>
      </c>
      <c r="DR77" s="86"/>
      <c r="DS77" s="91" t="str">
        <f t="shared" si="466"/>
        <v/>
      </c>
      <c r="DT77" s="91" t="str">
        <f t="shared" si="570"/>
        <v/>
      </c>
      <c r="DU77" s="86"/>
      <c r="DV77" s="91" t="str">
        <f t="shared" si="467"/>
        <v/>
      </c>
      <c r="DW77" s="91" t="str">
        <f t="shared" si="571"/>
        <v/>
      </c>
      <c r="DX77" s="86"/>
      <c r="DY77" s="91" t="str">
        <f t="shared" si="468"/>
        <v/>
      </c>
      <c r="DZ77" s="91" t="str">
        <f t="shared" si="572"/>
        <v/>
      </c>
      <c r="EA77" s="86"/>
      <c r="EB77" s="91" t="str">
        <f t="shared" si="469"/>
        <v/>
      </c>
      <c r="EC77" s="91" t="str">
        <f t="shared" si="573"/>
        <v/>
      </c>
      <c r="ED77" s="86"/>
      <c r="EE77" s="91" t="str">
        <f t="shared" si="470"/>
        <v/>
      </c>
      <c r="EF77" s="91" t="str">
        <f t="shared" si="574"/>
        <v/>
      </c>
      <c r="EG77" s="86"/>
      <c r="EH77" s="91" t="str">
        <f t="shared" si="471"/>
        <v/>
      </c>
      <c r="EI77" s="91" t="str">
        <f t="shared" si="575"/>
        <v/>
      </c>
      <c r="EJ77" s="86"/>
      <c r="EK77" s="91" t="str">
        <f t="shared" si="472"/>
        <v/>
      </c>
      <c r="EL77" s="91" t="str">
        <f t="shared" si="576"/>
        <v/>
      </c>
      <c r="EM77" s="86"/>
      <c r="EN77" s="91" t="str">
        <f t="shared" si="473"/>
        <v/>
      </c>
      <c r="EO77" s="91" t="str">
        <f t="shared" si="577"/>
        <v/>
      </c>
      <c r="EP77" s="86"/>
      <c r="EQ77" s="91" t="str">
        <f t="shared" si="474"/>
        <v/>
      </c>
      <c r="ER77" s="91" t="str">
        <f t="shared" si="578"/>
        <v/>
      </c>
      <c r="ES77" s="51"/>
      <c r="ET77" s="91" t="str">
        <f t="shared" si="475"/>
        <v/>
      </c>
      <c r="EU77" s="91" t="str">
        <f t="shared" si="579"/>
        <v/>
      </c>
      <c r="EV77" s="86"/>
      <c r="EW77" s="91" t="str">
        <f t="shared" si="476"/>
        <v/>
      </c>
      <c r="EX77" s="91" t="str">
        <f t="shared" si="580"/>
        <v/>
      </c>
      <c r="EY77" s="86"/>
      <c r="EZ77" s="91" t="str">
        <f t="shared" si="477"/>
        <v/>
      </c>
      <c r="FA77" s="91" t="str">
        <f t="shared" si="581"/>
        <v/>
      </c>
      <c r="FB77" s="86"/>
      <c r="FC77" s="91" t="str">
        <f t="shared" si="478"/>
        <v/>
      </c>
      <c r="FD77" s="91" t="str">
        <f t="shared" si="582"/>
        <v/>
      </c>
      <c r="FE77" s="86"/>
      <c r="FF77" s="91" t="str">
        <f t="shared" si="479"/>
        <v/>
      </c>
      <c r="FG77" s="91" t="str">
        <f t="shared" si="583"/>
        <v/>
      </c>
      <c r="FH77" s="86"/>
      <c r="FI77" s="91" t="str">
        <f t="shared" si="480"/>
        <v/>
      </c>
      <c r="FJ77" s="91" t="str">
        <f t="shared" si="584"/>
        <v/>
      </c>
      <c r="FK77" s="86"/>
      <c r="FL77" s="91" t="str">
        <f t="shared" si="481"/>
        <v/>
      </c>
      <c r="FM77" s="91" t="str">
        <f t="shared" si="585"/>
        <v/>
      </c>
      <c r="FN77" s="86"/>
      <c r="FO77" s="91" t="str">
        <f t="shared" si="482"/>
        <v/>
      </c>
      <c r="FP77" s="91" t="str">
        <f t="shared" si="586"/>
        <v/>
      </c>
      <c r="FQ77" s="86"/>
      <c r="FR77" s="91" t="str">
        <f t="shared" si="483"/>
        <v/>
      </c>
      <c r="FS77" s="91" t="str">
        <f t="shared" si="587"/>
        <v/>
      </c>
      <c r="FT77" s="86"/>
      <c r="FU77" s="91" t="str">
        <f t="shared" si="484"/>
        <v/>
      </c>
      <c r="FV77" s="91" t="str">
        <f t="shared" si="588"/>
        <v/>
      </c>
      <c r="FW77" s="92"/>
      <c r="FX77" s="91" t="str">
        <f t="shared" si="485"/>
        <v/>
      </c>
      <c r="FY77" s="91" t="str">
        <f t="shared" si="589"/>
        <v/>
      </c>
      <c r="FZ77" s="86"/>
      <c r="GA77" s="91" t="str">
        <f t="shared" si="486"/>
        <v/>
      </c>
      <c r="GB77" s="91" t="str">
        <f t="shared" si="590"/>
        <v/>
      </c>
      <c r="GC77" s="86"/>
      <c r="GD77" s="91" t="str">
        <f t="shared" si="487"/>
        <v/>
      </c>
      <c r="GE77" s="91" t="str">
        <f t="shared" si="591"/>
        <v/>
      </c>
      <c r="GF77" s="86"/>
      <c r="GG77" s="91" t="str">
        <f t="shared" si="488"/>
        <v/>
      </c>
      <c r="GH77" s="91" t="str">
        <f t="shared" si="592"/>
        <v/>
      </c>
      <c r="GI77" s="86"/>
      <c r="GJ77" s="91" t="str">
        <f t="shared" si="489"/>
        <v/>
      </c>
      <c r="GK77" s="91" t="str">
        <f t="shared" si="593"/>
        <v/>
      </c>
      <c r="GL77" s="86"/>
      <c r="GM77" s="91" t="str">
        <f t="shared" si="490"/>
        <v/>
      </c>
      <c r="GN77" s="91" t="str">
        <f t="shared" si="594"/>
        <v/>
      </c>
      <c r="GO77" s="86"/>
      <c r="GP77" s="91" t="str">
        <f t="shared" si="491"/>
        <v/>
      </c>
      <c r="GQ77" s="91" t="str">
        <f t="shared" si="595"/>
        <v/>
      </c>
      <c r="GR77" s="86"/>
      <c r="GS77" s="91" t="str">
        <f t="shared" si="492"/>
        <v/>
      </c>
      <c r="GT77" s="91" t="str">
        <f t="shared" si="596"/>
        <v/>
      </c>
      <c r="GU77" s="86"/>
      <c r="GV77" s="91" t="str">
        <f t="shared" si="493"/>
        <v/>
      </c>
      <c r="GW77" s="91" t="str">
        <f t="shared" si="597"/>
        <v/>
      </c>
      <c r="GX77" s="86"/>
      <c r="GY77" s="91" t="str">
        <f t="shared" si="494"/>
        <v/>
      </c>
      <c r="GZ77" s="91" t="str">
        <f t="shared" si="598"/>
        <v/>
      </c>
      <c r="HA77" s="86"/>
      <c r="HB77" s="91" t="str">
        <f t="shared" si="495"/>
        <v/>
      </c>
      <c r="HC77" s="91" t="str">
        <f t="shared" si="599"/>
        <v/>
      </c>
      <c r="HD77" s="86"/>
      <c r="HE77" s="91" t="str">
        <f t="shared" si="496"/>
        <v/>
      </c>
      <c r="HF77" s="91" t="str">
        <f t="shared" si="600"/>
        <v/>
      </c>
      <c r="HG77" s="86"/>
      <c r="HH77" s="91" t="str">
        <f t="shared" si="497"/>
        <v/>
      </c>
      <c r="HI77" s="91" t="str">
        <f t="shared" si="601"/>
        <v/>
      </c>
      <c r="HJ77" s="86"/>
      <c r="HK77" s="91" t="str">
        <f t="shared" si="498"/>
        <v/>
      </c>
      <c r="HL77" s="91" t="str">
        <f t="shared" si="602"/>
        <v/>
      </c>
      <c r="HM77" s="86"/>
      <c r="HN77" s="91" t="str">
        <f t="shared" si="499"/>
        <v/>
      </c>
      <c r="HO77" s="91" t="str">
        <f t="shared" si="603"/>
        <v/>
      </c>
      <c r="HP77" s="86"/>
      <c r="HQ77" s="91" t="str">
        <f t="shared" si="500"/>
        <v/>
      </c>
      <c r="HR77" s="91" t="str">
        <f t="shared" si="604"/>
        <v/>
      </c>
      <c r="HS77" s="86"/>
      <c r="HT77" s="91" t="str">
        <f t="shared" si="501"/>
        <v/>
      </c>
      <c r="HU77" s="91" t="str">
        <f t="shared" si="605"/>
        <v/>
      </c>
      <c r="HV77" s="86"/>
      <c r="HW77" s="91" t="str">
        <f t="shared" si="502"/>
        <v/>
      </c>
      <c r="HX77" s="91" t="str">
        <f t="shared" si="606"/>
        <v/>
      </c>
      <c r="HY77" s="86"/>
      <c r="HZ77" s="91" t="str">
        <f t="shared" si="503"/>
        <v/>
      </c>
      <c r="IA77" s="91" t="str">
        <f t="shared" si="607"/>
        <v/>
      </c>
      <c r="IB77" s="86"/>
      <c r="IC77" s="91" t="str">
        <f t="shared" si="504"/>
        <v/>
      </c>
      <c r="ID77" s="91" t="str">
        <f t="shared" si="608"/>
        <v/>
      </c>
      <c r="IE77" s="86"/>
      <c r="IF77" s="91" t="str">
        <f t="shared" si="505"/>
        <v/>
      </c>
      <c r="IG77" s="91" t="str">
        <f t="shared" si="609"/>
        <v/>
      </c>
      <c r="IH77" s="86"/>
      <c r="II77" s="91" t="str">
        <f t="shared" si="506"/>
        <v/>
      </c>
      <c r="IJ77" s="91" t="str">
        <f t="shared" si="610"/>
        <v/>
      </c>
      <c r="IK77" s="86"/>
      <c r="IL77" s="91" t="str">
        <f t="shared" si="507"/>
        <v/>
      </c>
      <c r="IM77" s="91" t="str">
        <f t="shared" si="611"/>
        <v/>
      </c>
      <c r="IN77" s="86"/>
      <c r="IO77" s="91" t="str">
        <f t="shared" si="508"/>
        <v/>
      </c>
      <c r="IP77" s="91" t="str">
        <f t="shared" si="612"/>
        <v/>
      </c>
      <c r="IQ77" s="86"/>
      <c r="IR77" s="91" t="str">
        <f t="shared" si="509"/>
        <v/>
      </c>
      <c r="IS77" s="91" t="str">
        <f t="shared" si="613"/>
        <v/>
      </c>
      <c r="IT77" s="86"/>
      <c r="IU77" s="91" t="str">
        <f t="shared" si="510"/>
        <v/>
      </c>
      <c r="IV77" s="91" t="str">
        <f t="shared" si="614"/>
        <v/>
      </c>
      <c r="IW77" s="86"/>
      <c r="IX77" s="91" t="str">
        <f t="shared" si="511"/>
        <v/>
      </c>
      <c r="IY77" s="91" t="str">
        <f t="shared" si="615"/>
        <v/>
      </c>
      <c r="IZ77" s="86"/>
      <c r="JA77" s="91" t="str">
        <f t="shared" si="512"/>
        <v/>
      </c>
      <c r="JB77" s="91" t="str">
        <f t="shared" si="616"/>
        <v/>
      </c>
      <c r="JC77" s="86"/>
      <c r="JD77" s="91" t="str">
        <f t="shared" si="513"/>
        <v/>
      </c>
      <c r="JE77" s="91" t="str">
        <f t="shared" si="617"/>
        <v/>
      </c>
      <c r="JF77" s="86"/>
      <c r="JG77" s="91" t="str">
        <f t="shared" si="514"/>
        <v/>
      </c>
      <c r="JH77" s="91" t="str">
        <f t="shared" si="618"/>
        <v/>
      </c>
      <c r="JI77" s="86"/>
      <c r="JJ77" s="91" t="str">
        <f t="shared" si="515"/>
        <v/>
      </c>
      <c r="JK77" s="91" t="str">
        <f t="shared" si="619"/>
        <v/>
      </c>
      <c r="JL77" s="86"/>
      <c r="JM77" s="91" t="str">
        <f t="shared" si="516"/>
        <v/>
      </c>
      <c r="JN77" s="91" t="str">
        <f t="shared" si="620"/>
        <v/>
      </c>
      <c r="JO77" s="86"/>
      <c r="JP77" s="91" t="str">
        <f t="shared" si="517"/>
        <v/>
      </c>
      <c r="JQ77" s="91" t="str">
        <f t="shared" si="621"/>
        <v/>
      </c>
      <c r="JR77" s="86"/>
      <c r="JS77" s="91" t="str">
        <f t="shared" si="518"/>
        <v/>
      </c>
      <c r="JT77" s="91" t="str">
        <f t="shared" si="622"/>
        <v/>
      </c>
      <c r="JU77" s="86"/>
      <c r="JV77" s="91" t="str">
        <f t="shared" si="519"/>
        <v/>
      </c>
      <c r="JW77" s="91" t="str">
        <f t="shared" si="623"/>
        <v/>
      </c>
      <c r="JX77" s="86"/>
      <c r="JY77" s="91" t="str">
        <f t="shared" si="520"/>
        <v/>
      </c>
      <c r="JZ77" s="91" t="str">
        <f t="shared" si="624"/>
        <v/>
      </c>
      <c r="KA77" s="86"/>
      <c r="KB77" s="91" t="str">
        <f t="shared" si="521"/>
        <v/>
      </c>
      <c r="KC77" s="91" t="str">
        <f t="shared" si="625"/>
        <v/>
      </c>
      <c r="KD77" s="86"/>
      <c r="KE77" s="91" t="str">
        <f t="shared" si="522"/>
        <v/>
      </c>
      <c r="KF77" s="91" t="str">
        <f t="shared" si="626"/>
        <v/>
      </c>
      <c r="KG77" s="86"/>
      <c r="KH77" s="91" t="str">
        <f t="shared" si="523"/>
        <v/>
      </c>
      <c r="KI77" s="91" t="str">
        <f t="shared" si="627"/>
        <v/>
      </c>
      <c r="KJ77" s="86"/>
      <c r="KK77" s="91" t="str">
        <f t="shared" si="524"/>
        <v/>
      </c>
      <c r="KL77" s="91" t="str">
        <f t="shared" si="628"/>
        <v/>
      </c>
      <c r="KM77" s="86"/>
      <c r="KN77" s="91" t="str">
        <f t="shared" si="525"/>
        <v/>
      </c>
      <c r="KO77" s="91" t="str">
        <f t="shared" si="629"/>
        <v/>
      </c>
      <c r="KP77" s="86"/>
      <c r="KQ77" s="91" t="str">
        <f t="shared" si="526"/>
        <v/>
      </c>
      <c r="KR77" s="91" t="str">
        <f t="shared" si="630"/>
        <v/>
      </c>
      <c r="KS77" s="86"/>
      <c r="KT77" s="91" t="str">
        <f t="shared" si="527"/>
        <v/>
      </c>
      <c r="KU77" s="91" t="str">
        <f t="shared" si="631"/>
        <v/>
      </c>
      <c r="KV77" s="86"/>
      <c r="KW77" s="91" t="str">
        <f t="shared" si="528"/>
        <v/>
      </c>
      <c r="KX77" s="91" t="str">
        <f t="shared" si="632"/>
        <v/>
      </c>
      <c r="KY77" s="92"/>
      <c r="KZ77" s="91" t="str">
        <f t="shared" si="529"/>
        <v/>
      </c>
      <c r="LA77" s="91" t="str">
        <f t="shared" si="633"/>
        <v/>
      </c>
      <c r="LB77" s="106" t="str">
        <f t="shared" si="430"/>
        <v/>
      </c>
      <c r="LC77" s="108" t="str">
        <f t="shared" si="634"/>
        <v/>
      </c>
      <c r="LD77" s="106" t="str">
        <f t="shared" si="635"/>
        <v/>
      </c>
      <c r="LE77" s="108" t="str">
        <f t="shared" si="636"/>
        <v/>
      </c>
      <c r="LF77" s="106" t="str">
        <f t="shared" si="637"/>
        <v/>
      </c>
      <c r="LG77" s="108" t="str">
        <f t="shared" si="638"/>
        <v/>
      </c>
      <c r="LH77" s="109" t="str">
        <f t="shared" si="530"/>
        <v/>
      </c>
      <c r="LI77" s="109" t="str">
        <f t="shared" si="531"/>
        <v/>
      </c>
      <c r="LJ77" s="109" t="str">
        <f t="shared" si="532"/>
        <v/>
      </c>
      <c r="LK77" s="109" t="str">
        <f t="shared" si="639"/>
        <v/>
      </c>
      <c r="LL77" s="111" t="str">
        <f t="shared" si="640"/>
        <v/>
      </c>
      <c r="LM77" s="64"/>
      <c r="LN77" s="112" t="str">
        <f t="shared" si="644"/>
        <v/>
      </c>
      <c r="LO77" s="113" t="str">
        <f t="shared" si="641"/>
        <v/>
      </c>
      <c r="LP77" s="64"/>
      <c r="LQ77" s="64"/>
      <c r="LR77" s="64"/>
    </row>
    <row r="78" spans="1:334" s="62" customFormat="1" ht="15" customHeight="1">
      <c r="A78" s="106">
        <f t="shared" si="642"/>
        <v>0</v>
      </c>
      <c r="B78" s="106">
        <f t="shared" si="643"/>
        <v>0</v>
      </c>
      <c r="C78" s="51"/>
      <c r="D78" s="52"/>
      <c r="E78" s="53"/>
      <c r="F78" s="53"/>
      <c r="G78" s="53"/>
      <c r="H78" s="53"/>
      <c r="I78" s="53"/>
      <c r="J78" s="53"/>
      <c r="K78" s="53"/>
      <c r="L78" s="53"/>
      <c r="M78" s="107" t="s">
        <v>35</v>
      </c>
      <c r="N78" s="86"/>
      <c r="O78" s="91" t="str">
        <f t="shared" si="431"/>
        <v/>
      </c>
      <c r="P78" s="91" t="str">
        <f t="shared" si="534"/>
        <v/>
      </c>
      <c r="Q78" s="86"/>
      <c r="R78" s="91" t="str">
        <f t="shared" si="432"/>
        <v/>
      </c>
      <c r="S78" s="91" t="str">
        <f t="shared" si="535"/>
        <v/>
      </c>
      <c r="T78" s="86"/>
      <c r="U78" s="91" t="str">
        <f t="shared" si="433"/>
        <v/>
      </c>
      <c r="V78" s="91" t="str">
        <f t="shared" si="536"/>
        <v/>
      </c>
      <c r="W78" s="86"/>
      <c r="X78" s="91" t="str">
        <f t="shared" si="434"/>
        <v/>
      </c>
      <c r="Y78" s="91" t="str">
        <f t="shared" si="537"/>
        <v/>
      </c>
      <c r="Z78" s="86"/>
      <c r="AA78" s="91" t="str">
        <f t="shared" si="435"/>
        <v/>
      </c>
      <c r="AB78" s="91" t="str">
        <f t="shared" si="538"/>
        <v/>
      </c>
      <c r="AC78" s="86"/>
      <c r="AD78" s="91" t="str">
        <f t="shared" si="436"/>
        <v/>
      </c>
      <c r="AE78" s="91" t="str">
        <f t="shared" si="539"/>
        <v/>
      </c>
      <c r="AF78" s="86"/>
      <c r="AG78" s="91" t="str">
        <f t="shared" si="437"/>
        <v/>
      </c>
      <c r="AH78" s="91" t="str">
        <f t="shared" si="540"/>
        <v/>
      </c>
      <c r="AI78" s="86"/>
      <c r="AJ78" s="91" t="str">
        <f t="shared" si="438"/>
        <v/>
      </c>
      <c r="AK78" s="91" t="str">
        <f t="shared" si="541"/>
        <v/>
      </c>
      <c r="AL78" s="86"/>
      <c r="AM78" s="91" t="str">
        <f t="shared" si="439"/>
        <v/>
      </c>
      <c r="AN78" s="91" t="str">
        <f t="shared" si="542"/>
        <v/>
      </c>
      <c r="AO78" s="86"/>
      <c r="AP78" s="91" t="str">
        <f t="shared" si="440"/>
        <v/>
      </c>
      <c r="AQ78" s="91" t="str">
        <f t="shared" si="543"/>
        <v/>
      </c>
      <c r="AR78" s="86"/>
      <c r="AS78" s="91" t="str">
        <f t="shared" si="441"/>
        <v/>
      </c>
      <c r="AT78" s="91" t="str">
        <f t="shared" si="544"/>
        <v/>
      </c>
      <c r="AU78" s="86"/>
      <c r="AV78" s="91" t="str">
        <f t="shared" si="442"/>
        <v/>
      </c>
      <c r="AW78" s="91" t="str">
        <f t="shared" si="545"/>
        <v/>
      </c>
      <c r="AX78" s="86"/>
      <c r="AY78" s="91" t="str">
        <f t="shared" si="443"/>
        <v/>
      </c>
      <c r="AZ78" s="91" t="str">
        <f t="shared" si="546"/>
        <v/>
      </c>
      <c r="BA78" s="86"/>
      <c r="BB78" s="91" t="str">
        <f t="shared" si="444"/>
        <v/>
      </c>
      <c r="BC78" s="91" t="str">
        <f t="shared" si="547"/>
        <v/>
      </c>
      <c r="BD78" s="86"/>
      <c r="BE78" s="91" t="str">
        <f t="shared" si="445"/>
        <v/>
      </c>
      <c r="BF78" s="91" t="str">
        <f t="shared" si="548"/>
        <v/>
      </c>
      <c r="BG78" s="86"/>
      <c r="BH78" s="91" t="str">
        <f t="shared" si="446"/>
        <v/>
      </c>
      <c r="BI78" s="91" t="str">
        <f t="shared" si="549"/>
        <v/>
      </c>
      <c r="BJ78" s="86"/>
      <c r="BK78" s="91" t="str">
        <f t="shared" si="447"/>
        <v/>
      </c>
      <c r="BL78" s="91" t="str">
        <f t="shared" si="550"/>
        <v/>
      </c>
      <c r="BM78" s="86"/>
      <c r="BN78" s="91" t="str">
        <f t="shared" si="448"/>
        <v/>
      </c>
      <c r="BO78" s="91" t="str">
        <f t="shared" si="551"/>
        <v/>
      </c>
      <c r="BP78" s="51"/>
      <c r="BQ78" s="91" t="str">
        <f t="shared" si="449"/>
        <v/>
      </c>
      <c r="BR78" s="91" t="str">
        <f t="shared" si="552"/>
        <v/>
      </c>
      <c r="BS78" s="86"/>
      <c r="BT78" s="91" t="str">
        <f t="shared" si="450"/>
        <v/>
      </c>
      <c r="BU78" s="91" t="str">
        <f t="shared" si="553"/>
        <v/>
      </c>
      <c r="BV78" s="86"/>
      <c r="BW78" s="91" t="str">
        <f t="shared" si="451"/>
        <v/>
      </c>
      <c r="BX78" s="91" t="str">
        <f t="shared" si="554"/>
        <v/>
      </c>
      <c r="BY78" s="86"/>
      <c r="BZ78" s="91" t="str">
        <f t="shared" si="452"/>
        <v/>
      </c>
      <c r="CA78" s="91" t="str">
        <f t="shared" si="555"/>
        <v/>
      </c>
      <c r="CB78" s="86"/>
      <c r="CC78" s="91" t="str">
        <f t="shared" si="453"/>
        <v/>
      </c>
      <c r="CD78" s="91" t="str">
        <f t="shared" si="556"/>
        <v/>
      </c>
      <c r="CE78" s="86"/>
      <c r="CF78" s="91" t="str">
        <f t="shared" si="454"/>
        <v/>
      </c>
      <c r="CG78" s="91" t="str">
        <f t="shared" si="557"/>
        <v/>
      </c>
      <c r="CH78" s="86"/>
      <c r="CI78" s="91" t="str">
        <f t="shared" si="455"/>
        <v/>
      </c>
      <c r="CJ78" s="91" t="str">
        <f t="shared" si="558"/>
        <v/>
      </c>
      <c r="CK78" s="86"/>
      <c r="CL78" s="91" t="str">
        <f t="shared" si="456"/>
        <v/>
      </c>
      <c r="CM78" s="91" t="str">
        <f t="shared" si="559"/>
        <v/>
      </c>
      <c r="CN78" s="86"/>
      <c r="CO78" s="91" t="str">
        <f t="shared" si="457"/>
        <v/>
      </c>
      <c r="CP78" s="91" t="str">
        <f t="shared" si="560"/>
        <v/>
      </c>
      <c r="CQ78" s="86"/>
      <c r="CR78" s="91" t="str">
        <f t="shared" si="458"/>
        <v/>
      </c>
      <c r="CS78" s="91" t="str">
        <f t="shared" si="561"/>
        <v/>
      </c>
      <c r="CT78" s="86"/>
      <c r="CU78" s="91" t="str">
        <f t="shared" si="459"/>
        <v/>
      </c>
      <c r="CV78" s="91" t="str">
        <f t="shared" si="562"/>
        <v/>
      </c>
      <c r="CW78" s="86"/>
      <c r="CX78" s="91" t="str">
        <f t="shared" si="460"/>
        <v/>
      </c>
      <c r="CY78" s="91" t="str">
        <f t="shared" si="563"/>
        <v/>
      </c>
      <c r="CZ78" s="86"/>
      <c r="DA78" s="91" t="str">
        <f t="shared" si="461"/>
        <v/>
      </c>
      <c r="DB78" s="91" t="str">
        <f t="shared" si="564"/>
        <v/>
      </c>
      <c r="DC78" s="86"/>
      <c r="DD78" s="91" t="str">
        <f t="shared" si="462"/>
        <v/>
      </c>
      <c r="DE78" s="91" t="str">
        <f t="shared" si="565"/>
        <v/>
      </c>
      <c r="DF78" s="86"/>
      <c r="DG78" s="91"/>
      <c r="DH78" s="91" t="str">
        <f t="shared" si="566"/>
        <v/>
      </c>
      <c r="DI78" s="86"/>
      <c r="DJ78" s="91" t="str">
        <f t="shared" si="463"/>
        <v/>
      </c>
      <c r="DK78" s="91" t="str">
        <f t="shared" si="567"/>
        <v/>
      </c>
      <c r="DL78" s="86"/>
      <c r="DM78" s="91" t="str">
        <f t="shared" si="464"/>
        <v/>
      </c>
      <c r="DN78" s="91" t="str">
        <f t="shared" si="568"/>
        <v/>
      </c>
      <c r="DO78" s="86"/>
      <c r="DP78" s="91" t="str">
        <f t="shared" si="465"/>
        <v/>
      </c>
      <c r="DQ78" s="91" t="str">
        <f t="shared" si="569"/>
        <v/>
      </c>
      <c r="DR78" s="86"/>
      <c r="DS78" s="91" t="str">
        <f t="shared" si="466"/>
        <v/>
      </c>
      <c r="DT78" s="91" t="str">
        <f t="shared" si="570"/>
        <v/>
      </c>
      <c r="DU78" s="86"/>
      <c r="DV78" s="91" t="str">
        <f t="shared" si="467"/>
        <v/>
      </c>
      <c r="DW78" s="91" t="str">
        <f t="shared" si="571"/>
        <v/>
      </c>
      <c r="DX78" s="86"/>
      <c r="DY78" s="91" t="str">
        <f t="shared" si="468"/>
        <v/>
      </c>
      <c r="DZ78" s="91" t="str">
        <f t="shared" si="572"/>
        <v/>
      </c>
      <c r="EA78" s="86"/>
      <c r="EB78" s="91" t="str">
        <f t="shared" si="469"/>
        <v/>
      </c>
      <c r="EC78" s="91" t="str">
        <f t="shared" si="573"/>
        <v/>
      </c>
      <c r="ED78" s="86"/>
      <c r="EE78" s="91" t="str">
        <f t="shared" si="470"/>
        <v/>
      </c>
      <c r="EF78" s="91" t="str">
        <f t="shared" si="574"/>
        <v/>
      </c>
      <c r="EG78" s="86"/>
      <c r="EH78" s="91" t="str">
        <f t="shared" si="471"/>
        <v/>
      </c>
      <c r="EI78" s="91" t="str">
        <f t="shared" si="575"/>
        <v/>
      </c>
      <c r="EJ78" s="86"/>
      <c r="EK78" s="91" t="str">
        <f t="shared" si="472"/>
        <v/>
      </c>
      <c r="EL78" s="91" t="str">
        <f t="shared" si="576"/>
        <v/>
      </c>
      <c r="EM78" s="86"/>
      <c r="EN78" s="91" t="str">
        <f t="shared" si="473"/>
        <v/>
      </c>
      <c r="EO78" s="91" t="str">
        <f t="shared" si="577"/>
        <v/>
      </c>
      <c r="EP78" s="86"/>
      <c r="EQ78" s="91" t="str">
        <f t="shared" si="474"/>
        <v/>
      </c>
      <c r="ER78" s="91" t="str">
        <f t="shared" si="578"/>
        <v/>
      </c>
      <c r="ES78" s="51"/>
      <c r="ET78" s="91" t="str">
        <f t="shared" si="475"/>
        <v/>
      </c>
      <c r="EU78" s="91" t="str">
        <f t="shared" si="579"/>
        <v/>
      </c>
      <c r="EV78" s="86"/>
      <c r="EW78" s="91" t="str">
        <f t="shared" si="476"/>
        <v/>
      </c>
      <c r="EX78" s="91" t="str">
        <f t="shared" si="580"/>
        <v/>
      </c>
      <c r="EY78" s="86"/>
      <c r="EZ78" s="91" t="str">
        <f t="shared" si="477"/>
        <v/>
      </c>
      <c r="FA78" s="91" t="str">
        <f t="shared" si="581"/>
        <v/>
      </c>
      <c r="FB78" s="86"/>
      <c r="FC78" s="91" t="str">
        <f t="shared" si="478"/>
        <v/>
      </c>
      <c r="FD78" s="91" t="str">
        <f t="shared" si="582"/>
        <v/>
      </c>
      <c r="FE78" s="86"/>
      <c r="FF78" s="91" t="str">
        <f t="shared" si="479"/>
        <v/>
      </c>
      <c r="FG78" s="91" t="str">
        <f t="shared" si="583"/>
        <v/>
      </c>
      <c r="FH78" s="86"/>
      <c r="FI78" s="91" t="str">
        <f t="shared" si="480"/>
        <v/>
      </c>
      <c r="FJ78" s="91" t="str">
        <f t="shared" si="584"/>
        <v/>
      </c>
      <c r="FK78" s="86"/>
      <c r="FL78" s="91" t="str">
        <f t="shared" si="481"/>
        <v/>
      </c>
      <c r="FM78" s="91" t="str">
        <f t="shared" si="585"/>
        <v/>
      </c>
      <c r="FN78" s="86"/>
      <c r="FO78" s="91" t="str">
        <f t="shared" si="482"/>
        <v/>
      </c>
      <c r="FP78" s="91" t="str">
        <f t="shared" si="586"/>
        <v/>
      </c>
      <c r="FQ78" s="86"/>
      <c r="FR78" s="91" t="str">
        <f t="shared" si="483"/>
        <v/>
      </c>
      <c r="FS78" s="91" t="str">
        <f t="shared" si="587"/>
        <v/>
      </c>
      <c r="FT78" s="86"/>
      <c r="FU78" s="91" t="str">
        <f t="shared" si="484"/>
        <v/>
      </c>
      <c r="FV78" s="91" t="str">
        <f t="shared" si="588"/>
        <v/>
      </c>
      <c r="FW78" s="92"/>
      <c r="FX78" s="91" t="str">
        <f t="shared" si="485"/>
        <v/>
      </c>
      <c r="FY78" s="91" t="str">
        <f t="shared" si="589"/>
        <v/>
      </c>
      <c r="FZ78" s="86"/>
      <c r="GA78" s="91" t="str">
        <f t="shared" si="486"/>
        <v/>
      </c>
      <c r="GB78" s="91" t="str">
        <f t="shared" si="590"/>
        <v/>
      </c>
      <c r="GC78" s="86"/>
      <c r="GD78" s="91" t="str">
        <f t="shared" si="487"/>
        <v/>
      </c>
      <c r="GE78" s="91" t="str">
        <f t="shared" si="591"/>
        <v/>
      </c>
      <c r="GF78" s="86"/>
      <c r="GG78" s="91" t="str">
        <f t="shared" si="488"/>
        <v/>
      </c>
      <c r="GH78" s="91" t="str">
        <f t="shared" si="592"/>
        <v/>
      </c>
      <c r="GI78" s="86"/>
      <c r="GJ78" s="91" t="str">
        <f t="shared" si="489"/>
        <v/>
      </c>
      <c r="GK78" s="91" t="str">
        <f t="shared" si="593"/>
        <v/>
      </c>
      <c r="GL78" s="86"/>
      <c r="GM78" s="91" t="str">
        <f t="shared" si="490"/>
        <v/>
      </c>
      <c r="GN78" s="91" t="str">
        <f t="shared" si="594"/>
        <v/>
      </c>
      <c r="GO78" s="86"/>
      <c r="GP78" s="91" t="str">
        <f t="shared" si="491"/>
        <v/>
      </c>
      <c r="GQ78" s="91" t="str">
        <f t="shared" si="595"/>
        <v/>
      </c>
      <c r="GR78" s="86"/>
      <c r="GS78" s="91" t="str">
        <f t="shared" si="492"/>
        <v/>
      </c>
      <c r="GT78" s="91" t="str">
        <f t="shared" si="596"/>
        <v/>
      </c>
      <c r="GU78" s="86"/>
      <c r="GV78" s="91" t="str">
        <f t="shared" si="493"/>
        <v/>
      </c>
      <c r="GW78" s="91" t="str">
        <f t="shared" si="597"/>
        <v/>
      </c>
      <c r="GX78" s="86"/>
      <c r="GY78" s="91" t="str">
        <f t="shared" si="494"/>
        <v/>
      </c>
      <c r="GZ78" s="91" t="str">
        <f t="shared" si="598"/>
        <v/>
      </c>
      <c r="HA78" s="86"/>
      <c r="HB78" s="91" t="str">
        <f t="shared" si="495"/>
        <v/>
      </c>
      <c r="HC78" s="91" t="str">
        <f t="shared" si="599"/>
        <v/>
      </c>
      <c r="HD78" s="86"/>
      <c r="HE78" s="91" t="str">
        <f t="shared" si="496"/>
        <v/>
      </c>
      <c r="HF78" s="91" t="str">
        <f t="shared" si="600"/>
        <v/>
      </c>
      <c r="HG78" s="86"/>
      <c r="HH78" s="91" t="str">
        <f t="shared" si="497"/>
        <v/>
      </c>
      <c r="HI78" s="91" t="str">
        <f t="shared" si="601"/>
        <v/>
      </c>
      <c r="HJ78" s="86"/>
      <c r="HK78" s="91" t="str">
        <f t="shared" si="498"/>
        <v/>
      </c>
      <c r="HL78" s="91" t="str">
        <f t="shared" si="602"/>
        <v/>
      </c>
      <c r="HM78" s="86"/>
      <c r="HN78" s="91" t="str">
        <f t="shared" si="499"/>
        <v/>
      </c>
      <c r="HO78" s="91" t="str">
        <f t="shared" si="603"/>
        <v/>
      </c>
      <c r="HP78" s="86"/>
      <c r="HQ78" s="91" t="str">
        <f t="shared" si="500"/>
        <v/>
      </c>
      <c r="HR78" s="91" t="str">
        <f t="shared" si="604"/>
        <v/>
      </c>
      <c r="HS78" s="86"/>
      <c r="HT78" s="91" t="str">
        <f t="shared" si="501"/>
        <v/>
      </c>
      <c r="HU78" s="91" t="str">
        <f t="shared" si="605"/>
        <v/>
      </c>
      <c r="HV78" s="86"/>
      <c r="HW78" s="91" t="str">
        <f t="shared" si="502"/>
        <v/>
      </c>
      <c r="HX78" s="91" t="str">
        <f t="shared" si="606"/>
        <v/>
      </c>
      <c r="HY78" s="86"/>
      <c r="HZ78" s="91" t="str">
        <f t="shared" si="503"/>
        <v/>
      </c>
      <c r="IA78" s="91" t="str">
        <f t="shared" si="607"/>
        <v/>
      </c>
      <c r="IB78" s="86"/>
      <c r="IC78" s="91" t="str">
        <f t="shared" si="504"/>
        <v/>
      </c>
      <c r="ID78" s="91" t="str">
        <f t="shared" si="608"/>
        <v/>
      </c>
      <c r="IE78" s="86"/>
      <c r="IF78" s="91" t="str">
        <f t="shared" si="505"/>
        <v/>
      </c>
      <c r="IG78" s="91" t="str">
        <f t="shared" si="609"/>
        <v/>
      </c>
      <c r="IH78" s="86"/>
      <c r="II78" s="91" t="str">
        <f t="shared" si="506"/>
        <v/>
      </c>
      <c r="IJ78" s="91" t="str">
        <f t="shared" si="610"/>
        <v/>
      </c>
      <c r="IK78" s="86"/>
      <c r="IL78" s="91" t="str">
        <f t="shared" si="507"/>
        <v/>
      </c>
      <c r="IM78" s="91" t="str">
        <f t="shared" si="611"/>
        <v/>
      </c>
      <c r="IN78" s="86"/>
      <c r="IO78" s="91" t="str">
        <f t="shared" si="508"/>
        <v/>
      </c>
      <c r="IP78" s="91" t="str">
        <f t="shared" si="612"/>
        <v/>
      </c>
      <c r="IQ78" s="86"/>
      <c r="IR78" s="91" t="str">
        <f t="shared" si="509"/>
        <v/>
      </c>
      <c r="IS78" s="91" t="str">
        <f t="shared" si="613"/>
        <v/>
      </c>
      <c r="IT78" s="86"/>
      <c r="IU78" s="91" t="str">
        <f t="shared" si="510"/>
        <v/>
      </c>
      <c r="IV78" s="91" t="str">
        <f t="shared" si="614"/>
        <v/>
      </c>
      <c r="IW78" s="86"/>
      <c r="IX78" s="91" t="str">
        <f t="shared" si="511"/>
        <v/>
      </c>
      <c r="IY78" s="91" t="str">
        <f t="shared" si="615"/>
        <v/>
      </c>
      <c r="IZ78" s="86"/>
      <c r="JA78" s="91" t="str">
        <f t="shared" si="512"/>
        <v/>
      </c>
      <c r="JB78" s="91" t="str">
        <f t="shared" si="616"/>
        <v/>
      </c>
      <c r="JC78" s="86"/>
      <c r="JD78" s="91" t="str">
        <f t="shared" si="513"/>
        <v/>
      </c>
      <c r="JE78" s="91" t="str">
        <f t="shared" si="617"/>
        <v/>
      </c>
      <c r="JF78" s="86"/>
      <c r="JG78" s="91" t="str">
        <f t="shared" si="514"/>
        <v/>
      </c>
      <c r="JH78" s="91" t="str">
        <f t="shared" si="618"/>
        <v/>
      </c>
      <c r="JI78" s="86"/>
      <c r="JJ78" s="91" t="str">
        <f t="shared" si="515"/>
        <v/>
      </c>
      <c r="JK78" s="91" t="str">
        <f t="shared" si="619"/>
        <v/>
      </c>
      <c r="JL78" s="86"/>
      <c r="JM78" s="91" t="str">
        <f t="shared" si="516"/>
        <v/>
      </c>
      <c r="JN78" s="91" t="str">
        <f t="shared" si="620"/>
        <v/>
      </c>
      <c r="JO78" s="86"/>
      <c r="JP78" s="91" t="str">
        <f t="shared" si="517"/>
        <v/>
      </c>
      <c r="JQ78" s="91" t="str">
        <f t="shared" si="621"/>
        <v/>
      </c>
      <c r="JR78" s="86"/>
      <c r="JS78" s="91" t="str">
        <f t="shared" si="518"/>
        <v/>
      </c>
      <c r="JT78" s="91" t="str">
        <f t="shared" si="622"/>
        <v/>
      </c>
      <c r="JU78" s="86"/>
      <c r="JV78" s="91" t="str">
        <f t="shared" si="519"/>
        <v/>
      </c>
      <c r="JW78" s="91" t="str">
        <f t="shared" si="623"/>
        <v/>
      </c>
      <c r="JX78" s="86"/>
      <c r="JY78" s="91" t="str">
        <f t="shared" si="520"/>
        <v/>
      </c>
      <c r="JZ78" s="91" t="str">
        <f t="shared" si="624"/>
        <v/>
      </c>
      <c r="KA78" s="86"/>
      <c r="KB78" s="91" t="str">
        <f t="shared" si="521"/>
        <v/>
      </c>
      <c r="KC78" s="91" t="str">
        <f t="shared" si="625"/>
        <v/>
      </c>
      <c r="KD78" s="86"/>
      <c r="KE78" s="91" t="str">
        <f t="shared" si="522"/>
        <v/>
      </c>
      <c r="KF78" s="91" t="str">
        <f t="shared" si="626"/>
        <v/>
      </c>
      <c r="KG78" s="86"/>
      <c r="KH78" s="91" t="str">
        <f t="shared" si="523"/>
        <v/>
      </c>
      <c r="KI78" s="91" t="str">
        <f t="shared" si="627"/>
        <v/>
      </c>
      <c r="KJ78" s="86"/>
      <c r="KK78" s="91" t="str">
        <f t="shared" si="524"/>
        <v/>
      </c>
      <c r="KL78" s="91" t="str">
        <f t="shared" si="628"/>
        <v/>
      </c>
      <c r="KM78" s="86"/>
      <c r="KN78" s="91" t="str">
        <f t="shared" si="525"/>
        <v/>
      </c>
      <c r="KO78" s="91" t="str">
        <f t="shared" si="629"/>
        <v/>
      </c>
      <c r="KP78" s="86"/>
      <c r="KQ78" s="91" t="str">
        <f t="shared" si="526"/>
        <v/>
      </c>
      <c r="KR78" s="91" t="str">
        <f t="shared" si="630"/>
        <v/>
      </c>
      <c r="KS78" s="86"/>
      <c r="KT78" s="91" t="str">
        <f t="shared" si="527"/>
        <v/>
      </c>
      <c r="KU78" s="91" t="str">
        <f t="shared" si="631"/>
        <v/>
      </c>
      <c r="KV78" s="86"/>
      <c r="KW78" s="91" t="str">
        <f t="shared" si="528"/>
        <v/>
      </c>
      <c r="KX78" s="91" t="str">
        <f t="shared" si="632"/>
        <v/>
      </c>
      <c r="KY78" s="92"/>
      <c r="KZ78" s="91" t="str">
        <f t="shared" si="529"/>
        <v/>
      </c>
      <c r="LA78" s="91" t="str">
        <f t="shared" si="633"/>
        <v/>
      </c>
      <c r="LB78" s="106" t="str">
        <f t="shared" si="430"/>
        <v/>
      </c>
      <c r="LC78" s="108" t="str">
        <f t="shared" si="634"/>
        <v/>
      </c>
      <c r="LD78" s="106" t="str">
        <f t="shared" si="635"/>
        <v/>
      </c>
      <c r="LE78" s="108" t="str">
        <f t="shared" si="636"/>
        <v/>
      </c>
      <c r="LF78" s="106" t="str">
        <f t="shared" si="637"/>
        <v/>
      </c>
      <c r="LG78" s="108" t="str">
        <f t="shared" si="638"/>
        <v/>
      </c>
      <c r="LH78" s="109" t="str">
        <f t="shared" si="530"/>
        <v/>
      </c>
      <c r="LI78" s="109" t="str">
        <f t="shared" si="531"/>
        <v/>
      </c>
      <c r="LJ78" s="109" t="str">
        <f t="shared" si="532"/>
        <v/>
      </c>
      <c r="LK78" s="109" t="str">
        <f t="shared" si="639"/>
        <v/>
      </c>
      <c r="LL78" s="111" t="str">
        <f t="shared" si="640"/>
        <v/>
      </c>
      <c r="LM78" s="64"/>
      <c r="LN78" s="112" t="str">
        <f t="shared" si="644"/>
        <v/>
      </c>
      <c r="LO78" s="113" t="str">
        <f t="shared" si="641"/>
        <v/>
      </c>
      <c r="LP78" s="64"/>
      <c r="LQ78" s="64"/>
      <c r="LR78" s="64"/>
    </row>
    <row r="79" spans="1:334" s="62" customFormat="1" ht="15" customHeight="1">
      <c r="A79" s="106">
        <f t="shared" si="642"/>
        <v>0</v>
      </c>
      <c r="B79" s="106">
        <f t="shared" si="643"/>
        <v>0</v>
      </c>
      <c r="C79" s="51"/>
      <c r="D79" s="52"/>
      <c r="E79" s="53"/>
      <c r="F79" s="53"/>
      <c r="G79" s="53"/>
      <c r="H79" s="53"/>
      <c r="I79" s="53"/>
      <c r="J79" s="53"/>
      <c r="K79" s="53"/>
      <c r="L79" s="53"/>
      <c r="M79" s="107" t="s">
        <v>35</v>
      </c>
      <c r="N79" s="86"/>
      <c r="O79" s="91" t="str">
        <f t="shared" si="431"/>
        <v/>
      </c>
      <c r="P79" s="91" t="str">
        <f t="shared" si="534"/>
        <v/>
      </c>
      <c r="Q79" s="86"/>
      <c r="R79" s="91" t="str">
        <f t="shared" si="432"/>
        <v/>
      </c>
      <c r="S79" s="91" t="str">
        <f t="shared" si="535"/>
        <v/>
      </c>
      <c r="T79" s="86"/>
      <c r="U79" s="91" t="str">
        <f t="shared" si="433"/>
        <v/>
      </c>
      <c r="V79" s="91" t="str">
        <f t="shared" si="536"/>
        <v/>
      </c>
      <c r="W79" s="86"/>
      <c r="X79" s="91" t="str">
        <f t="shared" si="434"/>
        <v/>
      </c>
      <c r="Y79" s="91" t="str">
        <f t="shared" si="537"/>
        <v/>
      </c>
      <c r="Z79" s="86"/>
      <c r="AA79" s="91" t="str">
        <f t="shared" si="435"/>
        <v/>
      </c>
      <c r="AB79" s="91" t="str">
        <f t="shared" si="538"/>
        <v/>
      </c>
      <c r="AC79" s="86"/>
      <c r="AD79" s="91" t="str">
        <f t="shared" si="436"/>
        <v/>
      </c>
      <c r="AE79" s="91" t="str">
        <f t="shared" si="539"/>
        <v/>
      </c>
      <c r="AF79" s="86"/>
      <c r="AG79" s="91" t="str">
        <f t="shared" si="437"/>
        <v/>
      </c>
      <c r="AH79" s="91" t="str">
        <f t="shared" si="540"/>
        <v/>
      </c>
      <c r="AI79" s="86"/>
      <c r="AJ79" s="91" t="str">
        <f t="shared" si="438"/>
        <v/>
      </c>
      <c r="AK79" s="91" t="str">
        <f t="shared" si="541"/>
        <v/>
      </c>
      <c r="AL79" s="86"/>
      <c r="AM79" s="91" t="str">
        <f t="shared" si="439"/>
        <v/>
      </c>
      <c r="AN79" s="91" t="str">
        <f t="shared" si="542"/>
        <v/>
      </c>
      <c r="AO79" s="86"/>
      <c r="AP79" s="91" t="str">
        <f t="shared" si="440"/>
        <v/>
      </c>
      <c r="AQ79" s="91" t="str">
        <f t="shared" si="543"/>
        <v/>
      </c>
      <c r="AR79" s="86"/>
      <c r="AS79" s="91" t="str">
        <f t="shared" si="441"/>
        <v/>
      </c>
      <c r="AT79" s="91" t="str">
        <f t="shared" si="544"/>
        <v/>
      </c>
      <c r="AU79" s="86"/>
      <c r="AV79" s="91" t="str">
        <f t="shared" si="442"/>
        <v/>
      </c>
      <c r="AW79" s="91" t="str">
        <f t="shared" si="545"/>
        <v/>
      </c>
      <c r="AX79" s="86"/>
      <c r="AY79" s="91" t="str">
        <f t="shared" si="443"/>
        <v/>
      </c>
      <c r="AZ79" s="91" t="str">
        <f t="shared" si="546"/>
        <v/>
      </c>
      <c r="BA79" s="86"/>
      <c r="BB79" s="91" t="str">
        <f t="shared" si="444"/>
        <v/>
      </c>
      <c r="BC79" s="91" t="str">
        <f t="shared" si="547"/>
        <v/>
      </c>
      <c r="BD79" s="86"/>
      <c r="BE79" s="91" t="str">
        <f t="shared" si="445"/>
        <v/>
      </c>
      <c r="BF79" s="91" t="str">
        <f t="shared" si="548"/>
        <v/>
      </c>
      <c r="BG79" s="86"/>
      <c r="BH79" s="91" t="str">
        <f t="shared" si="446"/>
        <v/>
      </c>
      <c r="BI79" s="91" t="str">
        <f t="shared" si="549"/>
        <v/>
      </c>
      <c r="BJ79" s="86"/>
      <c r="BK79" s="91" t="str">
        <f t="shared" si="447"/>
        <v/>
      </c>
      <c r="BL79" s="91" t="str">
        <f t="shared" si="550"/>
        <v/>
      </c>
      <c r="BM79" s="86"/>
      <c r="BN79" s="91" t="str">
        <f t="shared" si="448"/>
        <v/>
      </c>
      <c r="BO79" s="91" t="str">
        <f t="shared" si="551"/>
        <v/>
      </c>
      <c r="BP79" s="51"/>
      <c r="BQ79" s="91" t="str">
        <f t="shared" si="449"/>
        <v/>
      </c>
      <c r="BR79" s="91" t="str">
        <f t="shared" si="552"/>
        <v/>
      </c>
      <c r="BS79" s="86"/>
      <c r="BT79" s="91" t="str">
        <f t="shared" si="450"/>
        <v/>
      </c>
      <c r="BU79" s="91" t="str">
        <f t="shared" si="553"/>
        <v/>
      </c>
      <c r="BV79" s="86"/>
      <c r="BW79" s="91" t="str">
        <f t="shared" si="451"/>
        <v/>
      </c>
      <c r="BX79" s="91" t="str">
        <f t="shared" si="554"/>
        <v/>
      </c>
      <c r="BY79" s="86"/>
      <c r="BZ79" s="91" t="str">
        <f t="shared" si="452"/>
        <v/>
      </c>
      <c r="CA79" s="91" t="str">
        <f t="shared" si="555"/>
        <v/>
      </c>
      <c r="CB79" s="86"/>
      <c r="CC79" s="91" t="str">
        <f t="shared" si="453"/>
        <v/>
      </c>
      <c r="CD79" s="91" t="str">
        <f t="shared" si="556"/>
        <v/>
      </c>
      <c r="CE79" s="86"/>
      <c r="CF79" s="91" t="str">
        <f t="shared" si="454"/>
        <v/>
      </c>
      <c r="CG79" s="91" t="str">
        <f t="shared" si="557"/>
        <v/>
      </c>
      <c r="CH79" s="86"/>
      <c r="CI79" s="91" t="str">
        <f t="shared" si="455"/>
        <v/>
      </c>
      <c r="CJ79" s="91" t="str">
        <f t="shared" si="558"/>
        <v/>
      </c>
      <c r="CK79" s="86"/>
      <c r="CL79" s="91" t="str">
        <f t="shared" si="456"/>
        <v/>
      </c>
      <c r="CM79" s="91" t="str">
        <f t="shared" si="559"/>
        <v/>
      </c>
      <c r="CN79" s="86"/>
      <c r="CO79" s="91" t="str">
        <f t="shared" si="457"/>
        <v/>
      </c>
      <c r="CP79" s="91" t="str">
        <f t="shared" si="560"/>
        <v/>
      </c>
      <c r="CQ79" s="86"/>
      <c r="CR79" s="91" t="str">
        <f t="shared" si="458"/>
        <v/>
      </c>
      <c r="CS79" s="91" t="str">
        <f t="shared" si="561"/>
        <v/>
      </c>
      <c r="CT79" s="86"/>
      <c r="CU79" s="91" t="str">
        <f t="shared" si="459"/>
        <v/>
      </c>
      <c r="CV79" s="91" t="str">
        <f t="shared" si="562"/>
        <v/>
      </c>
      <c r="CW79" s="86"/>
      <c r="CX79" s="91" t="str">
        <f t="shared" si="460"/>
        <v/>
      </c>
      <c r="CY79" s="91" t="str">
        <f t="shared" si="563"/>
        <v/>
      </c>
      <c r="CZ79" s="86"/>
      <c r="DA79" s="91" t="str">
        <f t="shared" si="461"/>
        <v/>
      </c>
      <c r="DB79" s="91" t="str">
        <f t="shared" si="564"/>
        <v/>
      </c>
      <c r="DC79" s="86"/>
      <c r="DD79" s="91" t="str">
        <f t="shared" si="462"/>
        <v/>
      </c>
      <c r="DE79" s="91" t="str">
        <f t="shared" si="565"/>
        <v/>
      </c>
      <c r="DF79" s="86"/>
      <c r="DG79" s="91"/>
      <c r="DH79" s="91" t="str">
        <f t="shared" si="566"/>
        <v/>
      </c>
      <c r="DI79" s="86"/>
      <c r="DJ79" s="91" t="str">
        <f t="shared" si="463"/>
        <v/>
      </c>
      <c r="DK79" s="91" t="str">
        <f t="shared" si="567"/>
        <v/>
      </c>
      <c r="DL79" s="86"/>
      <c r="DM79" s="91" t="str">
        <f t="shared" si="464"/>
        <v/>
      </c>
      <c r="DN79" s="91" t="str">
        <f t="shared" si="568"/>
        <v/>
      </c>
      <c r="DO79" s="86"/>
      <c r="DP79" s="91" t="str">
        <f t="shared" si="465"/>
        <v/>
      </c>
      <c r="DQ79" s="91" t="str">
        <f t="shared" si="569"/>
        <v/>
      </c>
      <c r="DR79" s="86"/>
      <c r="DS79" s="91" t="str">
        <f t="shared" si="466"/>
        <v/>
      </c>
      <c r="DT79" s="91" t="str">
        <f t="shared" si="570"/>
        <v/>
      </c>
      <c r="DU79" s="86"/>
      <c r="DV79" s="91" t="str">
        <f t="shared" si="467"/>
        <v/>
      </c>
      <c r="DW79" s="91" t="str">
        <f t="shared" si="571"/>
        <v/>
      </c>
      <c r="DX79" s="86"/>
      <c r="DY79" s="91" t="str">
        <f t="shared" si="468"/>
        <v/>
      </c>
      <c r="DZ79" s="91" t="str">
        <f t="shared" si="572"/>
        <v/>
      </c>
      <c r="EA79" s="86"/>
      <c r="EB79" s="91" t="str">
        <f t="shared" si="469"/>
        <v/>
      </c>
      <c r="EC79" s="91" t="str">
        <f t="shared" si="573"/>
        <v/>
      </c>
      <c r="ED79" s="86"/>
      <c r="EE79" s="91" t="str">
        <f t="shared" si="470"/>
        <v/>
      </c>
      <c r="EF79" s="91" t="str">
        <f t="shared" si="574"/>
        <v/>
      </c>
      <c r="EG79" s="86"/>
      <c r="EH79" s="91" t="str">
        <f t="shared" si="471"/>
        <v/>
      </c>
      <c r="EI79" s="91" t="str">
        <f t="shared" si="575"/>
        <v/>
      </c>
      <c r="EJ79" s="86"/>
      <c r="EK79" s="91" t="str">
        <f t="shared" si="472"/>
        <v/>
      </c>
      <c r="EL79" s="91" t="str">
        <f t="shared" si="576"/>
        <v/>
      </c>
      <c r="EM79" s="86"/>
      <c r="EN79" s="91" t="str">
        <f t="shared" si="473"/>
        <v/>
      </c>
      <c r="EO79" s="91" t="str">
        <f t="shared" si="577"/>
        <v/>
      </c>
      <c r="EP79" s="86"/>
      <c r="EQ79" s="91" t="str">
        <f t="shared" si="474"/>
        <v/>
      </c>
      <c r="ER79" s="91" t="str">
        <f t="shared" si="578"/>
        <v/>
      </c>
      <c r="ES79" s="51"/>
      <c r="ET79" s="91" t="str">
        <f t="shared" si="475"/>
        <v/>
      </c>
      <c r="EU79" s="91" t="str">
        <f t="shared" si="579"/>
        <v/>
      </c>
      <c r="EV79" s="86"/>
      <c r="EW79" s="91" t="str">
        <f t="shared" si="476"/>
        <v/>
      </c>
      <c r="EX79" s="91" t="str">
        <f t="shared" si="580"/>
        <v/>
      </c>
      <c r="EY79" s="86"/>
      <c r="EZ79" s="91" t="str">
        <f t="shared" si="477"/>
        <v/>
      </c>
      <c r="FA79" s="91" t="str">
        <f t="shared" si="581"/>
        <v/>
      </c>
      <c r="FB79" s="86"/>
      <c r="FC79" s="91" t="str">
        <f t="shared" si="478"/>
        <v/>
      </c>
      <c r="FD79" s="91" t="str">
        <f t="shared" si="582"/>
        <v/>
      </c>
      <c r="FE79" s="86"/>
      <c r="FF79" s="91" t="str">
        <f t="shared" si="479"/>
        <v/>
      </c>
      <c r="FG79" s="91" t="str">
        <f t="shared" si="583"/>
        <v/>
      </c>
      <c r="FH79" s="86"/>
      <c r="FI79" s="91" t="str">
        <f t="shared" si="480"/>
        <v/>
      </c>
      <c r="FJ79" s="91" t="str">
        <f t="shared" si="584"/>
        <v/>
      </c>
      <c r="FK79" s="86"/>
      <c r="FL79" s="91" t="str">
        <f t="shared" si="481"/>
        <v/>
      </c>
      <c r="FM79" s="91" t="str">
        <f t="shared" si="585"/>
        <v/>
      </c>
      <c r="FN79" s="86"/>
      <c r="FO79" s="91" t="str">
        <f t="shared" si="482"/>
        <v/>
      </c>
      <c r="FP79" s="91" t="str">
        <f t="shared" si="586"/>
        <v/>
      </c>
      <c r="FQ79" s="86"/>
      <c r="FR79" s="91" t="str">
        <f t="shared" si="483"/>
        <v/>
      </c>
      <c r="FS79" s="91" t="str">
        <f t="shared" si="587"/>
        <v/>
      </c>
      <c r="FT79" s="86"/>
      <c r="FU79" s="91" t="str">
        <f t="shared" si="484"/>
        <v/>
      </c>
      <c r="FV79" s="91" t="str">
        <f t="shared" si="588"/>
        <v/>
      </c>
      <c r="FW79" s="92"/>
      <c r="FX79" s="91" t="str">
        <f t="shared" si="485"/>
        <v/>
      </c>
      <c r="FY79" s="91" t="str">
        <f t="shared" si="589"/>
        <v/>
      </c>
      <c r="FZ79" s="86"/>
      <c r="GA79" s="91" t="str">
        <f t="shared" si="486"/>
        <v/>
      </c>
      <c r="GB79" s="91" t="str">
        <f t="shared" si="590"/>
        <v/>
      </c>
      <c r="GC79" s="86"/>
      <c r="GD79" s="91" t="str">
        <f t="shared" si="487"/>
        <v/>
      </c>
      <c r="GE79" s="91" t="str">
        <f t="shared" si="591"/>
        <v/>
      </c>
      <c r="GF79" s="86"/>
      <c r="GG79" s="91" t="str">
        <f t="shared" si="488"/>
        <v/>
      </c>
      <c r="GH79" s="91" t="str">
        <f t="shared" si="592"/>
        <v/>
      </c>
      <c r="GI79" s="86"/>
      <c r="GJ79" s="91" t="str">
        <f t="shared" si="489"/>
        <v/>
      </c>
      <c r="GK79" s="91" t="str">
        <f t="shared" si="593"/>
        <v/>
      </c>
      <c r="GL79" s="86"/>
      <c r="GM79" s="91" t="str">
        <f t="shared" si="490"/>
        <v/>
      </c>
      <c r="GN79" s="91" t="str">
        <f t="shared" si="594"/>
        <v/>
      </c>
      <c r="GO79" s="86"/>
      <c r="GP79" s="91" t="str">
        <f t="shared" si="491"/>
        <v/>
      </c>
      <c r="GQ79" s="91" t="str">
        <f t="shared" si="595"/>
        <v/>
      </c>
      <c r="GR79" s="86"/>
      <c r="GS79" s="91" t="str">
        <f t="shared" si="492"/>
        <v/>
      </c>
      <c r="GT79" s="91" t="str">
        <f t="shared" si="596"/>
        <v/>
      </c>
      <c r="GU79" s="86"/>
      <c r="GV79" s="91" t="str">
        <f t="shared" si="493"/>
        <v/>
      </c>
      <c r="GW79" s="91" t="str">
        <f t="shared" si="597"/>
        <v/>
      </c>
      <c r="GX79" s="86"/>
      <c r="GY79" s="91" t="str">
        <f t="shared" si="494"/>
        <v/>
      </c>
      <c r="GZ79" s="91" t="str">
        <f t="shared" si="598"/>
        <v/>
      </c>
      <c r="HA79" s="86"/>
      <c r="HB79" s="91" t="str">
        <f t="shared" si="495"/>
        <v/>
      </c>
      <c r="HC79" s="91" t="str">
        <f t="shared" si="599"/>
        <v/>
      </c>
      <c r="HD79" s="86"/>
      <c r="HE79" s="91" t="str">
        <f t="shared" si="496"/>
        <v/>
      </c>
      <c r="HF79" s="91" t="str">
        <f t="shared" si="600"/>
        <v/>
      </c>
      <c r="HG79" s="86"/>
      <c r="HH79" s="91" t="str">
        <f t="shared" si="497"/>
        <v/>
      </c>
      <c r="HI79" s="91" t="str">
        <f t="shared" si="601"/>
        <v/>
      </c>
      <c r="HJ79" s="86"/>
      <c r="HK79" s="91" t="str">
        <f t="shared" si="498"/>
        <v/>
      </c>
      <c r="HL79" s="91" t="str">
        <f t="shared" si="602"/>
        <v/>
      </c>
      <c r="HM79" s="86"/>
      <c r="HN79" s="91" t="str">
        <f t="shared" si="499"/>
        <v/>
      </c>
      <c r="HO79" s="91" t="str">
        <f t="shared" si="603"/>
        <v/>
      </c>
      <c r="HP79" s="86"/>
      <c r="HQ79" s="91" t="str">
        <f t="shared" si="500"/>
        <v/>
      </c>
      <c r="HR79" s="91" t="str">
        <f t="shared" si="604"/>
        <v/>
      </c>
      <c r="HS79" s="86"/>
      <c r="HT79" s="91" t="str">
        <f t="shared" si="501"/>
        <v/>
      </c>
      <c r="HU79" s="91" t="str">
        <f t="shared" si="605"/>
        <v/>
      </c>
      <c r="HV79" s="86"/>
      <c r="HW79" s="91" t="str">
        <f t="shared" si="502"/>
        <v/>
      </c>
      <c r="HX79" s="91" t="str">
        <f t="shared" si="606"/>
        <v/>
      </c>
      <c r="HY79" s="86"/>
      <c r="HZ79" s="91" t="str">
        <f t="shared" si="503"/>
        <v/>
      </c>
      <c r="IA79" s="91" t="str">
        <f t="shared" si="607"/>
        <v/>
      </c>
      <c r="IB79" s="86"/>
      <c r="IC79" s="91" t="str">
        <f t="shared" si="504"/>
        <v/>
      </c>
      <c r="ID79" s="91" t="str">
        <f t="shared" si="608"/>
        <v/>
      </c>
      <c r="IE79" s="86"/>
      <c r="IF79" s="91" t="str">
        <f t="shared" si="505"/>
        <v/>
      </c>
      <c r="IG79" s="91" t="str">
        <f t="shared" si="609"/>
        <v/>
      </c>
      <c r="IH79" s="86"/>
      <c r="II79" s="91" t="str">
        <f t="shared" si="506"/>
        <v/>
      </c>
      <c r="IJ79" s="91" t="str">
        <f t="shared" si="610"/>
        <v/>
      </c>
      <c r="IK79" s="86"/>
      <c r="IL79" s="91" t="str">
        <f t="shared" si="507"/>
        <v/>
      </c>
      <c r="IM79" s="91" t="str">
        <f t="shared" si="611"/>
        <v/>
      </c>
      <c r="IN79" s="86"/>
      <c r="IO79" s="91" t="str">
        <f t="shared" si="508"/>
        <v/>
      </c>
      <c r="IP79" s="91" t="str">
        <f t="shared" si="612"/>
        <v/>
      </c>
      <c r="IQ79" s="86"/>
      <c r="IR79" s="91" t="str">
        <f t="shared" si="509"/>
        <v/>
      </c>
      <c r="IS79" s="91" t="str">
        <f t="shared" si="613"/>
        <v/>
      </c>
      <c r="IT79" s="86"/>
      <c r="IU79" s="91" t="str">
        <f t="shared" si="510"/>
        <v/>
      </c>
      <c r="IV79" s="91" t="str">
        <f t="shared" si="614"/>
        <v/>
      </c>
      <c r="IW79" s="86"/>
      <c r="IX79" s="91" t="str">
        <f t="shared" si="511"/>
        <v/>
      </c>
      <c r="IY79" s="91" t="str">
        <f t="shared" si="615"/>
        <v/>
      </c>
      <c r="IZ79" s="86"/>
      <c r="JA79" s="91" t="str">
        <f t="shared" si="512"/>
        <v/>
      </c>
      <c r="JB79" s="91" t="str">
        <f t="shared" si="616"/>
        <v/>
      </c>
      <c r="JC79" s="86"/>
      <c r="JD79" s="91" t="str">
        <f t="shared" si="513"/>
        <v/>
      </c>
      <c r="JE79" s="91" t="str">
        <f t="shared" si="617"/>
        <v/>
      </c>
      <c r="JF79" s="86"/>
      <c r="JG79" s="91" t="str">
        <f t="shared" si="514"/>
        <v/>
      </c>
      <c r="JH79" s="91" t="str">
        <f t="shared" si="618"/>
        <v/>
      </c>
      <c r="JI79" s="86"/>
      <c r="JJ79" s="91" t="str">
        <f t="shared" si="515"/>
        <v/>
      </c>
      <c r="JK79" s="91" t="str">
        <f t="shared" si="619"/>
        <v/>
      </c>
      <c r="JL79" s="86"/>
      <c r="JM79" s="91" t="str">
        <f t="shared" si="516"/>
        <v/>
      </c>
      <c r="JN79" s="91" t="str">
        <f t="shared" si="620"/>
        <v/>
      </c>
      <c r="JO79" s="86"/>
      <c r="JP79" s="91" t="str">
        <f t="shared" si="517"/>
        <v/>
      </c>
      <c r="JQ79" s="91" t="str">
        <f t="shared" si="621"/>
        <v/>
      </c>
      <c r="JR79" s="86"/>
      <c r="JS79" s="91" t="str">
        <f t="shared" si="518"/>
        <v/>
      </c>
      <c r="JT79" s="91" t="str">
        <f t="shared" si="622"/>
        <v/>
      </c>
      <c r="JU79" s="86"/>
      <c r="JV79" s="91" t="str">
        <f t="shared" si="519"/>
        <v/>
      </c>
      <c r="JW79" s="91" t="str">
        <f t="shared" si="623"/>
        <v/>
      </c>
      <c r="JX79" s="86"/>
      <c r="JY79" s="91" t="str">
        <f t="shared" si="520"/>
        <v/>
      </c>
      <c r="JZ79" s="91" t="str">
        <f t="shared" si="624"/>
        <v/>
      </c>
      <c r="KA79" s="86"/>
      <c r="KB79" s="91" t="str">
        <f t="shared" si="521"/>
        <v/>
      </c>
      <c r="KC79" s="91" t="str">
        <f t="shared" si="625"/>
        <v/>
      </c>
      <c r="KD79" s="86"/>
      <c r="KE79" s="91" t="str">
        <f t="shared" si="522"/>
        <v/>
      </c>
      <c r="KF79" s="91" t="str">
        <f t="shared" si="626"/>
        <v/>
      </c>
      <c r="KG79" s="86"/>
      <c r="KH79" s="91" t="str">
        <f t="shared" si="523"/>
        <v/>
      </c>
      <c r="KI79" s="91" t="str">
        <f t="shared" si="627"/>
        <v/>
      </c>
      <c r="KJ79" s="86"/>
      <c r="KK79" s="91" t="str">
        <f t="shared" si="524"/>
        <v/>
      </c>
      <c r="KL79" s="91" t="str">
        <f t="shared" si="628"/>
        <v/>
      </c>
      <c r="KM79" s="86"/>
      <c r="KN79" s="91" t="str">
        <f t="shared" si="525"/>
        <v/>
      </c>
      <c r="KO79" s="91" t="str">
        <f t="shared" si="629"/>
        <v/>
      </c>
      <c r="KP79" s="86"/>
      <c r="KQ79" s="91" t="str">
        <f t="shared" si="526"/>
        <v/>
      </c>
      <c r="KR79" s="91" t="str">
        <f t="shared" si="630"/>
        <v/>
      </c>
      <c r="KS79" s="86"/>
      <c r="KT79" s="91" t="str">
        <f t="shared" si="527"/>
        <v/>
      </c>
      <c r="KU79" s="91" t="str">
        <f t="shared" si="631"/>
        <v/>
      </c>
      <c r="KV79" s="86"/>
      <c r="KW79" s="91" t="str">
        <f t="shared" si="528"/>
        <v/>
      </c>
      <c r="KX79" s="91" t="str">
        <f t="shared" si="632"/>
        <v/>
      </c>
      <c r="KY79" s="92"/>
      <c r="KZ79" s="91" t="str">
        <f t="shared" si="529"/>
        <v/>
      </c>
      <c r="LA79" s="91" t="str">
        <f t="shared" si="633"/>
        <v/>
      </c>
      <c r="LB79" s="106" t="str">
        <f t="shared" si="430"/>
        <v/>
      </c>
      <c r="LC79" s="108" t="str">
        <f t="shared" si="634"/>
        <v/>
      </c>
      <c r="LD79" s="106" t="str">
        <f t="shared" si="635"/>
        <v/>
      </c>
      <c r="LE79" s="108" t="str">
        <f t="shared" si="636"/>
        <v/>
      </c>
      <c r="LF79" s="106" t="str">
        <f t="shared" si="637"/>
        <v/>
      </c>
      <c r="LG79" s="108" t="str">
        <f t="shared" si="638"/>
        <v/>
      </c>
      <c r="LH79" s="109" t="str">
        <f t="shared" si="530"/>
        <v/>
      </c>
      <c r="LI79" s="109" t="str">
        <f t="shared" si="531"/>
        <v/>
      </c>
      <c r="LJ79" s="109" t="str">
        <f t="shared" si="532"/>
        <v/>
      </c>
      <c r="LK79" s="109" t="str">
        <f t="shared" si="639"/>
        <v/>
      </c>
      <c r="LL79" s="111" t="str">
        <f t="shared" si="640"/>
        <v/>
      </c>
      <c r="LM79" s="64"/>
      <c r="LN79" s="112" t="str">
        <f t="shared" si="644"/>
        <v/>
      </c>
      <c r="LO79" s="113" t="str">
        <f t="shared" si="641"/>
        <v/>
      </c>
      <c r="LP79" s="64"/>
      <c r="LQ79" s="64"/>
      <c r="LR79" s="64"/>
    </row>
    <row r="80" spans="1:334" s="62" customFormat="1" ht="15" customHeight="1">
      <c r="A80" s="106">
        <f t="shared" si="642"/>
        <v>0</v>
      </c>
      <c r="B80" s="106">
        <f t="shared" si="643"/>
        <v>0</v>
      </c>
      <c r="C80" s="51"/>
      <c r="D80" s="52"/>
      <c r="E80" s="53"/>
      <c r="F80" s="53"/>
      <c r="G80" s="53"/>
      <c r="H80" s="53"/>
      <c r="I80" s="53"/>
      <c r="J80" s="53"/>
      <c r="K80" s="53"/>
      <c r="L80" s="53"/>
      <c r="M80" s="107" t="s">
        <v>35</v>
      </c>
      <c r="N80" s="86"/>
      <c r="O80" s="91" t="str">
        <f t="shared" si="431"/>
        <v/>
      </c>
      <c r="P80" s="91" t="str">
        <f t="shared" si="534"/>
        <v/>
      </c>
      <c r="Q80" s="86"/>
      <c r="R80" s="91" t="str">
        <f t="shared" si="432"/>
        <v/>
      </c>
      <c r="S80" s="91" t="str">
        <f t="shared" si="535"/>
        <v/>
      </c>
      <c r="T80" s="86"/>
      <c r="U80" s="91" t="str">
        <f t="shared" si="433"/>
        <v/>
      </c>
      <c r="V80" s="91" t="str">
        <f t="shared" si="536"/>
        <v/>
      </c>
      <c r="W80" s="86"/>
      <c r="X80" s="91" t="str">
        <f t="shared" si="434"/>
        <v/>
      </c>
      <c r="Y80" s="91" t="str">
        <f t="shared" si="537"/>
        <v/>
      </c>
      <c r="Z80" s="86"/>
      <c r="AA80" s="91" t="str">
        <f t="shared" si="435"/>
        <v/>
      </c>
      <c r="AB80" s="91" t="str">
        <f t="shared" si="538"/>
        <v/>
      </c>
      <c r="AC80" s="86"/>
      <c r="AD80" s="91" t="str">
        <f t="shared" si="436"/>
        <v/>
      </c>
      <c r="AE80" s="91" t="str">
        <f t="shared" si="539"/>
        <v/>
      </c>
      <c r="AF80" s="86"/>
      <c r="AG80" s="91" t="str">
        <f t="shared" si="437"/>
        <v/>
      </c>
      <c r="AH80" s="91" t="str">
        <f t="shared" si="540"/>
        <v/>
      </c>
      <c r="AI80" s="86"/>
      <c r="AJ80" s="91" t="str">
        <f t="shared" si="438"/>
        <v/>
      </c>
      <c r="AK80" s="91" t="str">
        <f t="shared" si="541"/>
        <v/>
      </c>
      <c r="AL80" s="86"/>
      <c r="AM80" s="91" t="str">
        <f t="shared" si="439"/>
        <v/>
      </c>
      <c r="AN80" s="91" t="str">
        <f t="shared" si="542"/>
        <v/>
      </c>
      <c r="AO80" s="86"/>
      <c r="AP80" s="91" t="str">
        <f t="shared" si="440"/>
        <v/>
      </c>
      <c r="AQ80" s="91" t="str">
        <f t="shared" si="543"/>
        <v/>
      </c>
      <c r="AR80" s="86"/>
      <c r="AS80" s="91" t="str">
        <f t="shared" si="441"/>
        <v/>
      </c>
      <c r="AT80" s="91" t="str">
        <f t="shared" si="544"/>
        <v/>
      </c>
      <c r="AU80" s="86"/>
      <c r="AV80" s="91" t="str">
        <f t="shared" si="442"/>
        <v/>
      </c>
      <c r="AW80" s="91" t="str">
        <f t="shared" si="545"/>
        <v/>
      </c>
      <c r="AX80" s="86"/>
      <c r="AY80" s="91" t="str">
        <f t="shared" si="443"/>
        <v/>
      </c>
      <c r="AZ80" s="91" t="str">
        <f t="shared" si="546"/>
        <v/>
      </c>
      <c r="BA80" s="86"/>
      <c r="BB80" s="91" t="str">
        <f t="shared" si="444"/>
        <v/>
      </c>
      <c r="BC80" s="91" t="str">
        <f t="shared" si="547"/>
        <v/>
      </c>
      <c r="BD80" s="86"/>
      <c r="BE80" s="91" t="str">
        <f t="shared" si="445"/>
        <v/>
      </c>
      <c r="BF80" s="91" t="str">
        <f t="shared" si="548"/>
        <v/>
      </c>
      <c r="BG80" s="86"/>
      <c r="BH80" s="91" t="str">
        <f t="shared" si="446"/>
        <v/>
      </c>
      <c r="BI80" s="91" t="str">
        <f t="shared" si="549"/>
        <v/>
      </c>
      <c r="BJ80" s="86"/>
      <c r="BK80" s="91" t="str">
        <f t="shared" si="447"/>
        <v/>
      </c>
      <c r="BL80" s="91" t="str">
        <f t="shared" si="550"/>
        <v/>
      </c>
      <c r="BM80" s="86"/>
      <c r="BN80" s="91" t="str">
        <f t="shared" si="448"/>
        <v/>
      </c>
      <c r="BO80" s="91" t="str">
        <f t="shared" si="551"/>
        <v/>
      </c>
      <c r="BP80" s="51"/>
      <c r="BQ80" s="91" t="str">
        <f t="shared" si="449"/>
        <v/>
      </c>
      <c r="BR80" s="91" t="str">
        <f t="shared" si="552"/>
        <v/>
      </c>
      <c r="BS80" s="86"/>
      <c r="BT80" s="91" t="str">
        <f t="shared" si="450"/>
        <v/>
      </c>
      <c r="BU80" s="91" t="str">
        <f t="shared" si="553"/>
        <v/>
      </c>
      <c r="BV80" s="86"/>
      <c r="BW80" s="91" t="str">
        <f t="shared" si="451"/>
        <v/>
      </c>
      <c r="BX80" s="91" t="str">
        <f t="shared" si="554"/>
        <v/>
      </c>
      <c r="BY80" s="86"/>
      <c r="BZ80" s="91" t="str">
        <f t="shared" si="452"/>
        <v/>
      </c>
      <c r="CA80" s="91" t="str">
        <f t="shared" si="555"/>
        <v/>
      </c>
      <c r="CB80" s="86"/>
      <c r="CC80" s="91" t="str">
        <f t="shared" si="453"/>
        <v/>
      </c>
      <c r="CD80" s="91" t="str">
        <f t="shared" si="556"/>
        <v/>
      </c>
      <c r="CE80" s="86"/>
      <c r="CF80" s="91" t="str">
        <f t="shared" si="454"/>
        <v/>
      </c>
      <c r="CG80" s="91" t="str">
        <f t="shared" si="557"/>
        <v/>
      </c>
      <c r="CH80" s="86"/>
      <c r="CI80" s="91" t="str">
        <f t="shared" si="455"/>
        <v/>
      </c>
      <c r="CJ80" s="91" t="str">
        <f t="shared" si="558"/>
        <v/>
      </c>
      <c r="CK80" s="86"/>
      <c r="CL80" s="91" t="str">
        <f t="shared" si="456"/>
        <v/>
      </c>
      <c r="CM80" s="91" t="str">
        <f t="shared" si="559"/>
        <v/>
      </c>
      <c r="CN80" s="86"/>
      <c r="CO80" s="91" t="str">
        <f t="shared" si="457"/>
        <v/>
      </c>
      <c r="CP80" s="91" t="str">
        <f t="shared" si="560"/>
        <v/>
      </c>
      <c r="CQ80" s="86"/>
      <c r="CR80" s="91" t="str">
        <f t="shared" si="458"/>
        <v/>
      </c>
      <c r="CS80" s="91" t="str">
        <f t="shared" si="561"/>
        <v/>
      </c>
      <c r="CT80" s="86"/>
      <c r="CU80" s="91" t="str">
        <f t="shared" si="459"/>
        <v/>
      </c>
      <c r="CV80" s="91" t="str">
        <f t="shared" si="562"/>
        <v/>
      </c>
      <c r="CW80" s="86"/>
      <c r="CX80" s="91" t="str">
        <f t="shared" si="460"/>
        <v/>
      </c>
      <c r="CY80" s="91" t="str">
        <f t="shared" si="563"/>
        <v/>
      </c>
      <c r="CZ80" s="86"/>
      <c r="DA80" s="91" t="str">
        <f t="shared" si="461"/>
        <v/>
      </c>
      <c r="DB80" s="91" t="str">
        <f t="shared" si="564"/>
        <v/>
      </c>
      <c r="DC80" s="86"/>
      <c r="DD80" s="91" t="str">
        <f t="shared" si="462"/>
        <v/>
      </c>
      <c r="DE80" s="91" t="str">
        <f t="shared" si="565"/>
        <v/>
      </c>
      <c r="DF80" s="86"/>
      <c r="DG80" s="91"/>
      <c r="DH80" s="91" t="str">
        <f t="shared" si="566"/>
        <v/>
      </c>
      <c r="DI80" s="86"/>
      <c r="DJ80" s="91" t="str">
        <f t="shared" si="463"/>
        <v/>
      </c>
      <c r="DK80" s="91" t="str">
        <f t="shared" si="567"/>
        <v/>
      </c>
      <c r="DL80" s="86"/>
      <c r="DM80" s="91" t="str">
        <f t="shared" si="464"/>
        <v/>
      </c>
      <c r="DN80" s="91" t="str">
        <f t="shared" si="568"/>
        <v/>
      </c>
      <c r="DO80" s="86"/>
      <c r="DP80" s="91" t="str">
        <f t="shared" si="465"/>
        <v/>
      </c>
      <c r="DQ80" s="91" t="str">
        <f t="shared" si="569"/>
        <v/>
      </c>
      <c r="DR80" s="86"/>
      <c r="DS80" s="91" t="str">
        <f t="shared" si="466"/>
        <v/>
      </c>
      <c r="DT80" s="91" t="str">
        <f t="shared" si="570"/>
        <v/>
      </c>
      <c r="DU80" s="86"/>
      <c r="DV80" s="91" t="str">
        <f t="shared" si="467"/>
        <v/>
      </c>
      <c r="DW80" s="91" t="str">
        <f t="shared" si="571"/>
        <v/>
      </c>
      <c r="DX80" s="86"/>
      <c r="DY80" s="91" t="str">
        <f t="shared" si="468"/>
        <v/>
      </c>
      <c r="DZ80" s="91" t="str">
        <f t="shared" si="572"/>
        <v/>
      </c>
      <c r="EA80" s="86"/>
      <c r="EB80" s="91" t="str">
        <f t="shared" si="469"/>
        <v/>
      </c>
      <c r="EC80" s="91" t="str">
        <f t="shared" si="573"/>
        <v/>
      </c>
      <c r="ED80" s="86"/>
      <c r="EE80" s="91" t="str">
        <f t="shared" si="470"/>
        <v/>
      </c>
      <c r="EF80" s="91" t="str">
        <f t="shared" si="574"/>
        <v/>
      </c>
      <c r="EG80" s="86"/>
      <c r="EH80" s="91" t="str">
        <f t="shared" si="471"/>
        <v/>
      </c>
      <c r="EI80" s="91" t="str">
        <f t="shared" si="575"/>
        <v/>
      </c>
      <c r="EJ80" s="86"/>
      <c r="EK80" s="91" t="str">
        <f t="shared" si="472"/>
        <v/>
      </c>
      <c r="EL80" s="91" t="str">
        <f t="shared" si="576"/>
        <v/>
      </c>
      <c r="EM80" s="86"/>
      <c r="EN80" s="91" t="str">
        <f t="shared" si="473"/>
        <v/>
      </c>
      <c r="EO80" s="91" t="str">
        <f t="shared" si="577"/>
        <v/>
      </c>
      <c r="EP80" s="86"/>
      <c r="EQ80" s="91" t="str">
        <f t="shared" si="474"/>
        <v/>
      </c>
      <c r="ER80" s="91" t="str">
        <f t="shared" si="578"/>
        <v/>
      </c>
      <c r="ES80" s="51"/>
      <c r="ET80" s="91" t="str">
        <f t="shared" si="475"/>
        <v/>
      </c>
      <c r="EU80" s="91" t="str">
        <f t="shared" si="579"/>
        <v/>
      </c>
      <c r="EV80" s="86"/>
      <c r="EW80" s="91" t="str">
        <f t="shared" si="476"/>
        <v/>
      </c>
      <c r="EX80" s="91" t="str">
        <f t="shared" si="580"/>
        <v/>
      </c>
      <c r="EY80" s="86"/>
      <c r="EZ80" s="91" t="str">
        <f t="shared" si="477"/>
        <v/>
      </c>
      <c r="FA80" s="91" t="str">
        <f t="shared" si="581"/>
        <v/>
      </c>
      <c r="FB80" s="86"/>
      <c r="FC80" s="91" t="str">
        <f t="shared" si="478"/>
        <v/>
      </c>
      <c r="FD80" s="91" t="str">
        <f t="shared" si="582"/>
        <v/>
      </c>
      <c r="FE80" s="86"/>
      <c r="FF80" s="91" t="str">
        <f t="shared" si="479"/>
        <v/>
      </c>
      <c r="FG80" s="91" t="str">
        <f t="shared" si="583"/>
        <v/>
      </c>
      <c r="FH80" s="86"/>
      <c r="FI80" s="91" t="str">
        <f t="shared" si="480"/>
        <v/>
      </c>
      <c r="FJ80" s="91" t="str">
        <f t="shared" si="584"/>
        <v/>
      </c>
      <c r="FK80" s="86"/>
      <c r="FL80" s="91" t="str">
        <f t="shared" si="481"/>
        <v/>
      </c>
      <c r="FM80" s="91" t="str">
        <f t="shared" si="585"/>
        <v/>
      </c>
      <c r="FN80" s="86"/>
      <c r="FO80" s="91" t="str">
        <f t="shared" si="482"/>
        <v/>
      </c>
      <c r="FP80" s="91" t="str">
        <f t="shared" si="586"/>
        <v/>
      </c>
      <c r="FQ80" s="86"/>
      <c r="FR80" s="91" t="str">
        <f t="shared" si="483"/>
        <v/>
      </c>
      <c r="FS80" s="91" t="str">
        <f t="shared" si="587"/>
        <v/>
      </c>
      <c r="FT80" s="86"/>
      <c r="FU80" s="91" t="str">
        <f t="shared" si="484"/>
        <v/>
      </c>
      <c r="FV80" s="91" t="str">
        <f t="shared" si="588"/>
        <v/>
      </c>
      <c r="FW80" s="92"/>
      <c r="FX80" s="91" t="str">
        <f t="shared" si="485"/>
        <v/>
      </c>
      <c r="FY80" s="91" t="str">
        <f t="shared" si="589"/>
        <v/>
      </c>
      <c r="FZ80" s="86"/>
      <c r="GA80" s="91" t="str">
        <f t="shared" si="486"/>
        <v/>
      </c>
      <c r="GB80" s="91" t="str">
        <f t="shared" si="590"/>
        <v/>
      </c>
      <c r="GC80" s="86"/>
      <c r="GD80" s="91" t="str">
        <f t="shared" si="487"/>
        <v/>
      </c>
      <c r="GE80" s="91" t="str">
        <f t="shared" si="591"/>
        <v/>
      </c>
      <c r="GF80" s="86"/>
      <c r="GG80" s="91" t="str">
        <f t="shared" si="488"/>
        <v/>
      </c>
      <c r="GH80" s="91" t="str">
        <f t="shared" si="592"/>
        <v/>
      </c>
      <c r="GI80" s="86"/>
      <c r="GJ80" s="91" t="str">
        <f t="shared" si="489"/>
        <v/>
      </c>
      <c r="GK80" s="91" t="str">
        <f t="shared" si="593"/>
        <v/>
      </c>
      <c r="GL80" s="86"/>
      <c r="GM80" s="91" t="str">
        <f t="shared" si="490"/>
        <v/>
      </c>
      <c r="GN80" s="91" t="str">
        <f t="shared" si="594"/>
        <v/>
      </c>
      <c r="GO80" s="86"/>
      <c r="GP80" s="91" t="str">
        <f t="shared" si="491"/>
        <v/>
      </c>
      <c r="GQ80" s="91" t="str">
        <f t="shared" si="595"/>
        <v/>
      </c>
      <c r="GR80" s="86"/>
      <c r="GS80" s="91" t="str">
        <f t="shared" si="492"/>
        <v/>
      </c>
      <c r="GT80" s="91" t="str">
        <f t="shared" si="596"/>
        <v/>
      </c>
      <c r="GU80" s="86"/>
      <c r="GV80" s="91" t="str">
        <f t="shared" si="493"/>
        <v/>
      </c>
      <c r="GW80" s="91" t="str">
        <f t="shared" si="597"/>
        <v/>
      </c>
      <c r="GX80" s="86"/>
      <c r="GY80" s="91" t="str">
        <f t="shared" si="494"/>
        <v/>
      </c>
      <c r="GZ80" s="91" t="str">
        <f t="shared" si="598"/>
        <v/>
      </c>
      <c r="HA80" s="86"/>
      <c r="HB80" s="91" t="str">
        <f t="shared" si="495"/>
        <v/>
      </c>
      <c r="HC80" s="91" t="str">
        <f t="shared" si="599"/>
        <v/>
      </c>
      <c r="HD80" s="86"/>
      <c r="HE80" s="91" t="str">
        <f t="shared" si="496"/>
        <v/>
      </c>
      <c r="HF80" s="91" t="str">
        <f t="shared" si="600"/>
        <v/>
      </c>
      <c r="HG80" s="86"/>
      <c r="HH80" s="91" t="str">
        <f t="shared" si="497"/>
        <v/>
      </c>
      <c r="HI80" s="91" t="str">
        <f t="shared" si="601"/>
        <v/>
      </c>
      <c r="HJ80" s="86"/>
      <c r="HK80" s="91" t="str">
        <f t="shared" si="498"/>
        <v/>
      </c>
      <c r="HL80" s="91" t="str">
        <f t="shared" si="602"/>
        <v/>
      </c>
      <c r="HM80" s="86"/>
      <c r="HN80" s="91" t="str">
        <f t="shared" si="499"/>
        <v/>
      </c>
      <c r="HO80" s="91" t="str">
        <f t="shared" si="603"/>
        <v/>
      </c>
      <c r="HP80" s="86"/>
      <c r="HQ80" s="91" t="str">
        <f t="shared" si="500"/>
        <v/>
      </c>
      <c r="HR80" s="91" t="str">
        <f t="shared" si="604"/>
        <v/>
      </c>
      <c r="HS80" s="86"/>
      <c r="HT80" s="91" t="str">
        <f t="shared" si="501"/>
        <v/>
      </c>
      <c r="HU80" s="91" t="str">
        <f t="shared" si="605"/>
        <v/>
      </c>
      <c r="HV80" s="86"/>
      <c r="HW80" s="91" t="str">
        <f t="shared" si="502"/>
        <v/>
      </c>
      <c r="HX80" s="91" t="str">
        <f t="shared" si="606"/>
        <v/>
      </c>
      <c r="HY80" s="86"/>
      <c r="HZ80" s="91" t="str">
        <f t="shared" si="503"/>
        <v/>
      </c>
      <c r="IA80" s="91" t="str">
        <f t="shared" si="607"/>
        <v/>
      </c>
      <c r="IB80" s="86"/>
      <c r="IC80" s="91" t="str">
        <f t="shared" si="504"/>
        <v/>
      </c>
      <c r="ID80" s="91" t="str">
        <f t="shared" si="608"/>
        <v/>
      </c>
      <c r="IE80" s="86"/>
      <c r="IF80" s="91" t="str">
        <f t="shared" si="505"/>
        <v/>
      </c>
      <c r="IG80" s="91" t="str">
        <f t="shared" si="609"/>
        <v/>
      </c>
      <c r="IH80" s="86"/>
      <c r="II80" s="91" t="str">
        <f t="shared" si="506"/>
        <v/>
      </c>
      <c r="IJ80" s="91" t="str">
        <f t="shared" si="610"/>
        <v/>
      </c>
      <c r="IK80" s="86"/>
      <c r="IL80" s="91" t="str">
        <f t="shared" si="507"/>
        <v/>
      </c>
      <c r="IM80" s="91" t="str">
        <f t="shared" si="611"/>
        <v/>
      </c>
      <c r="IN80" s="86"/>
      <c r="IO80" s="91" t="str">
        <f t="shared" si="508"/>
        <v/>
      </c>
      <c r="IP80" s="91" t="str">
        <f t="shared" si="612"/>
        <v/>
      </c>
      <c r="IQ80" s="86"/>
      <c r="IR80" s="91" t="str">
        <f t="shared" si="509"/>
        <v/>
      </c>
      <c r="IS80" s="91" t="str">
        <f t="shared" si="613"/>
        <v/>
      </c>
      <c r="IT80" s="86"/>
      <c r="IU80" s="91" t="str">
        <f t="shared" si="510"/>
        <v/>
      </c>
      <c r="IV80" s="91" t="str">
        <f t="shared" si="614"/>
        <v/>
      </c>
      <c r="IW80" s="86"/>
      <c r="IX80" s="91" t="str">
        <f t="shared" si="511"/>
        <v/>
      </c>
      <c r="IY80" s="91" t="str">
        <f t="shared" si="615"/>
        <v/>
      </c>
      <c r="IZ80" s="86"/>
      <c r="JA80" s="91" t="str">
        <f t="shared" si="512"/>
        <v/>
      </c>
      <c r="JB80" s="91" t="str">
        <f t="shared" si="616"/>
        <v/>
      </c>
      <c r="JC80" s="86"/>
      <c r="JD80" s="91" t="str">
        <f t="shared" si="513"/>
        <v/>
      </c>
      <c r="JE80" s="91" t="str">
        <f t="shared" si="617"/>
        <v/>
      </c>
      <c r="JF80" s="86"/>
      <c r="JG80" s="91" t="str">
        <f t="shared" si="514"/>
        <v/>
      </c>
      <c r="JH80" s="91" t="str">
        <f t="shared" si="618"/>
        <v/>
      </c>
      <c r="JI80" s="86"/>
      <c r="JJ80" s="91" t="str">
        <f t="shared" si="515"/>
        <v/>
      </c>
      <c r="JK80" s="91" t="str">
        <f t="shared" si="619"/>
        <v/>
      </c>
      <c r="JL80" s="86"/>
      <c r="JM80" s="91" t="str">
        <f t="shared" si="516"/>
        <v/>
      </c>
      <c r="JN80" s="91" t="str">
        <f t="shared" si="620"/>
        <v/>
      </c>
      <c r="JO80" s="86"/>
      <c r="JP80" s="91" t="str">
        <f t="shared" si="517"/>
        <v/>
      </c>
      <c r="JQ80" s="91" t="str">
        <f t="shared" si="621"/>
        <v/>
      </c>
      <c r="JR80" s="86"/>
      <c r="JS80" s="91" t="str">
        <f t="shared" si="518"/>
        <v/>
      </c>
      <c r="JT80" s="91" t="str">
        <f t="shared" si="622"/>
        <v/>
      </c>
      <c r="JU80" s="86"/>
      <c r="JV80" s="91" t="str">
        <f t="shared" si="519"/>
        <v/>
      </c>
      <c r="JW80" s="91" t="str">
        <f t="shared" si="623"/>
        <v/>
      </c>
      <c r="JX80" s="86"/>
      <c r="JY80" s="91" t="str">
        <f t="shared" si="520"/>
        <v/>
      </c>
      <c r="JZ80" s="91" t="str">
        <f t="shared" si="624"/>
        <v/>
      </c>
      <c r="KA80" s="86"/>
      <c r="KB80" s="91" t="str">
        <f t="shared" si="521"/>
        <v/>
      </c>
      <c r="KC80" s="91" t="str">
        <f t="shared" si="625"/>
        <v/>
      </c>
      <c r="KD80" s="86"/>
      <c r="KE80" s="91" t="str">
        <f t="shared" si="522"/>
        <v/>
      </c>
      <c r="KF80" s="91" t="str">
        <f t="shared" si="626"/>
        <v/>
      </c>
      <c r="KG80" s="86"/>
      <c r="KH80" s="91" t="str">
        <f t="shared" si="523"/>
        <v/>
      </c>
      <c r="KI80" s="91" t="str">
        <f t="shared" si="627"/>
        <v/>
      </c>
      <c r="KJ80" s="86"/>
      <c r="KK80" s="91" t="str">
        <f t="shared" si="524"/>
        <v/>
      </c>
      <c r="KL80" s="91" t="str">
        <f t="shared" si="628"/>
        <v/>
      </c>
      <c r="KM80" s="86"/>
      <c r="KN80" s="91" t="str">
        <f t="shared" si="525"/>
        <v/>
      </c>
      <c r="KO80" s="91" t="str">
        <f t="shared" si="629"/>
        <v/>
      </c>
      <c r="KP80" s="86"/>
      <c r="KQ80" s="91" t="str">
        <f t="shared" si="526"/>
        <v/>
      </c>
      <c r="KR80" s="91" t="str">
        <f t="shared" si="630"/>
        <v/>
      </c>
      <c r="KS80" s="86"/>
      <c r="KT80" s="91" t="str">
        <f t="shared" si="527"/>
        <v/>
      </c>
      <c r="KU80" s="91" t="str">
        <f t="shared" si="631"/>
        <v/>
      </c>
      <c r="KV80" s="86"/>
      <c r="KW80" s="91" t="str">
        <f t="shared" si="528"/>
        <v/>
      </c>
      <c r="KX80" s="91" t="str">
        <f t="shared" si="632"/>
        <v/>
      </c>
      <c r="KY80" s="92"/>
      <c r="KZ80" s="91" t="str">
        <f t="shared" si="529"/>
        <v/>
      </c>
      <c r="LA80" s="91" t="str">
        <f t="shared" si="633"/>
        <v/>
      </c>
      <c r="LB80" s="106" t="str">
        <f t="shared" si="430"/>
        <v/>
      </c>
      <c r="LC80" s="108" t="str">
        <f t="shared" si="634"/>
        <v/>
      </c>
      <c r="LD80" s="106" t="str">
        <f t="shared" si="635"/>
        <v/>
      </c>
      <c r="LE80" s="108" t="str">
        <f t="shared" si="636"/>
        <v/>
      </c>
      <c r="LF80" s="106" t="str">
        <f t="shared" si="637"/>
        <v/>
      </c>
      <c r="LG80" s="108" t="str">
        <f t="shared" si="638"/>
        <v/>
      </c>
      <c r="LH80" s="109" t="str">
        <f t="shared" si="530"/>
        <v/>
      </c>
      <c r="LI80" s="109" t="str">
        <f t="shared" si="531"/>
        <v/>
      </c>
      <c r="LJ80" s="109" t="str">
        <f t="shared" si="532"/>
        <v/>
      </c>
      <c r="LK80" s="109" t="str">
        <f t="shared" si="639"/>
        <v/>
      </c>
      <c r="LL80" s="111" t="str">
        <f t="shared" si="640"/>
        <v/>
      </c>
      <c r="LM80" s="64"/>
      <c r="LN80" s="112" t="str">
        <f t="shared" si="644"/>
        <v/>
      </c>
      <c r="LO80" s="113" t="str">
        <f t="shared" si="641"/>
        <v/>
      </c>
      <c r="LP80" s="64"/>
      <c r="LQ80" s="64"/>
      <c r="LR80" s="64"/>
    </row>
    <row r="81" spans="1:348" s="62" customFormat="1" ht="15" customHeight="1">
      <c r="A81" s="106">
        <f t="shared" si="642"/>
        <v>0</v>
      </c>
      <c r="B81" s="106">
        <f t="shared" si="643"/>
        <v>0</v>
      </c>
      <c r="C81" s="51"/>
      <c r="D81" s="52"/>
      <c r="E81" s="53"/>
      <c r="F81" s="53"/>
      <c r="G81" s="53"/>
      <c r="H81" s="53"/>
      <c r="I81" s="53"/>
      <c r="J81" s="53"/>
      <c r="K81" s="53"/>
      <c r="L81" s="53"/>
      <c r="M81" s="107" t="s">
        <v>35</v>
      </c>
      <c r="N81" s="86"/>
      <c r="O81" s="91" t="str">
        <f t="shared" si="431"/>
        <v/>
      </c>
      <c r="P81" s="91" t="str">
        <f t="shared" si="534"/>
        <v/>
      </c>
      <c r="Q81" s="86"/>
      <c r="R81" s="91" t="str">
        <f t="shared" si="432"/>
        <v/>
      </c>
      <c r="S81" s="91" t="str">
        <f t="shared" si="535"/>
        <v/>
      </c>
      <c r="T81" s="86"/>
      <c r="U81" s="91" t="str">
        <f t="shared" si="433"/>
        <v/>
      </c>
      <c r="V81" s="91" t="str">
        <f t="shared" si="536"/>
        <v/>
      </c>
      <c r="W81" s="86"/>
      <c r="X81" s="91" t="str">
        <f t="shared" si="434"/>
        <v/>
      </c>
      <c r="Y81" s="91" t="str">
        <f t="shared" si="537"/>
        <v/>
      </c>
      <c r="Z81" s="86"/>
      <c r="AA81" s="91" t="str">
        <f t="shared" si="435"/>
        <v/>
      </c>
      <c r="AB81" s="91" t="str">
        <f t="shared" si="538"/>
        <v/>
      </c>
      <c r="AC81" s="86"/>
      <c r="AD81" s="91" t="str">
        <f t="shared" si="436"/>
        <v/>
      </c>
      <c r="AE81" s="91" t="str">
        <f t="shared" si="539"/>
        <v/>
      </c>
      <c r="AF81" s="86"/>
      <c r="AG81" s="91" t="str">
        <f t="shared" si="437"/>
        <v/>
      </c>
      <c r="AH81" s="91" t="str">
        <f t="shared" si="540"/>
        <v/>
      </c>
      <c r="AI81" s="86"/>
      <c r="AJ81" s="91" t="str">
        <f t="shared" si="438"/>
        <v/>
      </c>
      <c r="AK81" s="91" t="str">
        <f t="shared" si="541"/>
        <v/>
      </c>
      <c r="AL81" s="86"/>
      <c r="AM81" s="91" t="str">
        <f t="shared" si="439"/>
        <v/>
      </c>
      <c r="AN81" s="91" t="str">
        <f t="shared" si="542"/>
        <v/>
      </c>
      <c r="AO81" s="86"/>
      <c r="AP81" s="91" t="str">
        <f t="shared" si="440"/>
        <v/>
      </c>
      <c r="AQ81" s="91" t="str">
        <f t="shared" si="543"/>
        <v/>
      </c>
      <c r="AR81" s="86"/>
      <c r="AS81" s="91" t="str">
        <f t="shared" si="441"/>
        <v/>
      </c>
      <c r="AT81" s="91" t="str">
        <f t="shared" si="544"/>
        <v/>
      </c>
      <c r="AU81" s="86"/>
      <c r="AV81" s="91" t="str">
        <f t="shared" si="442"/>
        <v/>
      </c>
      <c r="AW81" s="91" t="str">
        <f t="shared" si="545"/>
        <v/>
      </c>
      <c r="AX81" s="86"/>
      <c r="AY81" s="91" t="str">
        <f t="shared" si="443"/>
        <v/>
      </c>
      <c r="AZ81" s="91" t="str">
        <f t="shared" si="546"/>
        <v/>
      </c>
      <c r="BA81" s="86"/>
      <c r="BB81" s="91" t="str">
        <f t="shared" si="444"/>
        <v/>
      </c>
      <c r="BC81" s="91" t="str">
        <f t="shared" si="547"/>
        <v/>
      </c>
      <c r="BD81" s="86"/>
      <c r="BE81" s="91" t="str">
        <f t="shared" si="445"/>
        <v/>
      </c>
      <c r="BF81" s="91" t="str">
        <f t="shared" si="548"/>
        <v/>
      </c>
      <c r="BG81" s="86"/>
      <c r="BH81" s="91" t="str">
        <f t="shared" si="446"/>
        <v/>
      </c>
      <c r="BI81" s="91" t="str">
        <f t="shared" si="549"/>
        <v/>
      </c>
      <c r="BJ81" s="86"/>
      <c r="BK81" s="91" t="str">
        <f t="shared" si="447"/>
        <v/>
      </c>
      <c r="BL81" s="91" t="str">
        <f t="shared" si="550"/>
        <v/>
      </c>
      <c r="BM81" s="86"/>
      <c r="BN81" s="91" t="str">
        <f t="shared" si="448"/>
        <v/>
      </c>
      <c r="BO81" s="91" t="str">
        <f t="shared" si="551"/>
        <v/>
      </c>
      <c r="BP81" s="51"/>
      <c r="BQ81" s="91" t="str">
        <f t="shared" si="449"/>
        <v/>
      </c>
      <c r="BR81" s="91" t="str">
        <f t="shared" si="552"/>
        <v/>
      </c>
      <c r="BS81" s="86"/>
      <c r="BT81" s="91" t="str">
        <f t="shared" si="450"/>
        <v/>
      </c>
      <c r="BU81" s="91" t="str">
        <f t="shared" si="553"/>
        <v/>
      </c>
      <c r="BV81" s="86"/>
      <c r="BW81" s="91" t="str">
        <f t="shared" si="451"/>
        <v/>
      </c>
      <c r="BX81" s="91" t="str">
        <f t="shared" si="554"/>
        <v/>
      </c>
      <c r="BY81" s="86"/>
      <c r="BZ81" s="91" t="str">
        <f t="shared" si="452"/>
        <v/>
      </c>
      <c r="CA81" s="91" t="str">
        <f t="shared" si="555"/>
        <v/>
      </c>
      <c r="CB81" s="86"/>
      <c r="CC81" s="91" t="str">
        <f t="shared" si="453"/>
        <v/>
      </c>
      <c r="CD81" s="91" t="str">
        <f t="shared" si="556"/>
        <v/>
      </c>
      <c r="CE81" s="86"/>
      <c r="CF81" s="91" t="str">
        <f t="shared" si="454"/>
        <v/>
      </c>
      <c r="CG81" s="91" t="str">
        <f t="shared" si="557"/>
        <v/>
      </c>
      <c r="CH81" s="86"/>
      <c r="CI81" s="91" t="str">
        <f t="shared" si="455"/>
        <v/>
      </c>
      <c r="CJ81" s="91" t="str">
        <f t="shared" si="558"/>
        <v/>
      </c>
      <c r="CK81" s="86"/>
      <c r="CL81" s="91" t="str">
        <f t="shared" si="456"/>
        <v/>
      </c>
      <c r="CM81" s="91" t="str">
        <f t="shared" si="559"/>
        <v/>
      </c>
      <c r="CN81" s="86"/>
      <c r="CO81" s="91" t="str">
        <f t="shared" si="457"/>
        <v/>
      </c>
      <c r="CP81" s="91" t="str">
        <f t="shared" si="560"/>
        <v/>
      </c>
      <c r="CQ81" s="86"/>
      <c r="CR81" s="91" t="str">
        <f t="shared" si="458"/>
        <v/>
      </c>
      <c r="CS81" s="91" t="str">
        <f t="shared" si="561"/>
        <v/>
      </c>
      <c r="CT81" s="86"/>
      <c r="CU81" s="91" t="str">
        <f t="shared" si="459"/>
        <v/>
      </c>
      <c r="CV81" s="91" t="str">
        <f t="shared" si="562"/>
        <v/>
      </c>
      <c r="CW81" s="86"/>
      <c r="CX81" s="91" t="str">
        <f t="shared" si="460"/>
        <v/>
      </c>
      <c r="CY81" s="91" t="str">
        <f t="shared" si="563"/>
        <v/>
      </c>
      <c r="CZ81" s="86"/>
      <c r="DA81" s="91" t="str">
        <f t="shared" si="461"/>
        <v/>
      </c>
      <c r="DB81" s="91" t="str">
        <f t="shared" si="564"/>
        <v/>
      </c>
      <c r="DC81" s="86"/>
      <c r="DD81" s="91" t="str">
        <f t="shared" si="462"/>
        <v/>
      </c>
      <c r="DE81" s="91" t="str">
        <f t="shared" si="565"/>
        <v/>
      </c>
      <c r="DF81" s="86"/>
      <c r="DG81" s="91"/>
      <c r="DH81" s="91" t="str">
        <f t="shared" si="566"/>
        <v/>
      </c>
      <c r="DI81" s="86"/>
      <c r="DJ81" s="91" t="str">
        <f t="shared" si="463"/>
        <v/>
      </c>
      <c r="DK81" s="91" t="str">
        <f t="shared" si="567"/>
        <v/>
      </c>
      <c r="DL81" s="86"/>
      <c r="DM81" s="91" t="str">
        <f t="shared" si="464"/>
        <v/>
      </c>
      <c r="DN81" s="91" t="str">
        <f t="shared" si="568"/>
        <v/>
      </c>
      <c r="DO81" s="86"/>
      <c r="DP81" s="91" t="str">
        <f t="shared" si="465"/>
        <v/>
      </c>
      <c r="DQ81" s="91" t="str">
        <f t="shared" si="569"/>
        <v/>
      </c>
      <c r="DR81" s="86"/>
      <c r="DS81" s="91" t="str">
        <f t="shared" si="466"/>
        <v/>
      </c>
      <c r="DT81" s="91" t="str">
        <f t="shared" si="570"/>
        <v/>
      </c>
      <c r="DU81" s="86"/>
      <c r="DV81" s="91" t="str">
        <f t="shared" si="467"/>
        <v/>
      </c>
      <c r="DW81" s="91" t="str">
        <f t="shared" si="571"/>
        <v/>
      </c>
      <c r="DX81" s="86"/>
      <c r="DY81" s="91" t="str">
        <f t="shared" si="468"/>
        <v/>
      </c>
      <c r="DZ81" s="91" t="str">
        <f t="shared" si="572"/>
        <v/>
      </c>
      <c r="EA81" s="86"/>
      <c r="EB81" s="91" t="str">
        <f t="shared" si="469"/>
        <v/>
      </c>
      <c r="EC81" s="91" t="str">
        <f t="shared" si="573"/>
        <v/>
      </c>
      <c r="ED81" s="86"/>
      <c r="EE81" s="91" t="str">
        <f t="shared" si="470"/>
        <v/>
      </c>
      <c r="EF81" s="91" t="str">
        <f t="shared" si="574"/>
        <v/>
      </c>
      <c r="EG81" s="86"/>
      <c r="EH81" s="91" t="str">
        <f t="shared" si="471"/>
        <v/>
      </c>
      <c r="EI81" s="91" t="str">
        <f t="shared" si="575"/>
        <v/>
      </c>
      <c r="EJ81" s="86"/>
      <c r="EK81" s="91" t="str">
        <f t="shared" si="472"/>
        <v/>
      </c>
      <c r="EL81" s="91" t="str">
        <f t="shared" si="576"/>
        <v/>
      </c>
      <c r="EM81" s="86"/>
      <c r="EN81" s="91" t="str">
        <f t="shared" si="473"/>
        <v/>
      </c>
      <c r="EO81" s="91" t="str">
        <f t="shared" si="577"/>
        <v/>
      </c>
      <c r="EP81" s="86"/>
      <c r="EQ81" s="91" t="str">
        <f t="shared" si="474"/>
        <v/>
      </c>
      <c r="ER81" s="91" t="str">
        <f t="shared" si="578"/>
        <v/>
      </c>
      <c r="ES81" s="51"/>
      <c r="ET81" s="91" t="str">
        <f t="shared" si="475"/>
        <v/>
      </c>
      <c r="EU81" s="91" t="str">
        <f t="shared" si="579"/>
        <v/>
      </c>
      <c r="EV81" s="86"/>
      <c r="EW81" s="91" t="str">
        <f t="shared" si="476"/>
        <v/>
      </c>
      <c r="EX81" s="91" t="str">
        <f t="shared" si="580"/>
        <v/>
      </c>
      <c r="EY81" s="86"/>
      <c r="EZ81" s="91" t="str">
        <f t="shared" si="477"/>
        <v/>
      </c>
      <c r="FA81" s="91" t="str">
        <f t="shared" si="581"/>
        <v/>
      </c>
      <c r="FB81" s="86"/>
      <c r="FC81" s="91" t="str">
        <f t="shared" si="478"/>
        <v/>
      </c>
      <c r="FD81" s="91" t="str">
        <f t="shared" si="582"/>
        <v/>
      </c>
      <c r="FE81" s="86"/>
      <c r="FF81" s="91" t="str">
        <f t="shared" si="479"/>
        <v/>
      </c>
      <c r="FG81" s="91" t="str">
        <f t="shared" si="583"/>
        <v/>
      </c>
      <c r="FH81" s="86"/>
      <c r="FI81" s="91" t="str">
        <f t="shared" si="480"/>
        <v/>
      </c>
      <c r="FJ81" s="91" t="str">
        <f t="shared" si="584"/>
        <v/>
      </c>
      <c r="FK81" s="86"/>
      <c r="FL81" s="91" t="str">
        <f t="shared" si="481"/>
        <v/>
      </c>
      <c r="FM81" s="91" t="str">
        <f t="shared" si="585"/>
        <v/>
      </c>
      <c r="FN81" s="86"/>
      <c r="FO81" s="91" t="str">
        <f t="shared" si="482"/>
        <v/>
      </c>
      <c r="FP81" s="91" t="str">
        <f t="shared" si="586"/>
        <v/>
      </c>
      <c r="FQ81" s="86"/>
      <c r="FR81" s="91" t="str">
        <f t="shared" si="483"/>
        <v/>
      </c>
      <c r="FS81" s="91" t="str">
        <f t="shared" si="587"/>
        <v/>
      </c>
      <c r="FT81" s="86"/>
      <c r="FU81" s="91" t="str">
        <f t="shared" si="484"/>
        <v/>
      </c>
      <c r="FV81" s="91" t="str">
        <f t="shared" si="588"/>
        <v/>
      </c>
      <c r="FW81" s="92"/>
      <c r="FX81" s="91" t="str">
        <f t="shared" si="485"/>
        <v/>
      </c>
      <c r="FY81" s="91" t="str">
        <f t="shared" si="589"/>
        <v/>
      </c>
      <c r="FZ81" s="86"/>
      <c r="GA81" s="91" t="str">
        <f t="shared" si="486"/>
        <v/>
      </c>
      <c r="GB81" s="91" t="str">
        <f t="shared" si="590"/>
        <v/>
      </c>
      <c r="GC81" s="86"/>
      <c r="GD81" s="91" t="str">
        <f t="shared" si="487"/>
        <v/>
      </c>
      <c r="GE81" s="91" t="str">
        <f t="shared" si="591"/>
        <v/>
      </c>
      <c r="GF81" s="86"/>
      <c r="GG81" s="91" t="str">
        <f t="shared" si="488"/>
        <v/>
      </c>
      <c r="GH81" s="91" t="str">
        <f t="shared" si="592"/>
        <v/>
      </c>
      <c r="GI81" s="86"/>
      <c r="GJ81" s="91" t="str">
        <f t="shared" si="489"/>
        <v/>
      </c>
      <c r="GK81" s="91" t="str">
        <f t="shared" si="593"/>
        <v/>
      </c>
      <c r="GL81" s="86"/>
      <c r="GM81" s="91" t="str">
        <f t="shared" si="490"/>
        <v/>
      </c>
      <c r="GN81" s="91" t="str">
        <f t="shared" si="594"/>
        <v/>
      </c>
      <c r="GO81" s="86"/>
      <c r="GP81" s="91" t="str">
        <f t="shared" si="491"/>
        <v/>
      </c>
      <c r="GQ81" s="91" t="str">
        <f t="shared" si="595"/>
        <v/>
      </c>
      <c r="GR81" s="86"/>
      <c r="GS81" s="91" t="str">
        <f t="shared" si="492"/>
        <v/>
      </c>
      <c r="GT81" s="91" t="str">
        <f t="shared" si="596"/>
        <v/>
      </c>
      <c r="GU81" s="86"/>
      <c r="GV81" s="91" t="str">
        <f t="shared" si="493"/>
        <v/>
      </c>
      <c r="GW81" s="91" t="str">
        <f t="shared" si="597"/>
        <v/>
      </c>
      <c r="GX81" s="86"/>
      <c r="GY81" s="91" t="str">
        <f t="shared" si="494"/>
        <v/>
      </c>
      <c r="GZ81" s="91" t="str">
        <f t="shared" si="598"/>
        <v/>
      </c>
      <c r="HA81" s="86"/>
      <c r="HB81" s="91" t="str">
        <f t="shared" si="495"/>
        <v/>
      </c>
      <c r="HC81" s="91" t="str">
        <f t="shared" si="599"/>
        <v/>
      </c>
      <c r="HD81" s="86"/>
      <c r="HE81" s="91" t="str">
        <f t="shared" si="496"/>
        <v/>
      </c>
      <c r="HF81" s="91" t="str">
        <f t="shared" si="600"/>
        <v/>
      </c>
      <c r="HG81" s="86"/>
      <c r="HH81" s="91" t="str">
        <f t="shared" si="497"/>
        <v/>
      </c>
      <c r="HI81" s="91" t="str">
        <f t="shared" si="601"/>
        <v/>
      </c>
      <c r="HJ81" s="86"/>
      <c r="HK81" s="91" t="str">
        <f t="shared" si="498"/>
        <v/>
      </c>
      <c r="HL81" s="91" t="str">
        <f t="shared" si="602"/>
        <v/>
      </c>
      <c r="HM81" s="86"/>
      <c r="HN81" s="91" t="str">
        <f t="shared" si="499"/>
        <v/>
      </c>
      <c r="HO81" s="91" t="str">
        <f t="shared" si="603"/>
        <v/>
      </c>
      <c r="HP81" s="86"/>
      <c r="HQ81" s="91" t="str">
        <f t="shared" si="500"/>
        <v/>
      </c>
      <c r="HR81" s="91" t="str">
        <f t="shared" si="604"/>
        <v/>
      </c>
      <c r="HS81" s="86"/>
      <c r="HT81" s="91" t="str">
        <f t="shared" si="501"/>
        <v/>
      </c>
      <c r="HU81" s="91" t="str">
        <f t="shared" si="605"/>
        <v/>
      </c>
      <c r="HV81" s="86"/>
      <c r="HW81" s="91" t="str">
        <f t="shared" si="502"/>
        <v/>
      </c>
      <c r="HX81" s="91" t="str">
        <f t="shared" si="606"/>
        <v/>
      </c>
      <c r="HY81" s="86"/>
      <c r="HZ81" s="91" t="str">
        <f t="shared" si="503"/>
        <v/>
      </c>
      <c r="IA81" s="91" t="str">
        <f t="shared" si="607"/>
        <v/>
      </c>
      <c r="IB81" s="86"/>
      <c r="IC81" s="91" t="str">
        <f t="shared" si="504"/>
        <v/>
      </c>
      <c r="ID81" s="91" t="str">
        <f t="shared" si="608"/>
        <v/>
      </c>
      <c r="IE81" s="86"/>
      <c r="IF81" s="91" t="str">
        <f t="shared" si="505"/>
        <v/>
      </c>
      <c r="IG81" s="91" t="str">
        <f t="shared" si="609"/>
        <v/>
      </c>
      <c r="IH81" s="86"/>
      <c r="II81" s="91" t="str">
        <f t="shared" si="506"/>
        <v/>
      </c>
      <c r="IJ81" s="91" t="str">
        <f t="shared" si="610"/>
        <v/>
      </c>
      <c r="IK81" s="86"/>
      <c r="IL81" s="91" t="str">
        <f t="shared" si="507"/>
        <v/>
      </c>
      <c r="IM81" s="91" t="str">
        <f t="shared" si="611"/>
        <v/>
      </c>
      <c r="IN81" s="86"/>
      <c r="IO81" s="91" t="str">
        <f t="shared" si="508"/>
        <v/>
      </c>
      <c r="IP81" s="91" t="str">
        <f t="shared" si="612"/>
        <v/>
      </c>
      <c r="IQ81" s="86"/>
      <c r="IR81" s="91" t="str">
        <f t="shared" si="509"/>
        <v/>
      </c>
      <c r="IS81" s="91" t="str">
        <f t="shared" si="613"/>
        <v/>
      </c>
      <c r="IT81" s="86"/>
      <c r="IU81" s="91" t="str">
        <f t="shared" si="510"/>
        <v/>
      </c>
      <c r="IV81" s="91" t="str">
        <f t="shared" si="614"/>
        <v/>
      </c>
      <c r="IW81" s="86"/>
      <c r="IX81" s="91" t="str">
        <f t="shared" si="511"/>
        <v/>
      </c>
      <c r="IY81" s="91" t="str">
        <f t="shared" si="615"/>
        <v/>
      </c>
      <c r="IZ81" s="86"/>
      <c r="JA81" s="91" t="str">
        <f t="shared" si="512"/>
        <v/>
      </c>
      <c r="JB81" s="91" t="str">
        <f t="shared" si="616"/>
        <v/>
      </c>
      <c r="JC81" s="86"/>
      <c r="JD81" s="91" t="str">
        <f t="shared" si="513"/>
        <v/>
      </c>
      <c r="JE81" s="91" t="str">
        <f t="shared" si="617"/>
        <v/>
      </c>
      <c r="JF81" s="86"/>
      <c r="JG81" s="91" t="str">
        <f t="shared" si="514"/>
        <v/>
      </c>
      <c r="JH81" s="91" t="str">
        <f t="shared" si="618"/>
        <v/>
      </c>
      <c r="JI81" s="86"/>
      <c r="JJ81" s="91" t="str">
        <f t="shared" si="515"/>
        <v/>
      </c>
      <c r="JK81" s="91" t="str">
        <f t="shared" si="619"/>
        <v/>
      </c>
      <c r="JL81" s="86"/>
      <c r="JM81" s="91" t="str">
        <f t="shared" si="516"/>
        <v/>
      </c>
      <c r="JN81" s="91" t="str">
        <f t="shared" si="620"/>
        <v/>
      </c>
      <c r="JO81" s="86"/>
      <c r="JP81" s="91" t="str">
        <f t="shared" si="517"/>
        <v/>
      </c>
      <c r="JQ81" s="91" t="str">
        <f t="shared" si="621"/>
        <v/>
      </c>
      <c r="JR81" s="86"/>
      <c r="JS81" s="91" t="str">
        <f t="shared" si="518"/>
        <v/>
      </c>
      <c r="JT81" s="91" t="str">
        <f t="shared" si="622"/>
        <v/>
      </c>
      <c r="JU81" s="86"/>
      <c r="JV81" s="91" t="str">
        <f t="shared" si="519"/>
        <v/>
      </c>
      <c r="JW81" s="91" t="str">
        <f t="shared" si="623"/>
        <v/>
      </c>
      <c r="JX81" s="86"/>
      <c r="JY81" s="91" t="str">
        <f t="shared" si="520"/>
        <v/>
      </c>
      <c r="JZ81" s="91" t="str">
        <f t="shared" si="624"/>
        <v/>
      </c>
      <c r="KA81" s="86"/>
      <c r="KB81" s="91" t="str">
        <f t="shared" si="521"/>
        <v/>
      </c>
      <c r="KC81" s="91" t="str">
        <f t="shared" si="625"/>
        <v/>
      </c>
      <c r="KD81" s="86"/>
      <c r="KE81" s="91" t="str">
        <f t="shared" si="522"/>
        <v/>
      </c>
      <c r="KF81" s="91" t="str">
        <f t="shared" si="626"/>
        <v/>
      </c>
      <c r="KG81" s="86"/>
      <c r="KH81" s="91" t="str">
        <f t="shared" si="523"/>
        <v/>
      </c>
      <c r="KI81" s="91" t="str">
        <f t="shared" si="627"/>
        <v/>
      </c>
      <c r="KJ81" s="86"/>
      <c r="KK81" s="91" t="str">
        <f t="shared" si="524"/>
        <v/>
      </c>
      <c r="KL81" s="91" t="str">
        <f t="shared" si="628"/>
        <v/>
      </c>
      <c r="KM81" s="86"/>
      <c r="KN81" s="91" t="str">
        <f t="shared" si="525"/>
        <v/>
      </c>
      <c r="KO81" s="91" t="str">
        <f t="shared" si="629"/>
        <v/>
      </c>
      <c r="KP81" s="86"/>
      <c r="KQ81" s="91" t="str">
        <f t="shared" si="526"/>
        <v/>
      </c>
      <c r="KR81" s="91" t="str">
        <f t="shared" si="630"/>
        <v/>
      </c>
      <c r="KS81" s="86"/>
      <c r="KT81" s="91" t="str">
        <f t="shared" si="527"/>
        <v/>
      </c>
      <c r="KU81" s="91" t="str">
        <f t="shared" si="631"/>
        <v/>
      </c>
      <c r="KV81" s="86"/>
      <c r="KW81" s="91" t="str">
        <f t="shared" si="528"/>
        <v/>
      </c>
      <c r="KX81" s="91" t="str">
        <f t="shared" si="632"/>
        <v/>
      </c>
      <c r="KY81" s="92"/>
      <c r="KZ81" s="91" t="str">
        <f t="shared" si="529"/>
        <v/>
      </c>
      <c r="LA81" s="91" t="str">
        <f t="shared" si="633"/>
        <v/>
      </c>
      <c r="LB81" s="106" t="str">
        <f t="shared" si="430"/>
        <v/>
      </c>
      <c r="LC81" s="108" t="str">
        <f t="shared" si="634"/>
        <v/>
      </c>
      <c r="LD81" s="106" t="str">
        <f t="shared" si="635"/>
        <v/>
      </c>
      <c r="LE81" s="108" t="str">
        <f t="shared" si="636"/>
        <v/>
      </c>
      <c r="LF81" s="106" t="str">
        <f t="shared" si="637"/>
        <v/>
      </c>
      <c r="LG81" s="108" t="str">
        <f t="shared" si="638"/>
        <v/>
      </c>
      <c r="LH81" s="109" t="str">
        <f t="shared" si="530"/>
        <v/>
      </c>
      <c r="LI81" s="109" t="str">
        <f t="shared" si="531"/>
        <v/>
      </c>
      <c r="LJ81" s="109" t="str">
        <f t="shared" si="532"/>
        <v/>
      </c>
      <c r="LK81" s="109" t="str">
        <f t="shared" si="639"/>
        <v/>
      </c>
      <c r="LL81" s="111" t="str">
        <f t="shared" si="640"/>
        <v/>
      </c>
      <c r="LM81" s="64"/>
      <c r="LN81" s="112" t="str">
        <f t="shared" si="644"/>
        <v/>
      </c>
      <c r="LO81" s="113" t="str">
        <f t="shared" si="641"/>
        <v/>
      </c>
      <c r="LP81" s="64"/>
      <c r="LQ81" s="64"/>
      <c r="LR81" s="64"/>
    </row>
    <row r="82" spans="1:348" s="62" customFormat="1" ht="15" customHeight="1">
      <c r="A82" s="106">
        <f t="shared" si="642"/>
        <v>0</v>
      </c>
      <c r="B82" s="106">
        <f t="shared" si="643"/>
        <v>0</v>
      </c>
      <c r="C82" s="51"/>
      <c r="D82" s="52"/>
      <c r="E82" s="53"/>
      <c r="F82" s="53"/>
      <c r="G82" s="53"/>
      <c r="H82" s="53"/>
      <c r="I82" s="53"/>
      <c r="J82" s="53"/>
      <c r="K82" s="53"/>
      <c r="L82" s="53"/>
      <c r="M82" s="107" t="s">
        <v>35</v>
      </c>
      <c r="N82" s="86"/>
      <c r="O82" s="91" t="str">
        <f t="shared" si="431"/>
        <v/>
      </c>
      <c r="P82" s="91" t="str">
        <f t="shared" si="534"/>
        <v/>
      </c>
      <c r="Q82" s="86"/>
      <c r="R82" s="91" t="str">
        <f t="shared" si="432"/>
        <v/>
      </c>
      <c r="S82" s="91" t="str">
        <f t="shared" si="535"/>
        <v/>
      </c>
      <c r="T82" s="86"/>
      <c r="U82" s="91" t="str">
        <f t="shared" si="433"/>
        <v/>
      </c>
      <c r="V82" s="91" t="str">
        <f t="shared" si="536"/>
        <v/>
      </c>
      <c r="W82" s="86"/>
      <c r="X82" s="91" t="str">
        <f t="shared" si="434"/>
        <v/>
      </c>
      <c r="Y82" s="91" t="str">
        <f t="shared" si="537"/>
        <v/>
      </c>
      <c r="Z82" s="86"/>
      <c r="AA82" s="91" t="str">
        <f t="shared" si="435"/>
        <v/>
      </c>
      <c r="AB82" s="91" t="str">
        <f t="shared" si="538"/>
        <v/>
      </c>
      <c r="AC82" s="86"/>
      <c r="AD82" s="91" t="str">
        <f t="shared" si="436"/>
        <v/>
      </c>
      <c r="AE82" s="91" t="str">
        <f t="shared" si="539"/>
        <v/>
      </c>
      <c r="AF82" s="86"/>
      <c r="AG82" s="91" t="str">
        <f t="shared" si="437"/>
        <v/>
      </c>
      <c r="AH82" s="91" t="str">
        <f t="shared" si="540"/>
        <v/>
      </c>
      <c r="AI82" s="86"/>
      <c r="AJ82" s="91" t="str">
        <f t="shared" si="438"/>
        <v/>
      </c>
      <c r="AK82" s="91" t="str">
        <f t="shared" si="541"/>
        <v/>
      </c>
      <c r="AL82" s="86"/>
      <c r="AM82" s="91" t="str">
        <f t="shared" si="439"/>
        <v/>
      </c>
      <c r="AN82" s="91" t="str">
        <f t="shared" si="542"/>
        <v/>
      </c>
      <c r="AO82" s="86"/>
      <c r="AP82" s="91" t="str">
        <f t="shared" si="440"/>
        <v/>
      </c>
      <c r="AQ82" s="91" t="str">
        <f t="shared" si="543"/>
        <v/>
      </c>
      <c r="AR82" s="86"/>
      <c r="AS82" s="91" t="str">
        <f t="shared" si="441"/>
        <v/>
      </c>
      <c r="AT82" s="91" t="str">
        <f t="shared" si="544"/>
        <v/>
      </c>
      <c r="AU82" s="86"/>
      <c r="AV82" s="91" t="str">
        <f t="shared" si="442"/>
        <v/>
      </c>
      <c r="AW82" s="91" t="str">
        <f t="shared" si="545"/>
        <v/>
      </c>
      <c r="AX82" s="86"/>
      <c r="AY82" s="91" t="str">
        <f t="shared" si="443"/>
        <v/>
      </c>
      <c r="AZ82" s="91" t="str">
        <f t="shared" si="546"/>
        <v/>
      </c>
      <c r="BA82" s="86"/>
      <c r="BB82" s="91" t="str">
        <f t="shared" si="444"/>
        <v/>
      </c>
      <c r="BC82" s="91" t="str">
        <f t="shared" si="547"/>
        <v/>
      </c>
      <c r="BD82" s="86"/>
      <c r="BE82" s="91" t="str">
        <f t="shared" si="445"/>
        <v/>
      </c>
      <c r="BF82" s="91" t="str">
        <f t="shared" si="548"/>
        <v/>
      </c>
      <c r="BG82" s="86"/>
      <c r="BH82" s="91" t="str">
        <f t="shared" si="446"/>
        <v/>
      </c>
      <c r="BI82" s="91" t="str">
        <f t="shared" si="549"/>
        <v/>
      </c>
      <c r="BJ82" s="86"/>
      <c r="BK82" s="91" t="str">
        <f t="shared" si="447"/>
        <v/>
      </c>
      <c r="BL82" s="91" t="str">
        <f t="shared" si="550"/>
        <v/>
      </c>
      <c r="BM82" s="86"/>
      <c r="BN82" s="91" t="str">
        <f t="shared" si="448"/>
        <v/>
      </c>
      <c r="BO82" s="91" t="str">
        <f t="shared" si="551"/>
        <v/>
      </c>
      <c r="BP82" s="51"/>
      <c r="BQ82" s="91" t="str">
        <f t="shared" si="449"/>
        <v/>
      </c>
      <c r="BR82" s="91" t="str">
        <f t="shared" si="552"/>
        <v/>
      </c>
      <c r="BS82" s="86"/>
      <c r="BT82" s="91" t="str">
        <f t="shared" si="450"/>
        <v/>
      </c>
      <c r="BU82" s="91" t="str">
        <f t="shared" si="553"/>
        <v/>
      </c>
      <c r="BV82" s="86"/>
      <c r="BW82" s="91" t="str">
        <f t="shared" si="451"/>
        <v/>
      </c>
      <c r="BX82" s="91" t="str">
        <f t="shared" si="554"/>
        <v/>
      </c>
      <c r="BY82" s="86"/>
      <c r="BZ82" s="91" t="str">
        <f t="shared" si="452"/>
        <v/>
      </c>
      <c r="CA82" s="91" t="str">
        <f t="shared" si="555"/>
        <v/>
      </c>
      <c r="CB82" s="86"/>
      <c r="CC82" s="91" t="str">
        <f t="shared" si="453"/>
        <v/>
      </c>
      <c r="CD82" s="91" t="str">
        <f t="shared" si="556"/>
        <v/>
      </c>
      <c r="CE82" s="86"/>
      <c r="CF82" s="91" t="str">
        <f t="shared" si="454"/>
        <v/>
      </c>
      <c r="CG82" s="91" t="str">
        <f t="shared" si="557"/>
        <v/>
      </c>
      <c r="CH82" s="86"/>
      <c r="CI82" s="91" t="str">
        <f t="shared" si="455"/>
        <v/>
      </c>
      <c r="CJ82" s="91" t="str">
        <f t="shared" si="558"/>
        <v/>
      </c>
      <c r="CK82" s="86"/>
      <c r="CL82" s="91" t="str">
        <f t="shared" si="456"/>
        <v/>
      </c>
      <c r="CM82" s="91" t="str">
        <f t="shared" si="559"/>
        <v/>
      </c>
      <c r="CN82" s="97"/>
      <c r="CO82" s="91" t="str">
        <f t="shared" si="457"/>
        <v/>
      </c>
      <c r="CP82" s="91" t="str">
        <f t="shared" si="560"/>
        <v/>
      </c>
      <c r="CQ82" s="86"/>
      <c r="CR82" s="91" t="str">
        <f t="shared" si="458"/>
        <v/>
      </c>
      <c r="CS82" s="91" t="str">
        <f t="shared" si="561"/>
        <v/>
      </c>
      <c r="CT82" s="86"/>
      <c r="CU82" s="91" t="str">
        <f t="shared" si="459"/>
        <v/>
      </c>
      <c r="CV82" s="91" t="str">
        <f t="shared" si="562"/>
        <v/>
      </c>
      <c r="CW82" s="86"/>
      <c r="CX82" s="91" t="str">
        <f t="shared" si="460"/>
        <v/>
      </c>
      <c r="CY82" s="91" t="str">
        <f t="shared" si="563"/>
        <v/>
      </c>
      <c r="CZ82" s="86"/>
      <c r="DA82" s="91" t="str">
        <f t="shared" si="461"/>
        <v/>
      </c>
      <c r="DB82" s="91" t="str">
        <f t="shared" si="564"/>
        <v/>
      </c>
      <c r="DC82" s="97"/>
      <c r="DD82" s="91" t="str">
        <f t="shared" si="462"/>
        <v/>
      </c>
      <c r="DE82" s="91" t="str">
        <f t="shared" si="565"/>
        <v/>
      </c>
      <c r="DF82" s="86"/>
      <c r="DG82" s="91"/>
      <c r="DH82" s="91" t="str">
        <f t="shared" si="566"/>
        <v/>
      </c>
      <c r="DI82" s="86"/>
      <c r="DJ82" s="91" t="str">
        <f t="shared" si="463"/>
        <v/>
      </c>
      <c r="DK82" s="91" t="str">
        <f t="shared" si="567"/>
        <v/>
      </c>
      <c r="DL82" s="86"/>
      <c r="DM82" s="91" t="str">
        <f t="shared" si="464"/>
        <v/>
      </c>
      <c r="DN82" s="91" t="str">
        <f t="shared" si="568"/>
        <v/>
      </c>
      <c r="DO82" s="86"/>
      <c r="DP82" s="91" t="str">
        <f t="shared" si="465"/>
        <v/>
      </c>
      <c r="DQ82" s="91" t="str">
        <f t="shared" si="569"/>
        <v/>
      </c>
      <c r="DR82" s="86"/>
      <c r="DS82" s="91" t="str">
        <f t="shared" si="466"/>
        <v/>
      </c>
      <c r="DT82" s="91" t="str">
        <f t="shared" si="570"/>
        <v/>
      </c>
      <c r="DU82" s="86"/>
      <c r="DV82" s="91" t="str">
        <f t="shared" si="467"/>
        <v/>
      </c>
      <c r="DW82" s="91" t="str">
        <f t="shared" si="571"/>
        <v/>
      </c>
      <c r="DX82" s="86"/>
      <c r="DY82" s="91" t="str">
        <f t="shared" si="468"/>
        <v/>
      </c>
      <c r="DZ82" s="91" t="str">
        <f t="shared" si="572"/>
        <v/>
      </c>
      <c r="EA82" s="86"/>
      <c r="EB82" s="91" t="str">
        <f t="shared" si="469"/>
        <v/>
      </c>
      <c r="EC82" s="91" t="str">
        <f t="shared" si="573"/>
        <v/>
      </c>
      <c r="ED82" s="86"/>
      <c r="EE82" s="91" t="str">
        <f t="shared" si="470"/>
        <v/>
      </c>
      <c r="EF82" s="91" t="str">
        <f t="shared" si="574"/>
        <v/>
      </c>
      <c r="EG82" s="86"/>
      <c r="EH82" s="91" t="str">
        <f t="shared" si="471"/>
        <v/>
      </c>
      <c r="EI82" s="91" t="str">
        <f t="shared" si="575"/>
        <v/>
      </c>
      <c r="EJ82" s="86"/>
      <c r="EK82" s="91" t="str">
        <f t="shared" si="472"/>
        <v/>
      </c>
      <c r="EL82" s="91" t="str">
        <f t="shared" si="576"/>
        <v/>
      </c>
      <c r="EM82" s="86"/>
      <c r="EN82" s="91" t="str">
        <f t="shared" si="473"/>
        <v/>
      </c>
      <c r="EO82" s="91" t="str">
        <f t="shared" si="577"/>
        <v/>
      </c>
      <c r="EP82" s="86"/>
      <c r="EQ82" s="91" t="str">
        <f t="shared" si="474"/>
        <v/>
      </c>
      <c r="ER82" s="91" t="str">
        <f t="shared" si="578"/>
        <v/>
      </c>
      <c r="ES82" s="51"/>
      <c r="ET82" s="91" t="str">
        <f t="shared" si="475"/>
        <v/>
      </c>
      <c r="EU82" s="91" t="str">
        <f t="shared" si="579"/>
        <v/>
      </c>
      <c r="EV82" s="86"/>
      <c r="EW82" s="91" t="str">
        <f t="shared" si="476"/>
        <v/>
      </c>
      <c r="EX82" s="91" t="str">
        <f t="shared" si="580"/>
        <v/>
      </c>
      <c r="EY82" s="97"/>
      <c r="EZ82" s="91" t="str">
        <f t="shared" si="477"/>
        <v/>
      </c>
      <c r="FA82" s="91" t="str">
        <f t="shared" si="581"/>
        <v/>
      </c>
      <c r="FB82" s="86"/>
      <c r="FC82" s="91" t="str">
        <f t="shared" si="478"/>
        <v/>
      </c>
      <c r="FD82" s="91" t="str">
        <f t="shared" si="582"/>
        <v/>
      </c>
      <c r="FE82" s="86"/>
      <c r="FF82" s="91" t="str">
        <f t="shared" si="479"/>
        <v/>
      </c>
      <c r="FG82" s="91" t="str">
        <f t="shared" si="583"/>
        <v/>
      </c>
      <c r="FH82" s="86"/>
      <c r="FI82" s="91" t="str">
        <f t="shared" si="480"/>
        <v/>
      </c>
      <c r="FJ82" s="91" t="str">
        <f t="shared" si="584"/>
        <v/>
      </c>
      <c r="FK82" s="86"/>
      <c r="FL82" s="91" t="str">
        <f t="shared" si="481"/>
        <v/>
      </c>
      <c r="FM82" s="91" t="str">
        <f t="shared" si="585"/>
        <v/>
      </c>
      <c r="FN82" s="86"/>
      <c r="FO82" s="91" t="str">
        <f t="shared" si="482"/>
        <v/>
      </c>
      <c r="FP82" s="91" t="str">
        <f t="shared" si="586"/>
        <v/>
      </c>
      <c r="FQ82" s="86"/>
      <c r="FR82" s="91" t="str">
        <f t="shared" si="483"/>
        <v/>
      </c>
      <c r="FS82" s="91" t="str">
        <f t="shared" si="587"/>
        <v/>
      </c>
      <c r="FT82" s="86"/>
      <c r="FU82" s="91" t="str">
        <f t="shared" si="484"/>
        <v/>
      </c>
      <c r="FV82" s="91" t="str">
        <f t="shared" si="588"/>
        <v/>
      </c>
      <c r="FW82" s="92"/>
      <c r="FX82" s="91" t="str">
        <f t="shared" si="485"/>
        <v/>
      </c>
      <c r="FY82" s="91" t="str">
        <f t="shared" si="589"/>
        <v/>
      </c>
      <c r="FZ82" s="86"/>
      <c r="GA82" s="91" t="str">
        <f t="shared" si="486"/>
        <v/>
      </c>
      <c r="GB82" s="91" t="str">
        <f t="shared" si="590"/>
        <v/>
      </c>
      <c r="GC82" s="97"/>
      <c r="GD82" s="91" t="str">
        <f t="shared" si="487"/>
        <v/>
      </c>
      <c r="GE82" s="91" t="str">
        <f t="shared" si="591"/>
        <v/>
      </c>
      <c r="GF82" s="86"/>
      <c r="GG82" s="91" t="str">
        <f t="shared" si="488"/>
        <v/>
      </c>
      <c r="GH82" s="91" t="str">
        <f t="shared" si="592"/>
        <v/>
      </c>
      <c r="GI82" s="86"/>
      <c r="GJ82" s="91" t="str">
        <f t="shared" si="489"/>
        <v/>
      </c>
      <c r="GK82" s="91" t="str">
        <f t="shared" si="593"/>
        <v/>
      </c>
      <c r="GL82" s="86"/>
      <c r="GM82" s="91" t="str">
        <f t="shared" si="490"/>
        <v/>
      </c>
      <c r="GN82" s="91" t="str">
        <f t="shared" si="594"/>
        <v/>
      </c>
      <c r="GO82" s="86"/>
      <c r="GP82" s="91" t="str">
        <f t="shared" si="491"/>
        <v/>
      </c>
      <c r="GQ82" s="91" t="str">
        <f t="shared" si="595"/>
        <v/>
      </c>
      <c r="GR82" s="86"/>
      <c r="GS82" s="91" t="str">
        <f t="shared" si="492"/>
        <v/>
      </c>
      <c r="GT82" s="91" t="str">
        <f t="shared" si="596"/>
        <v/>
      </c>
      <c r="GU82" s="86"/>
      <c r="GV82" s="91" t="str">
        <f t="shared" si="493"/>
        <v/>
      </c>
      <c r="GW82" s="91" t="str">
        <f t="shared" si="597"/>
        <v/>
      </c>
      <c r="GX82" s="86"/>
      <c r="GY82" s="91" t="str">
        <f t="shared" si="494"/>
        <v/>
      </c>
      <c r="GZ82" s="91" t="str">
        <f t="shared" si="598"/>
        <v/>
      </c>
      <c r="HA82" s="86"/>
      <c r="HB82" s="91" t="str">
        <f t="shared" si="495"/>
        <v/>
      </c>
      <c r="HC82" s="91" t="str">
        <f t="shared" si="599"/>
        <v/>
      </c>
      <c r="HD82" s="97"/>
      <c r="HE82" s="91" t="str">
        <f t="shared" si="496"/>
        <v/>
      </c>
      <c r="HF82" s="91" t="str">
        <f t="shared" si="600"/>
        <v/>
      </c>
      <c r="HG82" s="86"/>
      <c r="HH82" s="91" t="str">
        <f t="shared" si="497"/>
        <v/>
      </c>
      <c r="HI82" s="91" t="str">
        <f t="shared" si="601"/>
        <v/>
      </c>
      <c r="HJ82" s="86"/>
      <c r="HK82" s="91" t="str">
        <f t="shared" si="498"/>
        <v/>
      </c>
      <c r="HL82" s="91" t="str">
        <f t="shared" si="602"/>
        <v/>
      </c>
      <c r="HM82" s="86"/>
      <c r="HN82" s="91" t="str">
        <f t="shared" si="499"/>
        <v/>
      </c>
      <c r="HO82" s="91" t="str">
        <f t="shared" si="603"/>
        <v/>
      </c>
      <c r="HP82" s="86"/>
      <c r="HQ82" s="91" t="str">
        <f t="shared" si="500"/>
        <v/>
      </c>
      <c r="HR82" s="91" t="str">
        <f t="shared" si="604"/>
        <v/>
      </c>
      <c r="HS82" s="86"/>
      <c r="HT82" s="91" t="str">
        <f t="shared" si="501"/>
        <v/>
      </c>
      <c r="HU82" s="91" t="str">
        <f t="shared" si="605"/>
        <v/>
      </c>
      <c r="HV82" s="86"/>
      <c r="HW82" s="91" t="str">
        <f t="shared" si="502"/>
        <v/>
      </c>
      <c r="HX82" s="91" t="str">
        <f t="shared" si="606"/>
        <v/>
      </c>
      <c r="HY82" s="86"/>
      <c r="HZ82" s="91" t="str">
        <f t="shared" si="503"/>
        <v/>
      </c>
      <c r="IA82" s="91" t="str">
        <f t="shared" si="607"/>
        <v/>
      </c>
      <c r="IB82" s="86"/>
      <c r="IC82" s="91" t="str">
        <f t="shared" si="504"/>
        <v/>
      </c>
      <c r="ID82" s="91" t="str">
        <f t="shared" si="608"/>
        <v/>
      </c>
      <c r="IE82" s="86"/>
      <c r="IF82" s="91" t="str">
        <f t="shared" si="505"/>
        <v/>
      </c>
      <c r="IG82" s="91" t="str">
        <f t="shared" si="609"/>
        <v/>
      </c>
      <c r="IH82" s="86"/>
      <c r="II82" s="91" t="str">
        <f t="shared" si="506"/>
        <v/>
      </c>
      <c r="IJ82" s="91" t="str">
        <f t="shared" si="610"/>
        <v/>
      </c>
      <c r="IK82" s="86"/>
      <c r="IL82" s="91" t="str">
        <f t="shared" si="507"/>
        <v/>
      </c>
      <c r="IM82" s="91" t="str">
        <f t="shared" si="611"/>
        <v/>
      </c>
      <c r="IN82" s="86"/>
      <c r="IO82" s="91" t="str">
        <f t="shared" si="508"/>
        <v/>
      </c>
      <c r="IP82" s="91" t="str">
        <f t="shared" si="612"/>
        <v/>
      </c>
      <c r="IQ82" s="86"/>
      <c r="IR82" s="91" t="str">
        <f t="shared" si="509"/>
        <v/>
      </c>
      <c r="IS82" s="91" t="str">
        <f t="shared" si="613"/>
        <v/>
      </c>
      <c r="IT82" s="86"/>
      <c r="IU82" s="91" t="str">
        <f t="shared" si="510"/>
        <v/>
      </c>
      <c r="IV82" s="91" t="str">
        <f t="shared" si="614"/>
        <v/>
      </c>
      <c r="IW82" s="86"/>
      <c r="IX82" s="91" t="str">
        <f t="shared" si="511"/>
        <v/>
      </c>
      <c r="IY82" s="91" t="str">
        <f t="shared" si="615"/>
        <v/>
      </c>
      <c r="IZ82" s="86"/>
      <c r="JA82" s="91" t="str">
        <f t="shared" si="512"/>
        <v/>
      </c>
      <c r="JB82" s="91" t="str">
        <f t="shared" si="616"/>
        <v/>
      </c>
      <c r="JC82" s="86"/>
      <c r="JD82" s="91" t="str">
        <f t="shared" si="513"/>
        <v/>
      </c>
      <c r="JE82" s="91" t="str">
        <f t="shared" si="617"/>
        <v/>
      </c>
      <c r="JF82" s="86"/>
      <c r="JG82" s="91" t="str">
        <f t="shared" si="514"/>
        <v/>
      </c>
      <c r="JH82" s="91" t="str">
        <f t="shared" si="618"/>
        <v/>
      </c>
      <c r="JI82" s="86"/>
      <c r="JJ82" s="91" t="str">
        <f t="shared" si="515"/>
        <v/>
      </c>
      <c r="JK82" s="91" t="str">
        <f t="shared" si="619"/>
        <v/>
      </c>
      <c r="JL82" s="86"/>
      <c r="JM82" s="91" t="str">
        <f t="shared" si="516"/>
        <v/>
      </c>
      <c r="JN82" s="91" t="str">
        <f t="shared" si="620"/>
        <v/>
      </c>
      <c r="JO82" s="86"/>
      <c r="JP82" s="91" t="str">
        <f t="shared" si="517"/>
        <v/>
      </c>
      <c r="JQ82" s="91" t="str">
        <f t="shared" si="621"/>
        <v/>
      </c>
      <c r="JR82" s="86"/>
      <c r="JS82" s="91" t="str">
        <f t="shared" si="518"/>
        <v/>
      </c>
      <c r="JT82" s="91" t="str">
        <f t="shared" si="622"/>
        <v/>
      </c>
      <c r="JU82" s="86"/>
      <c r="JV82" s="91" t="str">
        <f t="shared" si="519"/>
        <v/>
      </c>
      <c r="JW82" s="91" t="str">
        <f t="shared" si="623"/>
        <v/>
      </c>
      <c r="JX82" s="86"/>
      <c r="JY82" s="91" t="str">
        <f t="shared" si="520"/>
        <v/>
      </c>
      <c r="JZ82" s="91" t="str">
        <f t="shared" si="624"/>
        <v/>
      </c>
      <c r="KA82" s="86"/>
      <c r="KB82" s="91" t="str">
        <f t="shared" si="521"/>
        <v/>
      </c>
      <c r="KC82" s="91" t="str">
        <f t="shared" si="625"/>
        <v/>
      </c>
      <c r="KD82" s="86"/>
      <c r="KE82" s="91" t="str">
        <f t="shared" si="522"/>
        <v/>
      </c>
      <c r="KF82" s="91" t="str">
        <f t="shared" si="626"/>
        <v/>
      </c>
      <c r="KG82" s="86"/>
      <c r="KH82" s="91" t="str">
        <f t="shared" si="523"/>
        <v/>
      </c>
      <c r="KI82" s="91" t="str">
        <f t="shared" si="627"/>
        <v/>
      </c>
      <c r="KJ82" s="86"/>
      <c r="KK82" s="91" t="str">
        <f t="shared" si="524"/>
        <v/>
      </c>
      <c r="KL82" s="91" t="str">
        <f t="shared" si="628"/>
        <v/>
      </c>
      <c r="KM82" s="86"/>
      <c r="KN82" s="91" t="str">
        <f t="shared" si="525"/>
        <v/>
      </c>
      <c r="KO82" s="91" t="str">
        <f t="shared" si="629"/>
        <v/>
      </c>
      <c r="KP82" s="86"/>
      <c r="KQ82" s="91" t="str">
        <f t="shared" si="526"/>
        <v/>
      </c>
      <c r="KR82" s="91" t="str">
        <f t="shared" si="630"/>
        <v/>
      </c>
      <c r="KS82" s="86"/>
      <c r="KT82" s="91" t="str">
        <f t="shared" si="527"/>
        <v/>
      </c>
      <c r="KU82" s="91" t="str">
        <f t="shared" si="631"/>
        <v/>
      </c>
      <c r="KV82" s="86"/>
      <c r="KW82" s="91" t="str">
        <f t="shared" si="528"/>
        <v/>
      </c>
      <c r="KX82" s="91" t="str">
        <f t="shared" si="632"/>
        <v/>
      </c>
      <c r="KY82" s="92"/>
      <c r="KZ82" s="91" t="str">
        <f t="shared" si="529"/>
        <v/>
      </c>
      <c r="LA82" s="91" t="str">
        <f t="shared" si="633"/>
        <v/>
      </c>
      <c r="LB82" s="106" t="str">
        <f t="shared" ref="LB82:LB85" si="645">IFERROR(AVERAGE($N82,$Q82,$T82,$W82,$Z82,$AC82,$AF82,$AI82,$AL82,$AO82,$AR82,$AU82,$AX82,$BA82,$BD82,$BG82,$BJ82,$BM82,$BP82,$BS82,$BV82,$BY82,$CB82,$CE82,$CH82,$CK82,$CN82,$CQ82,$CT82,$CW82,$CZ82,$DC82,$DF82,$DI82,$DL82,$DO82,$DR82,$DU82,$DX82,$EA82,$ED82,$EG82,$EJ82,$EM82,$EP82,$ES82,$EV82,$EY82,$FB82,$FE82,$FH82,$FK82,$FN82,$FQ82,$FT82,$FW82,$FZ82,$GC82,$GF82,$GI82,$GL82,$GO82,$GR82,$GU82,$GX82,$HA82,$HD82,$HG82,$HJ82,$HM82,$HP82,$HS82,$HV82,$HY82,$IB82,$IE82,$IH82, $IK82, $IN82,$IQ82,$IT82,$IW82,$IZ82,$JC82,$JF82,$JI82,$JL82,$JO82,$JR82,$JU82,$JX82,$KA82,$KD82,$KG82,$KJ82,$KJ82,$KM82,$KP82,$KS82,$KV82,$KY82),"")</f>
        <v/>
      </c>
      <c r="LC82" s="108" t="str">
        <f t="shared" si="634"/>
        <v/>
      </c>
      <c r="LD82" s="106" t="str">
        <f t="shared" si="635"/>
        <v/>
      </c>
      <c r="LE82" s="108" t="str">
        <f t="shared" si="636"/>
        <v/>
      </c>
      <c r="LF82" s="106" t="str">
        <f t="shared" si="637"/>
        <v/>
      </c>
      <c r="LG82" s="108" t="str">
        <f t="shared" si="638"/>
        <v/>
      </c>
      <c r="LH82" s="109" t="str">
        <f t="shared" si="530"/>
        <v/>
      </c>
      <c r="LI82" s="109" t="str">
        <f t="shared" si="531"/>
        <v/>
      </c>
      <c r="LJ82" s="109" t="str">
        <f t="shared" si="532"/>
        <v/>
      </c>
      <c r="LK82" s="109" t="str">
        <f t="shared" si="639"/>
        <v/>
      </c>
      <c r="LL82" s="111" t="str">
        <f t="shared" si="640"/>
        <v/>
      </c>
      <c r="LM82" s="64"/>
      <c r="LN82" s="112" t="str">
        <f>IFERROR(RANK(LK82,(LK$82:LK$83),0),"")</f>
        <v/>
      </c>
      <c r="LO82" s="112" t="str">
        <f t="shared" ref="LO82:LO98" si="646">LL82</f>
        <v/>
      </c>
      <c r="LP82" s="64"/>
      <c r="LQ82" s="64"/>
      <c r="LR82" s="64"/>
    </row>
    <row r="83" spans="1:348" s="62" customFormat="1" ht="15" customHeight="1">
      <c r="A83" s="106">
        <f t="shared" si="642"/>
        <v>0</v>
      </c>
      <c r="B83" s="106">
        <f t="shared" si="643"/>
        <v>0</v>
      </c>
      <c r="C83" s="51"/>
      <c r="D83" s="52"/>
      <c r="E83" s="53"/>
      <c r="F83" s="53"/>
      <c r="G83" s="53"/>
      <c r="H83" s="53"/>
      <c r="I83" s="53"/>
      <c r="J83" s="53"/>
      <c r="K83" s="53"/>
      <c r="L83" s="53"/>
      <c r="M83" s="107" t="s">
        <v>35</v>
      </c>
      <c r="N83" s="86"/>
      <c r="O83" s="91" t="str">
        <f t="shared" si="431"/>
        <v/>
      </c>
      <c r="P83" s="91" t="str">
        <f t="shared" si="534"/>
        <v/>
      </c>
      <c r="Q83" s="86"/>
      <c r="R83" s="91" t="str">
        <f t="shared" si="432"/>
        <v/>
      </c>
      <c r="S83" s="91" t="str">
        <f t="shared" si="535"/>
        <v/>
      </c>
      <c r="T83" s="86"/>
      <c r="U83" s="91" t="str">
        <f t="shared" si="433"/>
        <v/>
      </c>
      <c r="V83" s="91" t="str">
        <f t="shared" si="536"/>
        <v/>
      </c>
      <c r="W83" s="86"/>
      <c r="X83" s="91" t="str">
        <f t="shared" si="434"/>
        <v/>
      </c>
      <c r="Y83" s="91" t="str">
        <f t="shared" si="537"/>
        <v/>
      </c>
      <c r="Z83" s="86"/>
      <c r="AA83" s="91" t="str">
        <f t="shared" si="435"/>
        <v/>
      </c>
      <c r="AB83" s="91" t="str">
        <f t="shared" si="538"/>
        <v/>
      </c>
      <c r="AC83" s="86"/>
      <c r="AD83" s="91" t="str">
        <f t="shared" si="436"/>
        <v/>
      </c>
      <c r="AE83" s="91" t="str">
        <f t="shared" si="539"/>
        <v/>
      </c>
      <c r="AF83" s="86"/>
      <c r="AG83" s="91" t="str">
        <f t="shared" si="437"/>
        <v/>
      </c>
      <c r="AH83" s="91" t="str">
        <f t="shared" si="540"/>
        <v/>
      </c>
      <c r="AI83" s="86"/>
      <c r="AJ83" s="91" t="str">
        <f t="shared" si="438"/>
        <v/>
      </c>
      <c r="AK83" s="91" t="str">
        <f t="shared" si="541"/>
        <v/>
      </c>
      <c r="AL83" s="86"/>
      <c r="AM83" s="91" t="str">
        <f t="shared" si="439"/>
        <v/>
      </c>
      <c r="AN83" s="91" t="str">
        <f t="shared" si="542"/>
        <v/>
      </c>
      <c r="AO83" s="86"/>
      <c r="AP83" s="91" t="str">
        <f t="shared" si="440"/>
        <v/>
      </c>
      <c r="AQ83" s="91" t="str">
        <f t="shared" si="543"/>
        <v/>
      </c>
      <c r="AR83" s="86"/>
      <c r="AS83" s="91" t="str">
        <f t="shared" si="441"/>
        <v/>
      </c>
      <c r="AT83" s="91" t="str">
        <f t="shared" si="544"/>
        <v/>
      </c>
      <c r="AU83" s="86"/>
      <c r="AV83" s="91" t="str">
        <f t="shared" si="442"/>
        <v/>
      </c>
      <c r="AW83" s="91" t="str">
        <f t="shared" si="545"/>
        <v/>
      </c>
      <c r="AX83" s="86"/>
      <c r="AY83" s="91" t="str">
        <f t="shared" si="443"/>
        <v/>
      </c>
      <c r="AZ83" s="91" t="str">
        <f t="shared" si="546"/>
        <v/>
      </c>
      <c r="BA83" s="86"/>
      <c r="BB83" s="91" t="str">
        <f t="shared" si="444"/>
        <v/>
      </c>
      <c r="BC83" s="91" t="str">
        <f t="shared" si="547"/>
        <v/>
      </c>
      <c r="BD83" s="86"/>
      <c r="BE83" s="91" t="str">
        <f t="shared" si="445"/>
        <v/>
      </c>
      <c r="BF83" s="91" t="str">
        <f t="shared" si="548"/>
        <v/>
      </c>
      <c r="BG83" s="86"/>
      <c r="BH83" s="91" t="str">
        <f t="shared" si="446"/>
        <v/>
      </c>
      <c r="BI83" s="91" t="str">
        <f t="shared" si="549"/>
        <v/>
      </c>
      <c r="BJ83" s="86"/>
      <c r="BK83" s="91" t="str">
        <f t="shared" si="447"/>
        <v/>
      </c>
      <c r="BL83" s="91" t="str">
        <f t="shared" si="550"/>
        <v/>
      </c>
      <c r="BM83" s="86"/>
      <c r="BN83" s="91" t="str">
        <f t="shared" si="448"/>
        <v/>
      </c>
      <c r="BO83" s="91" t="str">
        <f t="shared" si="551"/>
        <v/>
      </c>
      <c r="BP83" s="51"/>
      <c r="BQ83" s="91" t="str">
        <f t="shared" si="449"/>
        <v/>
      </c>
      <c r="BR83" s="91" t="str">
        <f t="shared" si="552"/>
        <v/>
      </c>
      <c r="BS83" s="86"/>
      <c r="BT83" s="91" t="str">
        <f t="shared" si="450"/>
        <v/>
      </c>
      <c r="BU83" s="91" t="str">
        <f t="shared" si="553"/>
        <v/>
      </c>
      <c r="BV83" s="86"/>
      <c r="BW83" s="91" t="str">
        <f t="shared" si="451"/>
        <v/>
      </c>
      <c r="BX83" s="91" t="str">
        <f t="shared" si="554"/>
        <v/>
      </c>
      <c r="BY83" s="86"/>
      <c r="BZ83" s="91" t="str">
        <f t="shared" si="452"/>
        <v/>
      </c>
      <c r="CA83" s="91" t="str">
        <f t="shared" si="555"/>
        <v/>
      </c>
      <c r="CB83" s="86"/>
      <c r="CC83" s="91" t="str">
        <f t="shared" si="453"/>
        <v/>
      </c>
      <c r="CD83" s="91" t="str">
        <f t="shared" si="556"/>
        <v/>
      </c>
      <c r="CE83" s="86"/>
      <c r="CF83" s="91" t="str">
        <f t="shared" si="454"/>
        <v/>
      </c>
      <c r="CG83" s="91" t="str">
        <f t="shared" si="557"/>
        <v/>
      </c>
      <c r="CH83" s="86"/>
      <c r="CI83" s="91" t="str">
        <f t="shared" si="455"/>
        <v/>
      </c>
      <c r="CJ83" s="91" t="str">
        <f t="shared" si="558"/>
        <v/>
      </c>
      <c r="CK83" s="86"/>
      <c r="CL83" s="91" t="str">
        <f t="shared" si="456"/>
        <v/>
      </c>
      <c r="CM83" s="91" t="str">
        <f t="shared" si="559"/>
        <v/>
      </c>
      <c r="CN83" s="97"/>
      <c r="CO83" s="91" t="str">
        <f t="shared" si="457"/>
        <v/>
      </c>
      <c r="CP83" s="91" t="str">
        <f t="shared" si="560"/>
        <v/>
      </c>
      <c r="CQ83" s="86"/>
      <c r="CR83" s="91" t="str">
        <f t="shared" si="458"/>
        <v/>
      </c>
      <c r="CS83" s="91" t="str">
        <f t="shared" si="561"/>
        <v/>
      </c>
      <c r="CT83" s="86"/>
      <c r="CU83" s="91" t="str">
        <f t="shared" si="459"/>
        <v/>
      </c>
      <c r="CV83" s="91" t="str">
        <f t="shared" si="562"/>
        <v/>
      </c>
      <c r="CW83" s="86"/>
      <c r="CX83" s="91" t="str">
        <f t="shared" si="460"/>
        <v/>
      </c>
      <c r="CY83" s="91" t="str">
        <f t="shared" si="563"/>
        <v/>
      </c>
      <c r="CZ83" s="86"/>
      <c r="DA83" s="91" t="str">
        <f t="shared" si="461"/>
        <v/>
      </c>
      <c r="DB83" s="91" t="str">
        <f t="shared" si="564"/>
        <v/>
      </c>
      <c r="DC83" s="97"/>
      <c r="DD83" s="91" t="str">
        <f t="shared" si="462"/>
        <v/>
      </c>
      <c r="DE83" s="91" t="str">
        <f t="shared" si="565"/>
        <v/>
      </c>
      <c r="DF83" s="86"/>
      <c r="DG83" s="91"/>
      <c r="DH83" s="91" t="str">
        <f t="shared" si="566"/>
        <v/>
      </c>
      <c r="DI83" s="86"/>
      <c r="DJ83" s="91" t="str">
        <f t="shared" si="463"/>
        <v/>
      </c>
      <c r="DK83" s="91" t="str">
        <f t="shared" si="567"/>
        <v/>
      </c>
      <c r="DL83" s="86"/>
      <c r="DM83" s="91" t="str">
        <f t="shared" si="464"/>
        <v/>
      </c>
      <c r="DN83" s="91" t="str">
        <f t="shared" si="568"/>
        <v/>
      </c>
      <c r="DO83" s="86"/>
      <c r="DP83" s="91" t="str">
        <f t="shared" si="465"/>
        <v/>
      </c>
      <c r="DQ83" s="91" t="str">
        <f t="shared" si="569"/>
        <v/>
      </c>
      <c r="DR83" s="86"/>
      <c r="DS83" s="91" t="str">
        <f t="shared" si="466"/>
        <v/>
      </c>
      <c r="DT83" s="91" t="str">
        <f t="shared" si="570"/>
        <v/>
      </c>
      <c r="DU83" s="86"/>
      <c r="DV83" s="91" t="str">
        <f t="shared" si="467"/>
        <v/>
      </c>
      <c r="DW83" s="91" t="str">
        <f t="shared" si="571"/>
        <v/>
      </c>
      <c r="DX83" s="86"/>
      <c r="DY83" s="91" t="str">
        <f t="shared" si="468"/>
        <v/>
      </c>
      <c r="DZ83" s="91" t="str">
        <f t="shared" si="572"/>
        <v/>
      </c>
      <c r="EA83" s="86"/>
      <c r="EB83" s="91" t="str">
        <f t="shared" si="469"/>
        <v/>
      </c>
      <c r="EC83" s="91" t="str">
        <f t="shared" si="573"/>
        <v/>
      </c>
      <c r="ED83" s="86"/>
      <c r="EE83" s="91" t="str">
        <f t="shared" si="470"/>
        <v/>
      </c>
      <c r="EF83" s="91" t="str">
        <f t="shared" si="574"/>
        <v/>
      </c>
      <c r="EG83" s="86"/>
      <c r="EH83" s="91" t="str">
        <f t="shared" si="471"/>
        <v/>
      </c>
      <c r="EI83" s="91" t="str">
        <f t="shared" si="575"/>
        <v/>
      </c>
      <c r="EJ83" s="86"/>
      <c r="EK83" s="91" t="str">
        <f t="shared" si="472"/>
        <v/>
      </c>
      <c r="EL83" s="91" t="str">
        <f t="shared" si="576"/>
        <v/>
      </c>
      <c r="EM83" s="86"/>
      <c r="EN83" s="91" t="str">
        <f t="shared" si="473"/>
        <v/>
      </c>
      <c r="EO83" s="91" t="str">
        <f t="shared" si="577"/>
        <v/>
      </c>
      <c r="EP83" s="86"/>
      <c r="EQ83" s="91" t="str">
        <f t="shared" si="474"/>
        <v/>
      </c>
      <c r="ER83" s="91" t="str">
        <f t="shared" si="578"/>
        <v/>
      </c>
      <c r="ES83" s="51"/>
      <c r="ET83" s="91" t="str">
        <f t="shared" si="475"/>
        <v/>
      </c>
      <c r="EU83" s="91" t="str">
        <f t="shared" si="579"/>
        <v/>
      </c>
      <c r="EV83" s="86"/>
      <c r="EW83" s="91" t="str">
        <f t="shared" si="476"/>
        <v/>
      </c>
      <c r="EX83" s="91" t="str">
        <f t="shared" si="580"/>
        <v/>
      </c>
      <c r="EY83" s="97"/>
      <c r="EZ83" s="91" t="str">
        <f t="shared" si="477"/>
        <v/>
      </c>
      <c r="FA83" s="91" t="str">
        <f t="shared" si="581"/>
        <v/>
      </c>
      <c r="FB83" s="86"/>
      <c r="FC83" s="91" t="str">
        <f t="shared" si="478"/>
        <v/>
      </c>
      <c r="FD83" s="91" t="str">
        <f t="shared" si="582"/>
        <v/>
      </c>
      <c r="FE83" s="86"/>
      <c r="FF83" s="91" t="str">
        <f t="shared" si="479"/>
        <v/>
      </c>
      <c r="FG83" s="91" t="str">
        <f t="shared" si="583"/>
        <v/>
      </c>
      <c r="FH83" s="86"/>
      <c r="FI83" s="91" t="str">
        <f t="shared" si="480"/>
        <v/>
      </c>
      <c r="FJ83" s="91" t="str">
        <f t="shared" si="584"/>
        <v/>
      </c>
      <c r="FK83" s="86"/>
      <c r="FL83" s="91" t="str">
        <f t="shared" si="481"/>
        <v/>
      </c>
      <c r="FM83" s="91" t="str">
        <f t="shared" si="585"/>
        <v/>
      </c>
      <c r="FN83" s="86"/>
      <c r="FO83" s="91" t="str">
        <f t="shared" si="482"/>
        <v/>
      </c>
      <c r="FP83" s="91" t="str">
        <f t="shared" si="586"/>
        <v/>
      </c>
      <c r="FQ83" s="86"/>
      <c r="FR83" s="91" t="str">
        <f t="shared" si="483"/>
        <v/>
      </c>
      <c r="FS83" s="91" t="str">
        <f t="shared" si="587"/>
        <v/>
      </c>
      <c r="FT83" s="86"/>
      <c r="FU83" s="91" t="str">
        <f t="shared" si="484"/>
        <v/>
      </c>
      <c r="FV83" s="91" t="str">
        <f t="shared" si="588"/>
        <v/>
      </c>
      <c r="FW83" s="92"/>
      <c r="FX83" s="91" t="str">
        <f t="shared" si="485"/>
        <v/>
      </c>
      <c r="FY83" s="91" t="str">
        <f t="shared" si="589"/>
        <v/>
      </c>
      <c r="FZ83" s="86"/>
      <c r="GA83" s="91" t="str">
        <f t="shared" si="486"/>
        <v/>
      </c>
      <c r="GB83" s="91" t="str">
        <f t="shared" si="590"/>
        <v/>
      </c>
      <c r="GC83" s="97"/>
      <c r="GD83" s="91" t="str">
        <f t="shared" si="487"/>
        <v/>
      </c>
      <c r="GE83" s="91" t="str">
        <f t="shared" si="591"/>
        <v/>
      </c>
      <c r="GF83" s="86"/>
      <c r="GG83" s="91" t="str">
        <f t="shared" si="488"/>
        <v/>
      </c>
      <c r="GH83" s="91" t="str">
        <f t="shared" si="592"/>
        <v/>
      </c>
      <c r="GI83" s="86"/>
      <c r="GJ83" s="91" t="str">
        <f t="shared" si="489"/>
        <v/>
      </c>
      <c r="GK83" s="91" t="str">
        <f t="shared" si="593"/>
        <v/>
      </c>
      <c r="GL83" s="86"/>
      <c r="GM83" s="91" t="str">
        <f t="shared" si="490"/>
        <v/>
      </c>
      <c r="GN83" s="91" t="str">
        <f t="shared" si="594"/>
        <v/>
      </c>
      <c r="GO83" s="86"/>
      <c r="GP83" s="91" t="str">
        <f t="shared" si="491"/>
        <v/>
      </c>
      <c r="GQ83" s="91" t="str">
        <f t="shared" si="595"/>
        <v/>
      </c>
      <c r="GR83" s="86"/>
      <c r="GS83" s="91" t="str">
        <f t="shared" si="492"/>
        <v/>
      </c>
      <c r="GT83" s="91" t="str">
        <f t="shared" si="596"/>
        <v/>
      </c>
      <c r="GU83" s="86"/>
      <c r="GV83" s="91" t="str">
        <f t="shared" si="493"/>
        <v/>
      </c>
      <c r="GW83" s="91" t="str">
        <f t="shared" si="597"/>
        <v/>
      </c>
      <c r="GX83" s="86"/>
      <c r="GY83" s="91" t="str">
        <f t="shared" si="494"/>
        <v/>
      </c>
      <c r="GZ83" s="91" t="str">
        <f t="shared" si="598"/>
        <v/>
      </c>
      <c r="HA83" s="86"/>
      <c r="HB83" s="91" t="str">
        <f t="shared" si="495"/>
        <v/>
      </c>
      <c r="HC83" s="91" t="str">
        <f t="shared" si="599"/>
        <v/>
      </c>
      <c r="HD83" s="97"/>
      <c r="HE83" s="91" t="str">
        <f t="shared" si="496"/>
        <v/>
      </c>
      <c r="HF83" s="91" t="str">
        <f t="shared" si="600"/>
        <v/>
      </c>
      <c r="HG83" s="86"/>
      <c r="HH83" s="91" t="str">
        <f t="shared" si="497"/>
        <v/>
      </c>
      <c r="HI83" s="91" t="str">
        <f t="shared" si="601"/>
        <v/>
      </c>
      <c r="HJ83" s="86"/>
      <c r="HK83" s="91" t="str">
        <f t="shared" si="498"/>
        <v/>
      </c>
      <c r="HL83" s="91" t="str">
        <f t="shared" si="602"/>
        <v/>
      </c>
      <c r="HM83" s="86"/>
      <c r="HN83" s="91" t="str">
        <f t="shared" si="499"/>
        <v/>
      </c>
      <c r="HO83" s="91" t="str">
        <f t="shared" si="603"/>
        <v/>
      </c>
      <c r="HP83" s="86"/>
      <c r="HQ83" s="91" t="str">
        <f t="shared" si="500"/>
        <v/>
      </c>
      <c r="HR83" s="91" t="str">
        <f t="shared" si="604"/>
        <v/>
      </c>
      <c r="HS83" s="86"/>
      <c r="HT83" s="91" t="str">
        <f t="shared" si="501"/>
        <v/>
      </c>
      <c r="HU83" s="91" t="str">
        <f t="shared" si="605"/>
        <v/>
      </c>
      <c r="HV83" s="86"/>
      <c r="HW83" s="91" t="str">
        <f t="shared" si="502"/>
        <v/>
      </c>
      <c r="HX83" s="91" t="str">
        <f t="shared" si="606"/>
        <v/>
      </c>
      <c r="HY83" s="86"/>
      <c r="HZ83" s="91" t="str">
        <f t="shared" si="503"/>
        <v/>
      </c>
      <c r="IA83" s="91" t="str">
        <f t="shared" si="607"/>
        <v/>
      </c>
      <c r="IB83" s="86"/>
      <c r="IC83" s="91" t="str">
        <f t="shared" si="504"/>
        <v/>
      </c>
      <c r="ID83" s="91" t="str">
        <f t="shared" si="608"/>
        <v/>
      </c>
      <c r="IE83" s="86"/>
      <c r="IF83" s="91" t="str">
        <f t="shared" si="505"/>
        <v/>
      </c>
      <c r="IG83" s="91" t="str">
        <f t="shared" si="609"/>
        <v/>
      </c>
      <c r="IH83" s="86"/>
      <c r="II83" s="91" t="str">
        <f t="shared" si="506"/>
        <v/>
      </c>
      <c r="IJ83" s="91" t="str">
        <f t="shared" si="610"/>
        <v/>
      </c>
      <c r="IK83" s="86"/>
      <c r="IL83" s="91" t="str">
        <f t="shared" si="507"/>
        <v/>
      </c>
      <c r="IM83" s="91" t="str">
        <f t="shared" si="611"/>
        <v/>
      </c>
      <c r="IN83" s="86"/>
      <c r="IO83" s="91" t="str">
        <f t="shared" si="508"/>
        <v/>
      </c>
      <c r="IP83" s="91" t="str">
        <f t="shared" si="612"/>
        <v/>
      </c>
      <c r="IQ83" s="86"/>
      <c r="IR83" s="91" t="str">
        <f t="shared" si="509"/>
        <v/>
      </c>
      <c r="IS83" s="91" t="str">
        <f t="shared" si="613"/>
        <v/>
      </c>
      <c r="IT83" s="86"/>
      <c r="IU83" s="91" t="str">
        <f t="shared" si="510"/>
        <v/>
      </c>
      <c r="IV83" s="91" t="str">
        <f t="shared" si="614"/>
        <v/>
      </c>
      <c r="IW83" s="86"/>
      <c r="IX83" s="91" t="str">
        <f t="shared" si="511"/>
        <v/>
      </c>
      <c r="IY83" s="91" t="str">
        <f t="shared" si="615"/>
        <v/>
      </c>
      <c r="IZ83" s="86"/>
      <c r="JA83" s="91" t="str">
        <f t="shared" si="512"/>
        <v/>
      </c>
      <c r="JB83" s="91" t="str">
        <f t="shared" si="616"/>
        <v/>
      </c>
      <c r="JC83" s="86"/>
      <c r="JD83" s="91" t="str">
        <f t="shared" si="513"/>
        <v/>
      </c>
      <c r="JE83" s="91" t="str">
        <f t="shared" si="617"/>
        <v/>
      </c>
      <c r="JF83" s="86"/>
      <c r="JG83" s="91" t="str">
        <f t="shared" si="514"/>
        <v/>
      </c>
      <c r="JH83" s="91" t="str">
        <f t="shared" si="618"/>
        <v/>
      </c>
      <c r="JI83" s="86"/>
      <c r="JJ83" s="91" t="str">
        <f t="shared" si="515"/>
        <v/>
      </c>
      <c r="JK83" s="91" t="str">
        <f t="shared" si="619"/>
        <v/>
      </c>
      <c r="JL83" s="86"/>
      <c r="JM83" s="91" t="str">
        <f t="shared" si="516"/>
        <v/>
      </c>
      <c r="JN83" s="91" t="str">
        <f t="shared" si="620"/>
        <v/>
      </c>
      <c r="JO83" s="86"/>
      <c r="JP83" s="91" t="str">
        <f t="shared" si="517"/>
        <v/>
      </c>
      <c r="JQ83" s="91" t="str">
        <f t="shared" si="621"/>
        <v/>
      </c>
      <c r="JR83" s="86"/>
      <c r="JS83" s="91" t="str">
        <f t="shared" si="518"/>
        <v/>
      </c>
      <c r="JT83" s="91" t="str">
        <f t="shared" si="622"/>
        <v/>
      </c>
      <c r="JU83" s="86"/>
      <c r="JV83" s="91" t="str">
        <f t="shared" si="519"/>
        <v/>
      </c>
      <c r="JW83" s="91" t="str">
        <f t="shared" si="623"/>
        <v/>
      </c>
      <c r="JX83" s="86"/>
      <c r="JY83" s="91" t="str">
        <f t="shared" si="520"/>
        <v/>
      </c>
      <c r="JZ83" s="91" t="str">
        <f t="shared" si="624"/>
        <v/>
      </c>
      <c r="KA83" s="86"/>
      <c r="KB83" s="91" t="str">
        <f t="shared" si="521"/>
        <v/>
      </c>
      <c r="KC83" s="91" t="str">
        <f t="shared" si="625"/>
        <v/>
      </c>
      <c r="KD83" s="86"/>
      <c r="KE83" s="91" t="str">
        <f t="shared" si="522"/>
        <v/>
      </c>
      <c r="KF83" s="91" t="str">
        <f t="shared" si="626"/>
        <v/>
      </c>
      <c r="KG83" s="86"/>
      <c r="KH83" s="91" t="str">
        <f t="shared" si="523"/>
        <v/>
      </c>
      <c r="KI83" s="91" t="str">
        <f t="shared" si="627"/>
        <v/>
      </c>
      <c r="KJ83" s="86"/>
      <c r="KK83" s="91" t="str">
        <f t="shared" si="524"/>
        <v/>
      </c>
      <c r="KL83" s="91" t="str">
        <f t="shared" si="628"/>
        <v/>
      </c>
      <c r="KM83" s="86"/>
      <c r="KN83" s="91" t="str">
        <f t="shared" si="525"/>
        <v/>
      </c>
      <c r="KO83" s="91" t="str">
        <f t="shared" si="629"/>
        <v/>
      </c>
      <c r="KP83" s="86"/>
      <c r="KQ83" s="91" t="str">
        <f t="shared" si="526"/>
        <v/>
      </c>
      <c r="KR83" s="91" t="str">
        <f t="shared" si="630"/>
        <v/>
      </c>
      <c r="KS83" s="86"/>
      <c r="KT83" s="91" t="str">
        <f t="shared" si="527"/>
        <v/>
      </c>
      <c r="KU83" s="91" t="str">
        <f t="shared" si="631"/>
        <v/>
      </c>
      <c r="KV83" s="86"/>
      <c r="KW83" s="91" t="str">
        <f t="shared" si="528"/>
        <v/>
      </c>
      <c r="KX83" s="91" t="str">
        <f t="shared" si="632"/>
        <v/>
      </c>
      <c r="KY83" s="92"/>
      <c r="KZ83" s="91" t="str">
        <f t="shared" si="529"/>
        <v/>
      </c>
      <c r="LA83" s="91" t="str">
        <f t="shared" si="633"/>
        <v/>
      </c>
      <c r="LB83" s="106" t="str">
        <f t="shared" si="645"/>
        <v/>
      </c>
      <c r="LC83" s="108" t="str">
        <f t="shared" si="634"/>
        <v/>
      </c>
      <c r="LD83" s="106" t="str">
        <f t="shared" si="635"/>
        <v/>
      </c>
      <c r="LE83" s="108" t="str">
        <f t="shared" si="636"/>
        <v/>
      </c>
      <c r="LF83" s="106" t="str">
        <f t="shared" si="637"/>
        <v/>
      </c>
      <c r="LG83" s="108" t="str">
        <f t="shared" si="638"/>
        <v/>
      </c>
      <c r="LH83" s="109" t="str">
        <f t="shared" si="530"/>
        <v/>
      </c>
      <c r="LI83" s="109" t="str">
        <f t="shared" si="531"/>
        <v/>
      </c>
      <c r="LJ83" s="109" t="str">
        <f t="shared" si="532"/>
        <v/>
      </c>
      <c r="LK83" s="109" t="str">
        <f t="shared" si="639"/>
        <v/>
      </c>
      <c r="LL83" s="111" t="str">
        <f t="shared" si="640"/>
        <v/>
      </c>
      <c r="LM83" s="64"/>
      <c r="LN83" s="112" t="str">
        <f>IFERROR(RANK(LK83,(LK$82:LK$83),0),"")</f>
        <v/>
      </c>
      <c r="LO83" s="112" t="str">
        <f t="shared" si="646"/>
        <v/>
      </c>
      <c r="LP83" s="64"/>
      <c r="LQ83" s="64"/>
      <c r="LR83" s="64"/>
    </row>
    <row r="84" spans="1:348" s="62" customFormat="1" ht="15" customHeight="1">
      <c r="A84" s="106">
        <f t="shared" si="642"/>
        <v>0</v>
      </c>
      <c r="B84" s="106">
        <f t="shared" si="643"/>
        <v>0</v>
      </c>
      <c r="C84" s="51"/>
      <c r="D84" s="52"/>
      <c r="E84" s="53"/>
      <c r="F84" s="53"/>
      <c r="G84" s="53"/>
      <c r="H84" s="53"/>
      <c r="I84" s="53"/>
      <c r="J84" s="53"/>
      <c r="K84" s="53"/>
      <c r="L84" s="53"/>
      <c r="M84" s="107" t="s">
        <v>35</v>
      </c>
      <c r="N84" s="86"/>
      <c r="O84" s="91" t="str">
        <f t="shared" si="431"/>
        <v/>
      </c>
      <c r="P84" s="91" t="str">
        <f t="shared" si="534"/>
        <v/>
      </c>
      <c r="Q84" s="86"/>
      <c r="R84" s="91" t="str">
        <f t="shared" si="432"/>
        <v/>
      </c>
      <c r="S84" s="91" t="str">
        <f t="shared" si="535"/>
        <v/>
      </c>
      <c r="T84" s="86"/>
      <c r="U84" s="91" t="str">
        <f t="shared" si="433"/>
        <v/>
      </c>
      <c r="V84" s="91" t="str">
        <f t="shared" si="536"/>
        <v/>
      </c>
      <c r="W84" s="86"/>
      <c r="X84" s="91" t="str">
        <f t="shared" si="434"/>
        <v/>
      </c>
      <c r="Y84" s="91" t="str">
        <f t="shared" si="537"/>
        <v/>
      </c>
      <c r="Z84" s="86"/>
      <c r="AA84" s="91" t="str">
        <f t="shared" si="435"/>
        <v/>
      </c>
      <c r="AB84" s="91" t="str">
        <f t="shared" si="538"/>
        <v/>
      </c>
      <c r="AC84" s="86"/>
      <c r="AD84" s="91" t="str">
        <f t="shared" si="436"/>
        <v/>
      </c>
      <c r="AE84" s="91" t="str">
        <f t="shared" si="539"/>
        <v/>
      </c>
      <c r="AF84" s="86"/>
      <c r="AG84" s="91" t="str">
        <f t="shared" si="437"/>
        <v/>
      </c>
      <c r="AH84" s="91" t="str">
        <f t="shared" si="540"/>
        <v/>
      </c>
      <c r="AI84" s="86"/>
      <c r="AJ84" s="91" t="str">
        <f t="shared" si="438"/>
        <v/>
      </c>
      <c r="AK84" s="91" t="str">
        <f t="shared" si="541"/>
        <v/>
      </c>
      <c r="AL84" s="86"/>
      <c r="AM84" s="91" t="str">
        <f t="shared" si="439"/>
        <v/>
      </c>
      <c r="AN84" s="91" t="str">
        <f t="shared" si="542"/>
        <v/>
      </c>
      <c r="AO84" s="86"/>
      <c r="AP84" s="91" t="str">
        <f t="shared" si="440"/>
        <v/>
      </c>
      <c r="AQ84" s="91" t="str">
        <f t="shared" si="543"/>
        <v/>
      </c>
      <c r="AR84" s="86"/>
      <c r="AS84" s="91" t="str">
        <f t="shared" si="441"/>
        <v/>
      </c>
      <c r="AT84" s="91" t="str">
        <f t="shared" si="544"/>
        <v/>
      </c>
      <c r="AU84" s="86"/>
      <c r="AV84" s="91" t="str">
        <f t="shared" si="442"/>
        <v/>
      </c>
      <c r="AW84" s="91" t="str">
        <f t="shared" si="545"/>
        <v/>
      </c>
      <c r="AX84" s="86"/>
      <c r="AY84" s="91" t="str">
        <f t="shared" si="443"/>
        <v/>
      </c>
      <c r="AZ84" s="91" t="str">
        <f t="shared" si="546"/>
        <v/>
      </c>
      <c r="BA84" s="86"/>
      <c r="BB84" s="91" t="str">
        <f t="shared" si="444"/>
        <v/>
      </c>
      <c r="BC84" s="91" t="str">
        <f t="shared" si="547"/>
        <v/>
      </c>
      <c r="BD84" s="86"/>
      <c r="BE84" s="91" t="str">
        <f t="shared" si="445"/>
        <v/>
      </c>
      <c r="BF84" s="91" t="str">
        <f t="shared" si="548"/>
        <v/>
      </c>
      <c r="BG84" s="86"/>
      <c r="BH84" s="91" t="str">
        <f t="shared" si="446"/>
        <v/>
      </c>
      <c r="BI84" s="91" t="str">
        <f t="shared" si="549"/>
        <v/>
      </c>
      <c r="BJ84" s="86"/>
      <c r="BK84" s="91" t="str">
        <f t="shared" si="447"/>
        <v/>
      </c>
      <c r="BL84" s="91" t="str">
        <f t="shared" si="550"/>
        <v/>
      </c>
      <c r="BM84" s="86"/>
      <c r="BN84" s="91" t="str">
        <f t="shared" si="448"/>
        <v/>
      </c>
      <c r="BO84" s="91" t="str">
        <f t="shared" si="551"/>
        <v/>
      </c>
      <c r="BP84" s="51"/>
      <c r="BQ84" s="91" t="str">
        <f t="shared" si="449"/>
        <v/>
      </c>
      <c r="BR84" s="91" t="str">
        <f t="shared" si="552"/>
        <v/>
      </c>
      <c r="BS84" s="86"/>
      <c r="BT84" s="91" t="str">
        <f t="shared" si="450"/>
        <v/>
      </c>
      <c r="BU84" s="91" t="str">
        <f t="shared" si="553"/>
        <v/>
      </c>
      <c r="BV84" s="86"/>
      <c r="BW84" s="91" t="str">
        <f t="shared" si="451"/>
        <v/>
      </c>
      <c r="BX84" s="91" t="str">
        <f t="shared" si="554"/>
        <v/>
      </c>
      <c r="BY84" s="86"/>
      <c r="BZ84" s="91" t="str">
        <f t="shared" si="452"/>
        <v/>
      </c>
      <c r="CA84" s="91" t="str">
        <f t="shared" si="555"/>
        <v/>
      </c>
      <c r="CB84" s="86"/>
      <c r="CC84" s="91" t="str">
        <f t="shared" si="453"/>
        <v/>
      </c>
      <c r="CD84" s="91" t="str">
        <f t="shared" si="556"/>
        <v/>
      </c>
      <c r="CE84" s="86"/>
      <c r="CF84" s="91" t="str">
        <f t="shared" si="454"/>
        <v/>
      </c>
      <c r="CG84" s="91" t="str">
        <f t="shared" si="557"/>
        <v/>
      </c>
      <c r="CH84" s="86"/>
      <c r="CI84" s="91" t="str">
        <f t="shared" si="455"/>
        <v/>
      </c>
      <c r="CJ84" s="91" t="str">
        <f t="shared" si="558"/>
        <v/>
      </c>
      <c r="CK84" s="86"/>
      <c r="CL84" s="91" t="str">
        <f t="shared" si="456"/>
        <v/>
      </c>
      <c r="CM84" s="91" t="str">
        <f t="shared" si="559"/>
        <v/>
      </c>
      <c r="CN84" s="86"/>
      <c r="CO84" s="91" t="str">
        <f t="shared" si="457"/>
        <v/>
      </c>
      <c r="CP84" s="91" t="str">
        <f t="shared" si="560"/>
        <v/>
      </c>
      <c r="CQ84" s="86"/>
      <c r="CR84" s="91" t="str">
        <f t="shared" si="458"/>
        <v/>
      </c>
      <c r="CS84" s="91" t="str">
        <f t="shared" si="561"/>
        <v/>
      </c>
      <c r="CT84" s="86"/>
      <c r="CU84" s="91" t="str">
        <f t="shared" si="459"/>
        <v/>
      </c>
      <c r="CV84" s="91" t="str">
        <f t="shared" si="562"/>
        <v/>
      </c>
      <c r="CW84" s="86"/>
      <c r="CX84" s="91" t="str">
        <f t="shared" si="460"/>
        <v/>
      </c>
      <c r="CY84" s="91" t="str">
        <f t="shared" si="563"/>
        <v/>
      </c>
      <c r="CZ84" s="86"/>
      <c r="DA84" s="91" t="str">
        <f t="shared" si="461"/>
        <v/>
      </c>
      <c r="DB84" s="91" t="str">
        <f t="shared" si="564"/>
        <v/>
      </c>
      <c r="DC84" s="86"/>
      <c r="DD84" s="91" t="str">
        <f t="shared" si="462"/>
        <v/>
      </c>
      <c r="DE84" s="91" t="str">
        <f t="shared" si="565"/>
        <v/>
      </c>
      <c r="DF84" s="86"/>
      <c r="DG84" s="91"/>
      <c r="DH84" s="91" t="str">
        <f t="shared" si="566"/>
        <v/>
      </c>
      <c r="DI84" s="86"/>
      <c r="DJ84" s="91" t="str">
        <f t="shared" si="463"/>
        <v/>
      </c>
      <c r="DK84" s="91" t="str">
        <f t="shared" si="567"/>
        <v/>
      </c>
      <c r="DL84" s="86"/>
      <c r="DM84" s="91" t="str">
        <f t="shared" si="464"/>
        <v/>
      </c>
      <c r="DN84" s="91" t="str">
        <f t="shared" si="568"/>
        <v/>
      </c>
      <c r="DO84" s="86"/>
      <c r="DP84" s="91" t="str">
        <f t="shared" si="465"/>
        <v/>
      </c>
      <c r="DQ84" s="91" t="str">
        <f t="shared" si="569"/>
        <v/>
      </c>
      <c r="DR84" s="86"/>
      <c r="DS84" s="91" t="str">
        <f t="shared" si="466"/>
        <v/>
      </c>
      <c r="DT84" s="91" t="str">
        <f t="shared" si="570"/>
        <v/>
      </c>
      <c r="DU84" s="86"/>
      <c r="DV84" s="91" t="str">
        <f t="shared" si="467"/>
        <v/>
      </c>
      <c r="DW84" s="91" t="str">
        <f t="shared" si="571"/>
        <v/>
      </c>
      <c r="DX84" s="86"/>
      <c r="DY84" s="91" t="str">
        <f t="shared" si="468"/>
        <v/>
      </c>
      <c r="DZ84" s="91" t="str">
        <f t="shared" si="572"/>
        <v/>
      </c>
      <c r="EA84" s="86"/>
      <c r="EB84" s="91" t="str">
        <f t="shared" si="469"/>
        <v/>
      </c>
      <c r="EC84" s="91" t="str">
        <f t="shared" si="573"/>
        <v/>
      </c>
      <c r="ED84" s="86"/>
      <c r="EE84" s="91" t="str">
        <f t="shared" si="470"/>
        <v/>
      </c>
      <c r="EF84" s="91" t="str">
        <f t="shared" si="574"/>
        <v/>
      </c>
      <c r="EG84" s="86"/>
      <c r="EH84" s="91" t="str">
        <f t="shared" si="471"/>
        <v/>
      </c>
      <c r="EI84" s="91" t="str">
        <f t="shared" si="575"/>
        <v/>
      </c>
      <c r="EJ84" s="86"/>
      <c r="EK84" s="91" t="str">
        <f t="shared" si="472"/>
        <v/>
      </c>
      <c r="EL84" s="91" t="str">
        <f t="shared" si="576"/>
        <v/>
      </c>
      <c r="EM84" s="86"/>
      <c r="EN84" s="91" t="str">
        <f t="shared" si="473"/>
        <v/>
      </c>
      <c r="EO84" s="91" t="str">
        <f t="shared" si="577"/>
        <v/>
      </c>
      <c r="EP84" s="86"/>
      <c r="EQ84" s="91" t="str">
        <f t="shared" si="474"/>
        <v/>
      </c>
      <c r="ER84" s="91" t="str">
        <f t="shared" si="578"/>
        <v/>
      </c>
      <c r="ES84" s="51"/>
      <c r="ET84" s="91" t="str">
        <f t="shared" si="475"/>
        <v/>
      </c>
      <c r="EU84" s="91" t="str">
        <f t="shared" si="579"/>
        <v/>
      </c>
      <c r="EV84" s="86"/>
      <c r="EW84" s="91" t="str">
        <f t="shared" si="476"/>
        <v/>
      </c>
      <c r="EX84" s="91" t="str">
        <f t="shared" si="580"/>
        <v/>
      </c>
      <c r="EY84" s="86"/>
      <c r="EZ84" s="91" t="str">
        <f t="shared" si="477"/>
        <v/>
      </c>
      <c r="FA84" s="91" t="str">
        <f t="shared" si="581"/>
        <v/>
      </c>
      <c r="FB84" s="86"/>
      <c r="FC84" s="91" t="str">
        <f t="shared" si="478"/>
        <v/>
      </c>
      <c r="FD84" s="91" t="str">
        <f t="shared" si="582"/>
        <v/>
      </c>
      <c r="FE84" s="86"/>
      <c r="FF84" s="91" t="str">
        <f t="shared" si="479"/>
        <v/>
      </c>
      <c r="FG84" s="91" t="str">
        <f t="shared" si="583"/>
        <v/>
      </c>
      <c r="FH84" s="86"/>
      <c r="FI84" s="91" t="str">
        <f t="shared" si="480"/>
        <v/>
      </c>
      <c r="FJ84" s="91" t="str">
        <f t="shared" si="584"/>
        <v/>
      </c>
      <c r="FK84" s="86"/>
      <c r="FL84" s="91" t="str">
        <f t="shared" si="481"/>
        <v/>
      </c>
      <c r="FM84" s="91" t="str">
        <f t="shared" si="585"/>
        <v/>
      </c>
      <c r="FN84" s="86"/>
      <c r="FO84" s="91" t="str">
        <f t="shared" si="482"/>
        <v/>
      </c>
      <c r="FP84" s="91" t="str">
        <f t="shared" si="586"/>
        <v/>
      </c>
      <c r="FQ84" s="86"/>
      <c r="FR84" s="91" t="str">
        <f t="shared" si="483"/>
        <v/>
      </c>
      <c r="FS84" s="91" t="str">
        <f t="shared" si="587"/>
        <v/>
      </c>
      <c r="FT84" s="86"/>
      <c r="FU84" s="91" t="str">
        <f t="shared" si="484"/>
        <v/>
      </c>
      <c r="FV84" s="91" t="str">
        <f t="shared" si="588"/>
        <v/>
      </c>
      <c r="FW84" s="92"/>
      <c r="FX84" s="91" t="str">
        <f t="shared" si="485"/>
        <v/>
      </c>
      <c r="FY84" s="91" t="str">
        <f t="shared" si="589"/>
        <v/>
      </c>
      <c r="FZ84" s="86"/>
      <c r="GA84" s="91" t="str">
        <f t="shared" si="486"/>
        <v/>
      </c>
      <c r="GB84" s="91" t="str">
        <f t="shared" si="590"/>
        <v/>
      </c>
      <c r="GC84" s="86"/>
      <c r="GD84" s="91" t="str">
        <f t="shared" si="487"/>
        <v/>
      </c>
      <c r="GE84" s="91" t="str">
        <f t="shared" si="591"/>
        <v/>
      </c>
      <c r="GF84" s="86"/>
      <c r="GG84" s="91" t="str">
        <f t="shared" si="488"/>
        <v/>
      </c>
      <c r="GH84" s="91" t="str">
        <f t="shared" si="592"/>
        <v/>
      </c>
      <c r="GI84" s="86"/>
      <c r="GJ84" s="91" t="str">
        <f t="shared" si="489"/>
        <v/>
      </c>
      <c r="GK84" s="91" t="str">
        <f t="shared" si="593"/>
        <v/>
      </c>
      <c r="GL84" s="86"/>
      <c r="GM84" s="91" t="str">
        <f t="shared" si="490"/>
        <v/>
      </c>
      <c r="GN84" s="91" t="str">
        <f t="shared" si="594"/>
        <v/>
      </c>
      <c r="GO84" s="86"/>
      <c r="GP84" s="91" t="str">
        <f t="shared" si="491"/>
        <v/>
      </c>
      <c r="GQ84" s="91" t="str">
        <f t="shared" si="595"/>
        <v/>
      </c>
      <c r="GR84" s="86"/>
      <c r="GS84" s="91" t="str">
        <f t="shared" si="492"/>
        <v/>
      </c>
      <c r="GT84" s="91" t="str">
        <f t="shared" si="596"/>
        <v/>
      </c>
      <c r="GU84" s="86"/>
      <c r="GV84" s="91" t="str">
        <f t="shared" si="493"/>
        <v/>
      </c>
      <c r="GW84" s="91" t="str">
        <f t="shared" si="597"/>
        <v/>
      </c>
      <c r="GX84" s="86"/>
      <c r="GY84" s="91" t="str">
        <f t="shared" si="494"/>
        <v/>
      </c>
      <c r="GZ84" s="91" t="str">
        <f t="shared" si="598"/>
        <v/>
      </c>
      <c r="HA84" s="86"/>
      <c r="HB84" s="91" t="str">
        <f t="shared" si="495"/>
        <v/>
      </c>
      <c r="HC84" s="91" t="str">
        <f t="shared" si="599"/>
        <v/>
      </c>
      <c r="HD84" s="86"/>
      <c r="HE84" s="91" t="str">
        <f t="shared" si="496"/>
        <v/>
      </c>
      <c r="HF84" s="91" t="str">
        <f t="shared" si="600"/>
        <v/>
      </c>
      <c r="HG84" s="86"/>
      <c r="HH84" s="91" t="str">
        <f t="shared" si="497"/>
        <v/>
      </c>
      <c r="HI84" s="91" t="str">
        <f t="shared" si="601"/>
        <v/>
      </c>
      <c r="HJ84" s="86"/>
      <c r="HK84" s="91" t="str">
        <f t="shared" si="498"/>
        <v/>
      </c>
      <c r="HL84" s="91" t="str">
        <f t="shared" si="602"/>
        <v/>
      </c>
      <c r="HM84" s="86"/>
      <c r="HN84" s="91" t="str">
        <f t="shared" si="499"/>
        <v/>
      </c>
      <c r="HO84" s="91" t="str">
        <f t="shared" si="603"/>
        <v/>
      </c>
      <c r="HP84" s="86"/>
      <c r="HQ84" s="91" t="str">
        <f t="shared" si="500"/>
        <v/>
      </c>
      <c r="HR84" s="91" t="str">
        <f t="shared" si="604"/>
        <v/>
      </c>
      <c r="HS84" s="86"/>
      <c r="HT84" s="91" t="str">
        <f t="shared" si="501"/>
        <v/>
      </c>
      <c r="HU84" s="91" t="str">
        <f t="shared" si="605"/>
        <v/>
      </c>
      <c r="HV84" s="86"/>
      <c r="HW84" s="91" t="str">
        <f t="shared" si="502"/>
        <v/>
      </c>
      <c r="HX84" s="91" t="str">
        <f t="shared" si="606"/>
        <v/>
      </c>
      <c r="HY84" s="86"/>
      <c r="HZ84" s="91" t="str">
        <f t="shared" si="503"/>
        <v/>
      </c>
      <c r="IA84" s="91" t="str">
        <f t="shared" si="607"/>
        <v/>
      </c>
      <c r="IB84" s="86"/>
      <c r="IC84" s="91" t="str">
        <f t="shared" si="504"/>
        <v/>
      </c>
      <c r="ID84" s="91" t="str">
        <f t="shared" si="608"/>
        <v/>
      </c>
      <c r="IE84" s="86"/>
      <c r="IF84" s="91" t="str">
        <f t="shared" si="505"/>
        <v/>
      </c>
      <c r="IG84" s="91" t="str">
        <f t="shared" si="609"/>
        <v/>
      </c>
      <c r="IH84" s="86"/>
      <c r="II84" s="91" t="str">
        <f t="shared" si="506"/>
        <v/>
      </c>
      <c r="IJ84" s="91" t="str">
        <f t="shared" si="610"/>
        <v/>
      </c>
      <c r="IK84" s="86"/>
      <c r="IL84" s="91" t="str">
        <f t="shared" si="507"/>
        <v/>
      </c>
      <c r="IM84" s="91" t="str">
        <f t="shared" si="611"/>
        <v/>
      </c>
      <c r="IN84" s="86"/>
      <c r="IO84" s="91" t="str">
        <f t="shared" si="508"/>
        <v/>
      </c>
      <c r="IP84" s="91" t="str">
        <f t="shared" si="612"/>
        <v/>
      </c>
      <c r="IQ84" s="86"/>
      <c r="IR84" s="91" t="str">
        <f t="shared" si="509"/>
        <v/>
      </c>
      <c r="IS84" s="91" t="str">
        <f t="shared" si="613"/>
        <v/>
      </c>
      <c r="IT84" s="86"/>
      <c r="IU84" s="91" t="str">
        <f t="shared" si="510"/>
        <v/>
      </c>
      <c r="IV84" s="91" t="str">
        <f t="shared" si="614"/>
        <v/>
      </c>
      <c r="IW84" s="86"/>
      <c r="IX84" s="91" t="str">
        <f t="shared" si="511"/>
        <v/>
      </c>
      <c r="IY84" s="91" t="str">
        <f t="shared" si="615"/>
        <v/>
      </c>
      <c r="IZ84" s="86"/>
      <c r="JA84" s="91" t="str">
        <f t="shared" si="512"/>
        <v/>
      </c>
      <c r="JB84" s="91" t="str">
        <f t="shared" si="616"/>
        <v/>
      </c>
      <c r="JC84" s="86"/>
      <c r="JD84" s="91" t="str">
        <f t="shared" si="513"/>
        <v/>
      </c>
      <c r="JE84" s="91" t="str">
        <f t="shared" si="617"/>
        <v/>
      </c>
      <c r="JF84" s="86"/>
      <c r="JG84" s="91" t="str">
        <f t="shared" si="514"/>
        <v/>
      </c>
      <c r="JH84" s="91" t="str">
        <f t="shared" si="618"/>
        <v/>
      </c>
      <c r="JI84" s="86"/>
      <c r="JJ84" s="91" t="str">
        <f t="shared" si="515"/>
        <v/>
      </c>
      <c r="JK84" s="91" t="str">
        <f t="shared" si="619"/>
        <v/>
      </c>
      <c r="JL84" s="86"/>
      <c r="JM84" s="91" t="str">
        <f t="shared" si="516"/>
        <v/>
      </c>
      <c r="JN84" s="91" t="str">
        <f t="shared" si="620"/>
        <v/>
      </c>
      <c r="JO84" s="86"/>
      <c r="JP84" s="91" t="str">
        <f t="shared" si="517"/>
        <v/>
      </c>
      <c r="JQ84" s="91" t="str">
        <f t="shared" si="621"/>
        <v/>
      </c>
      <c r="JR84" s="86"/>
      <c r="JS84" s="91" t="str">
        <f t="shared" si="518"/>
        <v/>
      </c>
      <c r="JT84" s="91" t="str">
        <f t="shared" si="622"/>
        <v/>
      </c>
      <c r="JU84" s="86"/>
      <c r="JV84" s="91" t="str">
        <f t="shared" si="519"/>
        <v/>
      </c>
      <c r="JW84" s="91" t="str">
        <f t="shared" si="623"/>
        <v/>
      </c>
      <c r="JX84" s="86"/>
      <c r="JY84" s="91" t="str">
        <f t="shared" si="520"/>
        <v/>
      </c>
      <c r="JZ84" s="91" t="str">
        <f t="shared" si="624"/>
        <v/>
      </c>
      <c r="KA84" s="86"/>
      <c r="KB84" s="91" t="str">
        <f t="shared" si="521"/>
        <v/>
      </c>
      <c r="KC84" s="91" t="str">
        <f t="shared" si="625"/>
        <v/>
      </c>
      <c r="KD84" s="86"/>
      <c r="KE84" s="91" t="str">
        <f t="shared" si="522"/>
        <v/>
      </c>
      <c r="KF84" s="91" t="str">
        <f t="shared" si="626"/>
        <v/>
      </c>
      <c r="KG84" s="86"/>
      <c r="KH84" s="91" t="str">
        <f t="shared" si="523"/>
        <v/>
      </c>
      <c r="KI84" s="91" t="str">
        <f t="shared" si="627"/>
        <v/>
      </c>
      <c r="KJ84" s="86"/>
      <c r="KK84" s="91" t="str">
        <f t="shared" si="524"/>
        <v/>
      </c>
      <c r="KL84" s="91" t="str">
        <f t="shared" si="628"/>
        <v/>
      </c>
      <c r="KM84" s="86"/>
      <c r="KN84" s="91" t="str">
        <f t="shared" si="525"/>
        <v/>
      </c>
      <c r="KO84" s="91" t="str">
        <f t="shared" si="629"/>
        <v/>
      </c>
      <c r="KP84" s="86"/>
      <c r="KQ84" s="91" t="str">
        <f t="shared" si="526"/>
        <v/>
      </c>
      <c r="KR84" s="91" t="str">
        <f t="shared" si="630"/>
        <v/>
      </c>
      <c r="KS84" s="86"/>
      <c r="KT84" s="91" t="str">
        <f t="shared" si="527"/>
        <v/>
      </c>
      <c r="KU84" s="91" t="str">
        <f t="shared" si="631"/>
        <v/>
      </c>
      <c r="KV84" s="86"/>
      <c r="KW84" s="91" t="str">
        <f t="shared" si="528"/>
        <v/>
      </c>
      <c r="KX84" s="91" t="str">
        <f t="shared" si="632"/>
        <v/>
      </c>
      <c r="KY84" s="92"/>
      <c r="KZ84" s="91" t="str">
        <f t="shared" si="529"/>
        <v/>
      </c>
      <c r="LA84" s="91" t="str">
        <f t="shared" si="633"/>
        <v/>
      </c>
      <c r="LB84" s="106" t="str">
        <f t="shared" si="645"/>
        <v/>
      </c>
      <c r="LC84" s="108" t="str">
        <f t="shared" si="634"/>
        <v/>
      </c>
      <c r="LD84" s="106" t="str">
        <f t="shared" si="635"/>
        <v/>
      </c>
      <c r="LE84" s="108" t="str">
        <f t="shared" si="636"/>
        <v/>
      </c>
      <c r="LF84" s="106" t="str">
        <f t="shared" si="637"/>
        <v/>
      </c>
      <c r="LG84" s="108" t="str">
        <f t="shared" si="638"/>
        <v/>
      </c>
      <c r="LH84" s="109" t="str">
        <f t="shared" si="530"/>
        <v/>
      </c>
      <c r="LI84" s="109" t="str">
        <f t="shared" si="531"/>
        <v/>
      </c>
      <c r="LJ84" s="109" t="str">
        <f t="shared" si="532"/>
        <v/>
      </c>
      <c r="LK84" s="109" t="str">
        <f t="shared" si="639"/>
        <v/>
      </c>
      <c r="LL84" s="111" t="str">
        <f t="shared" si="640"/>
        <v/>
      </c>
      <c r="LM84" s="64"/>
      <c r="LN84" s="112" t="str">
        <f>IFERROR(RANK(LK84,(LK$84:LK$86),0),"")</f>
        <v/>
      </c>
      <c r="LO84" s="113" t="str">
        <f t="shared" si="646"/>
        <v/>
      </c>
      <c r="LP84" s="64"/>
      <c r="LQ84" s="64"/>
      <c r="LR84" s="64"/>
    </row>
    <row r="85" spans="1:348" s="62" customFormat="1" ht="15" customHeight="1">
      <c r="A85" s="106">
        <f t="shared" si="642"/>
        <v>0</v>
      </c>
      <c r="B85" s="106">
        <f t="shared" si="643"/>
        <v>0</v>
      </c>
      <c r="C85" s="51"/>
      <c r="D85" s="52"/>
      <c r="E85" s="53"/>
      <c r="F85" s="53"/>
      <c r="G85" s="53"/>
      <c r="H85" s="53"/>
      <c r="I85" s="53"/>
      <c r="J85" s="53"/>
      <c r="K85" s="53"/>
      <c r="L85" s="53"/>
      <c r="M85" s="107" t="s">
        <v>35</v>
      </c>
      <c r="N85" s="86"/>
      <c r="O85" s="91" t="str">
        <f t="shared" si="431"/>
        <v/>
      </c>
      <c r="P85" s="91" t="str">
        <f t="shared" si="534"/>
        <v/>
      </c>
      <c r="Q85" s="86"/>
      <c r="R85" s="91" t="str">
        <f t="shared" si="432"/>
        <v/>
      </c>
      <c r="S85" s="91" t="str">
        <f t="shared" si="535"/>
        <v/>
      </c>
      <c r="T85" s="86"/>
      <c r="U85" s="91" t="str">
        <f t="shared" si="433"/>
        <v/>
      </c>
      <c r="V85" s="91" t="str">
        <f t="shared" si="536"/>
        <v/>
      </c>
      <c r="W85" s="86"/>
      <c r="X85" s="91" t="str">
        <f t="shared" si="434"/>
        <v/>
      </c>
      <c r="Y85" s="91" t="str">
        <f t="shared" si="537"/>
        <v/>
      </c>
      <c r="Z85" s="86"/>
      <c r="AA85" s="91" t="str">
        <f t="shared" si="435"/>
        <v/>
      </c>
      <c r="AB85" s="91" t="str">
        <f t="shared" si="538"/>
        <v/>
      </c>
      <c r="AC85" s="86"/>
      <c r="AD85" s="91" t="str">
        <f t="shared" si="436"/>
        <v/>
      </c>
      <c r="AE85" s="91" t="str">
        <f t="shared" si="539"/>
        <v/>
      </c>
      <c r="AF85" s="86"/>
      <c r="AG85" s="91" t="str">
        <f t="shared" si="437"/>
        <v/>
      </c>
      <c r="AH85" s="91" t="str">
        <f t="shared" si="540"/>
        <v/>
      </c>
      <c r="AI85" s="86"/>
      <c r="AJ85" s="91" t="str">
        <f t="shared" si="438"/>
        <v/>
      </c>
      <c r="AK85" s="91" t="str">
        <f t="shared" si="541"/>
        <v/>
      </c>
      <c r="AL85" s="86"/>
      <c r="AM85" s="91" t="str">
        <f t="shared" si="439"/>
        <v/>
      </c>
      <c r="AN85" s="91" t="str">
        <f t="shared" si="542"/>
        <v/>
      </c>
      <c r="AO85" s="86"/>
      <c r="AP85" s="91" t="str">
        <f t="shared" si="440"/>
        <v/>
      </c>
      <c r="AQ85" s="91" t="str">
        <f t="shared" si="543"/>
        <v/>
      </c>
      <c r="AR85" s="86"/>
      <c r="AS85" s="91" t="str">
        <f t="shared" si="441"/>
        <v/>
      </c>
      <c r="AT85" s="91" t="str">
        <f t="shared" si="544"/>
        <v/>
      </c>
      <c r="AU85" s="86"/>
      <c r="AV85" s="91" t="str">
        <f t="shared" si="442"/>
        <v/>
      </c>
      <c r="AW85" s="91" t="str">
        <f t="shared" si="545"/>
        <v/>
      </c>
      <c r="AX85" s="86"/>
      <c r="AY85" s="91" t="str">
        <f t="shared" si="443"/>
        <v/>
      </c>
      <c r="AZ85" s="91" t="str">
        <f t="shared" si="546"/>
        <v/>
      </c>
      <c r="BA85" s="86"/>
      <c r="BB85" s="91" t="str">
        <f t="shared" si="444"/>
        <v/>
      </c>
      <c r="BC85" s="91" t="str">
        <f t="shared" si="547"/>
        <v/>
      </c>
      <c r="BD85" s="86"/>
      <c r="BE85" s="91" t="str">
        <f t="shared" si="445"/>
        <v/>
      </c>
      <c r="BF85" s="91" t="str">
        <f t="shared" si="548"/>
        <v/>
      </c>
      <c r="BG85" s="86"/>
      <c r="BH85" s="91" t="str">
        <f t="shared" si="446"/>
        <v/>
      </c>
      <c r="BI85" s="91" t="str">
        <f t="shared" si="549"/>
        <v/>
      </c>
      <c r="BJ85" s="86"/>
      <c r="BK85" s="91" t="str">
        <f t="shared" si="447"/>
        <v/>
      </c>
      <c r="BL85" s="91" t="str">
        <f t="shared" si="550"/>
        <v/>
      </c>
      <c r="BM85" s="86"/>
      <c r="BN85" s="91" t="str">
        <f t="shared" si="448"/>
        <v/>
      </c>
      <c r="BO85" s="91" t="str">
        <f t="shared" si="551"/>
        <v/>
      </c>
      <c r="BP85" s="51"/>
      <c r="BQ85" s="91" t="str">
        <f t="shared" si="449"/>
        <v/>
      </c>
      <c r="BR85" s="91" t="str">
        <f t="shared" si="552"/>
        <v/>
      </c>
      <c r="BS85" s="86"/>
      <c r="BT85" s="91" t="str">
        <f t="shared" si="450"/>
        <v/>
      </c>
      <c r="BU85" s="91" t="str">
        <f t="shared" si="553"/>
        <v/>
      </c>
      <c r="BV85" s="86"/>
      <c r="BW85" s="91" t="str">
        <f t="shared" si="451"/>
        <v/>
      </c>
      <c r="BX85" s="91" t="str">
        <f t="shared" si="554"/>
        <v/>
      </c>
      <c r="BY85" s="86"/>
      <c r="BZ85" s="91" t="str">
        <f t="shared" si="452"/>
        <v/>
      </c>
      <c r="CA85" s="91" t="str">
        <f t="shared" si="555"/>
        <v/>
      </c>
      <c r="CB85" s="86"/>
      <c r="CC85" s="91" t="str">
        <f t="shared" si="453"/>
        <v/>
      </c>
      <c r="CD85" s="91" t="str">
        <f t="shared" si="556"/>
        <v/>
      </c>
      <c r="CE85" s="86"/>
      <c r="CF85" s="91" t="str">
        <f t="shared" si="454"/>
        <v/>
      </c>
      <c r="CG85" s="91" t="str">
        <f t="shared" si="557"/>
        <v/>
      </c>
      <c r="CH85" s="86"/>
      <c r="CI85" s="91" t="str">
        <f t="shared" si="455"/>
        <v/>
      </c>
      <c r="CJ85" s="91" t="str">
        <f t="shared" si="558"/>
        <v/>
      </c>
      <c r="CK85" s="86"/>
      <c r="CL85" s="91" t="str">
        <f t="shared" si="456"/>
        <v/>
      </c>
      <c r="CM85" s="91" t="str">
        <f t="shared" si="559"/>
        <v/>
      </c>
      <c r="CN85" s="86"/>
      <c r="CO85" s="91" t="str">
        <f t="shared" si="457"/>
        <v/>
      </c>
      <c r="CP85" s="91" t="str">
        <f t="shared" si="560"/>
        <v/>
      </c>
      <c r="CQ85" s="86"/>
      <c r="CR85" s="91" t="str">
        <f t="shared" si="458"/>
        <v/>
      </c>
      <c r="CS85" s="91" t="str">
        <f t="shared" si="561"/>
        <v/>
      </c>
      <c r="CT85" s="86"/>
      <c r="CU85" s="91" t="str">
        <f t="shared" si="459"/>
        <v/>
      </c>
      <c r="CV85" s="91" t="str">
        <f t="shared" si="562"/>
        <v/>
      </c>
      <c r="CW85" s="86"/>
      <c r="CX85" s="91" t="str">
        <f t="shared" si="460"/>
        <v/>
      </c>
      <c r="CY85" s="91" t="str">
        <f t="shared" si="563"/>
        <v/>
      </c>
      <c r="CZ85" s="86"/>
      <c r="DA85" s="91" t="str">
        <f t="shared" si="461"/>
        <v/>
      </c>
      <c r="DB85" s="91" t="str">
        <f t="shared" si="564"/>
        <v/>
      </c>
      <c r="DC85" s="86"/>
      <c r="DD85" s="91" t="str">
        <f t="shared" si="462"/>
        <v/>
      </c>
      <c r="DE85" s="91" t="str">
        <f t="shared" si="565"/>
        <v/>
      </c>
      <c r="DF85" s="86"/>
      <c r="DG85" s="91"/>
      <c r="DH85" s="91" t="str">
        <f t="shared" si="566"/>
        <v/>
      </c>
      <c r="DI85" s="86"/>
      <c r="DJ85" s="91" t="str">
        <f t="shared" si="463"/>
        <v/>
      </c>
      <c r="DK85" s="91" t="str">
        <f t="shared" si="567"/>
        <v/>
      </c>
      <c r="DL85" s="86"/>
      <c r="DM85" s="91" t="str">
        <f t="shared" si="464"/>
        <v/>
      </c>
      <c r="DN85" s="91" t="str">
        <f t="shared" si="568"/>
        <v/>
      </c>
      <c r="DO85" s="86"/>
      <c r="DP85" s="91" t="str">
        <f t="shared" si="465"/>
        <v/>
      </c>
      <c r="DQ85" s="91" t="str">
        <f t="shared" si="569"/>
        <v/>
      </c>
      <c r="DR85" s="86"/>
      <c r="DS85" s="91" t="str">
        <f t="shared" si="466"/>
        <v/>
      </c>
      <c r="DT85" s="91" t="str">
        <f t="shared" si="570"/>
        <v/>
      </c>
      <c r="DU85" s="86"/>
      <c r="DV85" s="91" t="str">
        <f t="shared" si="467"/>
        <v/>
      </c>
      <c r="DW85" s="91" t="str">
        <f t="shared" si="571"/>
        <v/>
      </c>
      <c r="DX85" s="86"/>
      <c r="DY85" s="91" t="str">
        <f t="shared" si="468"/>
        <v/>
      </c>
      <c r="DZ85" s="91" t="str">
        <f t="shared" si="572"/>
        <v/>
      </c>
      <c r="EA85" s="86"/>
      <c r="EB85" s="91" t="str">
        <f t="shared" si="469"/>
        <v/>
      </c>
      <c r="EC85" s="91" t="str">
        <f t="shared" si="573"/>
        <v/>
      </c>
      <c r="ED85" s="86"/>
      <c r="EE85" s="91" t="str">
        <f t="shared" si="470"/>
        <v/>
      </c>
      <c r="EF85" s="91" t="str">
        <f t="shared" si="574"/>
        <v/>
      </c>
      <c r="EG85" s="86"/>
      <c r="EH85" s="91" t="str">
        <f t="shared" si="471"/>
        <v/>
      </c>
      <c r="EI85" s="91" t="str">
        <f t="shared" si="575"/>
        <v/>
      </c>
      <c r="EJ85" s="86"/>
      <c r="EK85" s="91" t="str">
        <f t="shared" si="472"/>
        <v/>
      </c>
      <c r="EL85" s="91" t="str">
        <f t="shared" si="576"/>
        <v/>
      </c>
      <c r="EM85" s="86"/>
      <c r="EN85" s="91" t="str">
        <f t="shared" si="473"/>
        <v/>
      </c>
      <c r="EO85" s="91" t="str">
        <f t="shared" si="577"/>
        <v/>
      </c>
      <c r="EP85" s="86"/>
      <c r="EQ85" s="91" t="str">
        <f t="shared" si="474"/>
        <v/>
      </c>
      <c r="ER85" s="91" t="str">
        <f t="shared" si="578"/>
        <v/>
      </c>
      <c r="ES85" s="51"/>
      <c r="ET85" s="91" t="str">
        <f t="shared" si="475"/>
        <v/>
      </c>
      <c r="EU85" s="91" t="str">
        <f t="shared" si="579"/>
        <v/>
      </c>
      <c r="EV85" s="86"/>
      <c r="EW85" s="91" t="str">
        <f t="shared" si="476"/>
        <v/>
      </c>
      <c r="EX85" s="91" t="str">
        <f t="shared" si="580"/>
        <v/>
      </c>
      <c r="EY85" s="86"/>
      <c r="EZ85" s="91" t="str">
        <f t="shared" si="477"/>
        <v/>
      </c>
      <c r="FA85" s="91" t="str">
        <f t="shared" si="581"/>
        <v/>
      </c>
      <c r="FB85" s="86"/>
      <c r="FC85" s="91" t="str">
        <f t="shared" si="478"/>
        <v/>
      </c>
      <c r="FD85" s="91" t="str">
        <f t="shared" si="582"/>
        <v/>
      </c>
      <c r="FE85" s="86"/>
      <c r="FF85" s="91" t="str">
        <f t="shared" si="479"/>
        <v/>
      </c>
      <c r="FG85" s="91" t="str">
        <f t="shared" si="583"/>
        <v/>
      </c>
      <c r="FH85" s="86"/>
      <c r="FI85" s="91" t="str">
        <f t="shared" si="480"/>
        <v/>
      </c>
      <c r="FJ85" s="91" t="str">
        <f t="shared" si="584"/>
        <v/>
      </c>
      <c r="FK85" s="86"/>
      <c r="FL85" s="91" t="str">
        <f t="shared" si="481"/>
        <v/>
      </c>
      <c r="FM85" s="91" t="str">
        <f t="shared" si="585"/>
        <v/>
      </c>
      <c r="FN85" s="86"/>
      <c r="FO85" s="91" t="str">
        <f t="shared" si="482"/>
        <v/>
      </c>
      <c r="FP85" s="91" t="str">
        <f t="shared" si="586"/>
        <v/>
      </c>
      <c r="FQ85" s="86"/>
      <c r="FR85" s="91" t="str">
        <f t="shared" si="483"/>
        <v/>
      </c>
      <c r="FS85" s="91" t="str">
        <f t="shared" si="587"/>
        <v/>
      </c>
      <c r="FT85" s="86"/>
      <c r="FU85" s="91" t="str">
        <f t="shared" si="484"/>
        <v/>
      </c>
      <c r="FV85" s="91" t="str">
        <f t="shared" si="588"/>
        <v/>
      </c>
      <c r="FW85" s="92"/>
      <c r="FX85" s="91" t="str">
        <f t="shared" si="485"/>
        <v/>
      </c>
      <c r="FY85" s="91" t="str">
        <f t="shared" si="589"/>
        <v/>
      </c>
      <c r="FZ85" s="86"/>
      <c r="GA85" s="91" t="str">
        <f t="shared" si="486"/>
        <v/>
      </c>
      <c r="GB85" s="91" t="str">
        <f t="shared" si="590"/>
        <v/>
      </c>
      <c r="GC85" s="86"/>
      <c r="GD85" s="91" t="str">
        <f t="shared" si="487"/>
        <v/>
      </c>
      <c r="GE85" s="91" t="str">
        <f t="shared" si="591"/>
        <v/>
      </c>
      <c r="GF85" s="86"/>
      <c r="GG85" s="91" t="str">
        <f t="shared" si="488"/>
        <v/>
      </c>
      <c r="GH85" s="91" t="str">
        <f t="shared" si="592"/>
        <v/>
      </c>
      <c r="GI85" s="86"/>
      <c r="GJ85" s="91" t="str">
        <f t="shared" si="489"/>
        <v/>
      </c>
      <c r="GK85" s="91" t="str">
        <f t="shared" si="593"/>
        <v/>
      </c>
      <c r="GL85" s="86"/>
      <c r="GM85" s="91" t="str">
        <f t="shared" si="490"/>
        <v/>
      </c>
      <c r="GN85" s="91" t="str">
        <f t="shared" si="594"/>
        <v/>
      </c>
      <c r="GO85" s="86"/>
      <c r="GP85" s="91" t="str">
        <f t="shared" si="491"/>
        <v/>
      </c>
      <c r="GQ85" s="91" t="str">
        <f t="shared" si="595"/>
        <v/>
      </c>
      <c r="GR85" s="86"/>
      <c r="GS85" s="91" t="str">
        <f t="shared" si="492"/>
        <v/>
      </c>
      <c r="GT85" s="91" t="str">
        <f t="shared" si="596"/>
        <v/>
      </c>
      <c r="GU85" s="86"/>
      <c r="GV85" s="91" t="str">
        <f t="shared" si="493"/>
        <v/>
      </c>
      <c r="GW85" s="91" t="str">
        <f t="shared" si="597"/>
        <v/>
      </c>
      <c r="GX85" s="86"/>
      <c r="GY85" s="91" t="str">
        <f t="shared" si="494"/>
        <v/>
      </c>
      <c r="GZ85" s="91" t="str">
        <f t="shared" si="598"/>
        <v/>
      </c>
      <c r="HA85" s="86"/>
      <c r="HB85" s="91" t="str">
        <f t="shared" si="495"/>
        <v/>
      </c>
      <c r="HC85" s="91" t="str">
        <f t="shared" si="599"/>
        <v/>
      </c>
      <c r="HD85" s="86"/>
      <c r="HE85" s="91" t="str">
        <f t="shared" si="496"/>
        <v/>
      </c>
      <c r="HF85" s="91" t="str">
        <f t="shared" si="600"/>
        <v/>
      </c>
      <c r="HG85" s="86"/>
      <c r="HH85" s="91" t="str">
        <f t="shared" si="497"/>
        <v/>
      </c>
      <c r="HI85" s="91" t="str">
        <f t="shared" si="601"/>
        <v/>
      </c>
      <c r="HJ85" s="86"/>
      <c r="HK85" s="91" t="str">
        <f t="shared" si="498"/>
        <v/>
      </c>
      <c r="HL85" s="91" t="str">
        <f t="shared" si="602"/>
        <v/>
      </c>
      <c r="HM85" s="86"/>
      <c r="HN85" s="91" t="str">
        <f t="shared" si="499"/>
        <v/>
      </c>
      <c r="HO85" s="91" t="str">
        <f t="shared" si="603"/>
        <v/>
      </c>
      <c r="HP85" s="86"/>
      <c r="HQ85" s="91" t="str">
        <f t="shared" si="500"/>
        <v/>
      </c>
      <c r="HR85" s="91" t="str">
        <f t="shared" si="604"/>
        <v/>
      </c>
      <c r="HS85" s="86"/>
      <c r="HT85" s="91" t="str">
        <f t="shared" si="501"/>
        <v/>
      </c>
      <c r="HU85" s="91" t="str">
        <f t="shared" si="605"/>
        <v/>
      </c>
      <c r="HV85" s="86"/>
      <c r="HW85" s="91" t="str">
        <f t="shared" si="502"/>
        <v/>
      </c>
      <c r="HX85" s="91" t="str">
        <f t="shared" si="606"/>
        <v/>
      </c>
      <c r="HY85" s="86"/>
      <c r="HZ85" s="91" t="str">
        <f t="shared" si="503"/>
        <v/>
      </c>
      <c r="IA85" s="91" t="str">
        <f t="shared" si="607"/>
        <v/>
      </c>
      <c r="IB85" s="86"/>
      <c r="IC85" s="91" t="str">
        <f t="shared" si="504"/>
        <v/>
      </c>
      <c r="ID85" s="91" t="str">
        <f t="shared" si="608"/>
        <v/>
      </c>
      <c r="IE85" s="86"/>
      <c r="IF85" s="91" t="str">
        <f t="shared" si="505"/>
        <v/>
      </c>
      <c r="IG85" s="91" t="str">
        <f t="shared" si="609"/>
        <v/>
      </c>
      <c r="IH85" s="86"/>
      <c r="II85" s="91" t="str">
        <f t="shared" si="506"/>
        <v/>
      </c>
      <c r="IJ85" s="91" t="str">
        <f t="shared" si="610"/>
        <v/>
      </c>
      <c r="IK85" s="86"/>
      <c r="IL85" s="91" t="str">
        <f t="shared" si="507"/>
        <v/>
      </c>
      <c r="IM85" s="91" t="str">
        <f t="shared" si="611"/>
        <v/>
      </c>
      <c r="IN85" s="86"/>
      <c r="IO85" s="91" t="str">
        <f t="shared" si="508"/>
        <v/>
      </c>
      <c r="IP85" s="91" t="str">
        <f t="shared" si="612"/>
        <v/>
      </c>
      <c r="IQ85" s="86"/>
      <c r="IR85" s="91" t="str">
        <f t="shared" si="509"/>
        <v/>
      </c>
      <c r="IS85" s="91" t="str">
        <f t="shared" si="613"/>
        <v/>
      </c>
      <c r="IT85" s="86"/>
      <c r="IU85" s="91" t="str">
        <f t="shared" si="510"/>
        <v/>
      </c>
      <c r="IV85" s="91" t="str">
        <f t="shared" si="614"/>
        <v/>
      </c>
      <c r="IW85" s="86"/>
      <c r="IX85" s="91" t="str">
        <f t="shared" si="511"/>
        <v/>
      </c>
      <c r="IY85" s="91" t="str">
        <f t="shared" si="615"/>
        <v/>
      </c>
      <c r="IZ85" s="86"/>
      <c r="JA85" s="91" t="str">
        <f t="shared" si="512"/>
        <v/>
      </c>
      <c r="JB85" s="91" t="str">
        <f t="shared" si="616"/>
        <v/>
      </c>
      <c r="JC85" s="86"/>
      <c r="JD85" s="91" t="str">
        <f t="shared" si="513"/>
        <v/>
      </c>
      <c r="JE85" s="91" t="str">
        <f t="shared" si="617"/>
        <v/>
      </c>
      <c r="JF85" s="86"/>
      <c r="JG85" s="91" t="str">
        <f t="shared" si="514"/>
        <v/>
      </c>
      <c r="JH85" s="91" t="str">
        <f t="shared" si="618"/>
        <v/>
      </c>
      <c r="JI85" s="86"/>
      <c r="JJ85" s="91" t="str">
        <f t="shared" si="515"/>
        <v/>
      </c>
      <c r="JK85" s="91" t="str">
        <f t="shared" si="619"/>
        <v/>
      </c>
      <c r="JL85" s="86"/>
      <c r="JM85" s="91" t="str">
        <f t="shared" si="516"/>
        <v/>
      </c>
      <c r="JN85" s="91" t="str">
        <f t="shared" si="620"/>
        <v/>
      </c>
      <c r="JO85" s="86"/>
      <c r="JP85" s="91" t="str">
        <f t="shared" si="517"/>
        <v/>
      </c>
      <c r="JQ85" s="91" t="str">
        <f t="shared" si="621"/>
        <v/>
      </c>
      <c r="JR85" s="86"/>
      <c r="JS85" s="91" t="str">
        <f t="shared" si="518"/>
        <v/>
      </c>
      <c r="JT85" s="91" t="str">
        <f t="shared" si="622"/>
        <v/>
      </c>
      <c r="JU85" s="86"/>
      <c r="JV85" s="91" t="str">
        <f t="shared" si="519"/>
        <v/>
      </c>
      <c r="JW85" s="91" t="str">
        <f t="shared" si="623"/>
        <v/>
      </c>
      <c r="JX85" s="86"/>
      <c r="JY85" s="91" t="str">
        <f t="shared" si="520"/>
        <v/>
      </c>
      <c r="JZ85" s="91" t="str">
        <f t="shared" si="624"/>
        <v/>
      </c>
      <c r="KA85" s="86"/>
      <c r="KB85" s="91" t="str">
        <f t="shared" si="521"/>
        <v/>
      </c>
      <c r="KC85" s="91" t="str">
        <f t="shared" si="625"/>
        <v/>
      </c>
      <c r="KD85" s="86"/>
      <c r="KE85" s="91" t="str">
        <f t="shared" si="522"/>
        <v/>
      </c>
      <c r="KF85" s="91" t="str">
        <f t="shared" si="626"/>
        <v/>
      </c>
      <c r="KG85" s="86"/>
      <c r="KH85" s="91" t="str">
        <f t="shared" si="523"/>
        <v/>
      </c>
      <c r="KI85" s="91" t="str">
        <f t="shared" si="627"/>
        <v/>
      </c>
      <c r="KJ85" s="86"/>
      <c r="KK85" s="91" t="str">
        <f t="shared" si="524"/>
        <v/>
      </c>
      <c r="KL85" s="91" t="str">
        <f t="shared" si="628"/>
        <v/>
      </c>
      <c r="KM85" s="86"/>
      <c r="KN85" s="91" t="str">
        <f t="shared" si="525"/>
        <v/>
      </c>
      <c r="KO85" s="91" t="str">
        <f t="shared" si="629"/>
        <v/>
      </c>
      <c r="KP85" s="86"/>
      <c r="KQ85" s="91" t="str">
        <f t="shared" si="526"/>
        <v/>
      </c>
      <c r="KR85" s="91" t="str">
        <f t="shared" si="630"/>
        <v/>
      </c>
      <c r="KS85" s="86"/>
      <c r="KT85" s="91" t="str">
        <f t="shared" si="527"/>
        <v/>
      </c>
      <c r="KU85" s="91" t="str">
        <f t="shared" si="631"/>
        <v/>
      </c>
      <c r="KV85" s="86"/>
      <c r="KW85" s="91" t="str">
        <f t="shared" si="528"/>
        <v/>
      </c>
      <c r="KX85" s="91" t="str">
        <f t="shared" si="632"/>
        <v/>
      </c>
      <c r="KY85" s="92"/>
      <c r="KZ85" s="91" t="str">
        <f t="shared" si="529"/>
        <v/>
      </c>
      <c r="LA85" s="91" t="str">
        <f t="shared" si="633"/>
        <v/>
      </c>
      <c r="LB85" s="106" t="str">
        <f t="shared" si="645"/>
        <v/>
      </c>
      <c r="LC85" s="108" t="str">
        <f t="shared" si="634"/>
        <v/>
      </c>
      <c r="LD85" s="106" t="str">
        <f t="shared" si="635"/>
        <v/>
      </c>
      <c r="LE85" s="108" t="str">
        <f t="shared" si="636"/>
        <v/>
      </c>
      <c r="LF85" s="106" t="str">
        <f t="shared" si="637"/>
        <v/>
      </c>
      <c r="LG85" s="108" t="str">
        <f t="shared" si="638"/>
        <v/>
      </c>
      <c r="LH85" s="109" t="str">
        <f t="shared" si="530"/>
        <v/>
      </c>
      <c r="LI85" s="109" t="str">
        <f t="shared" si="531"/>
        <v/>
      </c>
      <c r="LJ85" s="109" t="str">
        <f t="shared" si="532"/>
        <v/>
      </c>
      <c r="LK85" s="109" t="str">
        <f t="shared" si="639"/>
        <v/>
      </c>
      <c r="LL85" s="111" t="str">
        <f t="shared" si="640"/>
        <v/>
      </c>
      <c r="LM85" s="64"/>
      <c r="LN85" s="112" t="str">
        <f t="shared" ref="LN85:LN86" si="647">IFERROR(RANK(LK85,(LK$84:LK$86),0),"")</f>
        <v/>
      </c>
      <c r="LO85" s="113" t="str">
        <f t="shared" si="646"/>
        <v/>
      </c>
      <c r="LP85" s="64"/>
      <c r="LQ85" s="64"/>
      <c r="LR85" s="64"/>
    </row>
    <row r="86" spans="1:348" s="62" customFormat="1" ht="15" customHeight="1">
      <c r="A86" s="106">
        <f t="shared" si="642"/>
        <v>0</v>
      </c>
      <c r="B86" s="106">
        <f t="shared" si="643"/>
        <v>0</v>
      </c>
      <c r="C86" s="51"/>
      <c r="D86" s="52"/>
      <c r="E86" s="53"/>
      <c r="F86" s="53"/>
      <c r="G86" s="53"/>
      <c r="H86" s="53"/>
      <c r="I86" s="53"/>
      <c r="J86" s="53"/>
      <c r="K86" s="53"/>
      <c r="L86" s="53"/>
      <c r="M86" s="107" t="s">
        <v>35</v>
      </c>
      <c r="N86" s="86"/>
      <c r="O86" s="91" t="str">
        <f t="shared" si="431"/>
        <v/>
      </c>
      <c r="P86" s="91" t="str">
        <f t="shared" si="534"/>
        <v/>
      </c>
      <c r="Q86" s="86"/>
      <c r="R86" s="91" t="str">
        <f t="shared" si="432"/>
        <v/>
      </c>
      <c r="S86" s="91" t="str">
        <f t="shared" si="535"/>
        <v/>
      </c>
      <c r="T86" s="86"/>
      <c r="U86" s="91" t="str">
        <f t="shared" si="433"/>
        <v/>
      </c>
      <c r="V86" s="91" t="str">
        <f t="shared" si="536"/>
        <v/>
      </c>
      <c r="W86" s="86"/>
      <c r="X86" s="91" t="str">
        <f t="shared" si="434"/>
        <v/>
      </c>
      <c r="Y86" s="91" t="str">
        <f t="shared" si="537"/>
        <v/>
      </c>
      <c r="Z86" s="86"/>
      <c r="AA86" s="91" t="str">
        <f t="shared" si="435"/>
        <v/>
      </c>
      <c r="AB86" s="91" t="str">
        <f t="shared" si="538"/>
        <v/>
      </c>
      <c r="AC86" s="86"/>
      <c r="AD86" s="91" t="str">
        <f t="shared" si="436"/>
        <v/>
      </c>
      <c r="AE86" s="91" t="str">
        <f t="shared" si="539"/>
        <v/>
      </c>
      <c r="AF86" s="86"/>
      <c r="AG86" s="91" t="str">
        <f t="shared" si="437"/>
        <v/>
      </c>
      <c r="AH86" s="91" t="str">
        <f t="shared" si="540"/>
        <v/>
      </c>
      <c r="AI86" s="86"/>
      <c r="AJ86" s="91" t="str">
        <f t="shared" si="438"/>
        <v/>
      </c>
      <c r="AK86" s="91" t="str">
        <f t="shared" si="541"/>
        <v/>
      </c>
      <c r="AL86" s="86"/>
      <c r="AM86" s="91" t="str">
        <f t="shared" si="439"/>
        <v/>
      </c>
      <c r="AN86" s="91" t="str">
        <f t="shared" si="542"/>
        <v/>
      </c>
      <c r="AO86" s="86"/>
      <c r="AP86" s="91" t="str">
        <f t="shared" si="440"/>
        <v/>
      </c>
      <c r="AQ86" s="91" t="str">
        <f t="shared" si="543"/>
        <v/>
      </c>
      <c r="AR86" s="86"/>
      <c r="AS86" s="91" t="str">
        <f t="shared" si="441"/>
        <v/>
      </c>
      <c r="AT86" s="91" t="str">
        <f t="shared" si="544"/>
        <v/>
      </c>
      <c r="AU86" s="86"/>
      <c r="AV86" s="91" t="str">
        <f t="shared" si="442"/>
        <v/>
      </c>
      <c r="AW86" s="91" t="str">
        <f t="shared" si="545"/>
        <v/>
      </c>
      <c r="AX86" s="86"/>
      <c r="AY86" s="91" t="str">
        <f t="shared" si="443"/>
        <v/>
      </c>
      <c r="AZ86" s="91" t="str">
        <f t="shared" si="546"/>
        <v/>
      </c>
      <c r="BA86" s="86"/>
      <c r="BB86" s="91" t="str">
        <f t="shared" si="444"/>
        <v/>
      </c>
      <c r="BC86" s="91" t="str">
        <f t="shared" si="547"/>
        <v/>
      </c>
      <c r="BD86" s="86"/>
      <c r="BE86" s="91" t="str">
        <f t="shared" si="445"/>
        <v/>
      </c>
      <c r="BF86" s="91" t="str">
        <f t="shared" si="548"/>
        <v/>
      </c>
      <c r="BG86" s="86"/>
      <c r="BH86" s="91" t="str">
        <f t="shared" si="446"/>
        <v/>
      </c>
      <c r="BI86" s="91" t="str">
        <f t="shared" si="549"/>
        <v/>
      </c>
      <c r="BJ86" s="86"/>
      <c r="BK86" s="91" t="str">
        <f t="shared" si="447"/>
        <v/>
      </c>
      <c r="BL86" s="91" t="str">
        <f t="shared" si="550"/>
        <v/>
      </c>
      <c r="BM86" s="86"/>
      <c r="BN86" s="91" t="str">
        <f t="shared" si="448"/>
        <v/>
      </c>
      <c r="BO86" s="91" t="str">
        <f t="shared" si="551"/>
        <v/>
      </c>
      <c r="BP86" s="51"/>
      <c r="BQ86" s="91" t="str">
        <f t="shared" si="449"/>
        <v/>
      </c>
      <c r="BR86" s="91" t="str">
        <f t="shared" si="552"/>
        <v/>
      </c>
      <c r="BS86" s="86"/>
      <c r="BT86" s="91" t="str">
        <f t="shared" si="450"/>
        <v/>
      </c>
      <c r="BU86" s="91" t="str">
        <f t="shared" si="553"/>
        <v/>
      </c>
      <c r="BV86" s="86"/>
      <c r="BW86" s="91" t="str">
        <f t="shared" si="451"/>
        <v/>
      </c>
      <c r="BX86" s="91" t="str">
        <f t="shared" si="554"/>
        <v/>
      </c>
      <c r="BY86" s="86"/>
      <c r="BZ86" s="91" t="str">
        <f t="shared" si="452"/>
        <v/>
      </c>
      <c r="CA86" s="91" t="str">
        <f t="shared" si="555"/>
        <v/>
      </c>
      <c r="CB86" s="86"/>
      <c r="CC86" s="91" t="str">
        <f t="shared" si="453"/>
        <v/>
      </c>
      <c r="CD86" s="91" t="str">
        <f t="shared" si="556"/>
        <v/>
      </c>
      <c r="CE86" s="86"/>
      <c r="CF86" s="91" t="str">
        <f t="shared" si="454"/>
        <v/>
      </c>
      <c r="CG86" s="91" t="str">
        <f t="shared" si="557"/>
        <v/>
      </c>
      <c r="CH86" s="86"/>
      <c r="CI86" s="91" t="str">
        <f t="shared" si="455"/>
        <v/>
      </c>
      <c r="CJ86" s="91" t="str">
        <f t="shared" si="558"/>
        <v/>
      </c>
      <c r="CK86" s="86"/>
      <c r="CL86" s="91" t="str">
        <f t="shared" si="456"/>
        <v/>
      </c>
      <c r="CM86" s="91" t="str">
        <f t="shared" si="559"/>
        <v/>
      </c>
      <c r="CN86" s="86"/>
      <c r="CO86" s="91" t="str">
        <f t="shared" si="457"/>
        <v/>
      </c>
      <c r="CP86" s="91" t="str">
        <f t="shared" si="560"/>
        <v/>
      </c>
      <c r="CQ86" s="86"/>
      <c r="CR86" s="91" t="str">
        <f t="shared" si="458"/>
        <v/>
      </c>
      <c r="CS86" s="91" t="str">
        <f t="shared" si="561"/>
        <v/>
      </c>
      <c r="CT86" s="86"/>
      <c r="CU86" s="91" t="str">
        <f t="shared" si="459"/>
        <v/>
      </c>
      <c r="CV86" s="91" t="str">
        <f t="shared" si="562"/>
        <v/>
      </c>
      <c r="CW86" s="86"/>
      <c r="CX86" s="91" t="str">
        <f t="shared" si="460"/>
        <v/>
      </c>
      <c r="CY86" s="91" t="str">
        <f t="shared" si="563"/>
        <v/>
      </c>
      <c r="CZ86" s="86"/>
      <c r="DA86" s="91" t="str">
        <f t="shared" si="461"/>
        <v/>
      </c>
      <c r="DB86" s="91" t="str">
        <f t="shared" si="564"/>
        <v/>
      </c>
      <c r="DC86" s="86"/>
      <c r="DD86" s="91" t="str">
        <f t="shared" si="462"/>
        <v/>
      </c>
      <c r="DE86" s="91" t="str">
        <f t="shared" si="565"/>
        <v/>
      </c>
      <c r="DF86" s="86"/>
      <c r="DG86" s="91"/>
      <c r="DH86" s="91" t="str">
        <f t="shared" si="566"/>
        <v/>
      </c>
      <c r="DI86" s="86"/>
      <c r="DJ86" s="91" t="str">
        <f t="shared" si="463"/>
        <v/>
      </c>
      <c r="DK86" s="91" t="str">
        <f t="shared" si="567"/>
        <v/>
      </c>
      <c r="DL86" s="86"/>
      <c r="DM86" s="91" t="str">
        <f t="shared" si="464"/>
        <v/>
      </c>
      <c r="DN86" s="91" t="str">
        <f t="shared" si="568"/>
        <v/>
      </c>
      <c r="DO86" s="86"/>
      <c r="DP86" s="91" t="str">
        <f t="shared" si="465"/>
        <v/>
      </c>
      <c r="DQ86" s="91" t="str">
        <f t="shared" si="569"/>
        <v/>
      </c>
      <c r="DR86" s="86"/>
      <c r="DS86" s="91" t="str">
        <f t="shared" si="466"/>
        <v/>
      </c>
      <c r="DT86" s="91" t="str">
        <f t="shared" si="570"/>
        <v/>
      </c>
      <c r="DU86" s="86"/>
      <c r="DV86" s="91" t="str">
        <f t="shared" si="467"/>
        <v/>
      </c>
      <c r="DW86" s="91" t="str">
        <f t="shared" si="571"/>
        <v/>
      </c>
      <c r="DX86" s="86"/>
      <c r="DY86" s="91" t="str">
        <f t="shared" si="468"/>
        <v/>
      </c>
      <c r="DZ86" s="91" t="str">
        <f t="shared" si="572"/>
        <v/>
      </c>
      <c r="EA86" s="86"/>
      <c r="EB86" s="91" t="str">
        <f t="shared" si="469"/>
        <v/>
      </c>
      <c r="EC86" s="91" t="str">
        <f t="shared" si="573"/>
        <v/>
      </c>
      <c r="ED86" s="86"/>
      <c r="EE86" s="91" t="str">
        <f t="shared" si="470"/>
        <v/>
      </c>
      <c r="EF86" s="91" t="str">
        <f t="shared" si="574"/>
        <v/>
      </c>
      <c r="EG86" s="86"/>
      <c r="EH86" s="91" t="str">
        <f t="shared" si="471"/>
        <v/>
      </c>
      <c r="EI86" s="91" t="str">
        <f t="shared" si="575"/>
        <v/>
      </c>
      <c r="EJ86" s="86"/>
      <c r="EK86" s="91" t="str">
        <f t="shared" si="472"/>
        <v/>
      </c>
      <c r="EL86" s="91" t="str">
        <f t="shared" si="576"/>
        <v/>
      </c>
      <c r="EM86" s="86"/>
      <c r="EN86" s="91" t="str">
        <f t="shared" si="473"/>
        <v/>
      </c>
      <c r="EO86" s="91" t="str">
        <f t="shared" si="577"/>
        <v/>
      </c>
      <c r="EP86" s="86"/>
      <c r="EQ86" s="91" t="str">
        <f t="shared" si="474"/>
        <v/>
      </c>
      <c r="ER86" s="91" t="str">
        <f t="shared" si="578"/>
        <v/>
      </c>
      <c r="ES86" s="51"/>
      <c r="ET86" s="91" t="str">
        <f t="shared" si="475"/>
        <v/>
      </c>
      <c r="EU86" s="91" t="str">
        <f t="shared" si="579"/>
        <v/>
      </c>
      <c r="EV86" s="86"/>
      <c r="EW86" s="91" t="str">
        <f t="shared" si="476"/>
        <v/>
      </c>
      <c r="EX86" s="91" t="str">
        <f t="shared" si="580"/>
        <v/>
      </c>
      <c r="EY86" s="86"/>
      <c r="EZ86" s="91" t="str">
        <f t="shared" si="477"/>
        <v/>
      </c>
      <c r="FA86" s="91" t="str">
        <f t="shared" si="581"/>
        <v/>
      </c>
      <c r="FB86" s="86"/>
      <c r="FC86" s="91" t="str">
        <f t="shared" si="478"/>
        <v/>
      </c>
      <c r="FD86" s="91" t="str">
        <f t="shared" si="582"/>
        <v/>
      </c>
      <c r="FE86" s="86"/>
      <c r="FF86" s="91" t="str">
        <f t="shared" si="479"/>
        <v/>
      </c>
      <c r="FG86" s="91" t="str">
        <f t="shared" si="583"/>
        <v/>
      </c>
      <c r="FH86" s="86"/>
      <c r="FI86" s="91" t="str">
        <f t="shared" si="480"/>
        <v/>
      </c>
      <c r="FJ86" s="91" t="str">
        <f t="shared" si="584"/>
        <v/>
      </c>
      <c r="FK86" s="86"/>
      <c r="FL86" s="91" t="str">
        <f t="shared" si="481"/>
        <v/>
      </c>
      <c r="FM86" s="91" t="str">
        <f t="shared" si="585"/>
        <v/>
      </c>
      <c r="FN86" s="86"/>
      <c r="FO86" s="91" t="str">
        <f t="shared" si="482"/>
        <v/>
      </c>
      <c r="FP86" s="91" t="str">
        <f t="shared" si="586"/>
        <v/>
      </c>
      <c r="FQ86" s="86"/>
      <c r="FR86" s="91" t="str">
        <f t="shared" si="483"/>
        <v/>
      </c>
      <c r="FS86" s="91" t="str">
        <f t="shared" si="587"/>
        <v/>
      </c>
      <c r="FT86" s="86"/>
      <c r="FU86" s="91" t="str">
        <f t="shared" si="484"/>
        <v/>
      </c>
      <c r="FV86" s="91" t="str">
        <f t="shared" si="588"/>
        <v/>
      </c>
      <c r="FW86" s="92"/>
      <c r="FX86" s="91" t="str">
        <f t="shared" si="485"/>
        <v/>
      </c>
      <c r="FY86" s="91" t="str">
        <f t="shared" si="589"/>
        <v/>
      </c>
      <c r="FZ86" s="86"/>
      <c r="GA86" s="91" t="str">
        <f t="shared" si="486"/>
        <v/>
      </c>
      <c r="GB86" s="91" t="str">
        <f t="shared" si="590"/>
        <v/>
      </c>
      <c r="GC86" s="86"/>
      <c r="GD86" s="91" t="str">
        <f t="shared" si="487"/>
        <v/>
      </c>
      <c r="GE86" s="91" t="str">
        <f t="shared" si="591"/>
        <v/>
      </c>
      <c r="GF86" s="86"/>
      <c r="GG86" s="91" t="str">
        <f t="shared" si="488"/>
        <v/>
      </c>
      <c r="GH86" s="91" t="str">
        <f t="shared" si="592"/>
        <v/>
      </c>
      <c r="GI86" s="86"/>
      <c r="GJ86" s="91" t="str">
        <f t="shared" si="489"/>
        <v/>
      </c>
      <c r="GK86" s="91" t="str">
        <f t="shared" si="593"/>
        <v/>
      </c>
      <c r="GL86" s="86"/>
      <c r="GM86" s="91" t="str">
        <f t="shared" si="490"/>
        <v/>
      </c>
      <c r="GN86" s="91" t="str">
        <f t="shared" si="594"/>
        <v/>
      </c>
      <c r="GO86" s="86"/>
      <c r="GP86" s="91" t="str">
        <f t="shared" si="491"/>
        <v/>
      </c>
      <c r="GQ86" s="91" t="str">
        <f t="shared" si="595"/>
        <v/>
      </c>
      <c r="GR86" s="86"/>
      <c r="GS86" s="91" t="str">
        <f t="shared" si="492"/>
        <v/>
      </c>
      <c r="GT86" s="91" t="str">
        <f t="shared" si="596"/>
        <v/>
      </c>
      <c r="GU86" s="86"/>
      <c r="GV86" s="91" t="str">
        <f t="shared" si="493"/>
        <v/>
      </c>
      <c r="GW86" s="91" t="str">
        <f t="shared" si="597"/>
        <v/>
      </c>
      <c r="GX86" s="86"/>
      <c r="GY86" s="91" t="str">
        <f t="shared" si="494"/>
        <v/>
      </c>
      <c r="GZ86" s="91" t="str">
        <f t="shared" si="598"/>
        <v/>
      </c>
      <c r="HA86" s="86"/>
      <c r="HB86" s="91" t="str">
        <f t="shared" si="495"/>
        <v/>
      </c>
      <c r="HC86" s="91" t="str">
        <f t="shared" si="599"/>
        <v/>
      </c>
      <c r="HD86" s="86"/>
      <c r="HE86" s="91" t="str">
        <f t="shared" si="496"/>
        <v/>
      </c>
      <c r="HF86" s="91" t="str">
        <f t="shared" si="600"/>
        <v/>
      </c>
      <c r="HG86" s="86"/>
      <c r="HH86" s="91" t="str">
        <f t="shared" si="497"/>
        <v/>
      </c>
      <c r="HI86" s="91" t="str">
        <f t="shared" si="601"/>
        <v/>
      </c>
      <c r="HJ86" s="86"/>
      <c r="HK86" s="91" t="str">
        <f t="shared" si="498"/>
        <v/>
      </c>
      <c r="HL86" s="91" t="str">
        <f t="shared" si="602"/>
        <v/>
      </c>
      <c r="HM86" s="86"/>
      <c r="HN86" s="91" t="str">
        <f t="shared" si="499"/>
        <v/>
      </c>
      <c r="HO86" s="91" t="str">
        <f t="shared" si="603"/>
        <v/>
      </c>
      <c r="HP86" s="86"/>
      <c r="HQ86" s="91" t="str">
        <f t="shared" si="500"/>
        <v/>
      </c>
      <c r="HR86" s="91" t="str">
        <f t="shared" si="604"/>
        <v/>
      </c>
      <c r="HS86" s="86"/>
      <c r="HT86" s="91" t="str">
        <f t="shared" si="501"/>
        <v/>
      </c>
      <c r="HU86" s="91" t="str">
        <f t="shared" si="605"/>
        <v/>
      </c>
      <c r="HV86" s="86"/>
      <c r="HW86" s="91" t="str">
        <f t="shared" si="502"/>
        <v/>
      </c>
      <c r="HX86" s="91" t="str">
        <f t="shared" si="606"/>
        <v/>
      </c>
      <c r="HY86" s="86"/>
      <c r="HZ86" s="91" t="str">
        <f t="shared" si="503"/>
        <v/>
      </c>
      <c r="IA86" s="91" t="str">
        <f t="shared" si="607"/>
        <v/>
      </c>
      <c r="IB86" s="86"/>
      <c r="IC86" s="91" t="str">
        <f t="shared" si="504"/>
        <v/>
      </c>
      <c r="ID86" s="91" t="str">
        <f t="shared" si="608"/>
        <v/>
      </c>
      <c r="IE86" s="86"/>
      <c r="IF86" s="91" t="str">
        <f t="shared" si="505"/>
        <v/>
      </c>
      <c r="IG86" s="91" t="str">
        <f t="shared" si="609"/>
        <v/>
      </c>
      <c r="IH86" s="86"/>
      <c r="II86" s="91" t="str">
        <f t="shared" si="506"/>
        <v/>
      </c>
      <c r="IJ86" s="91" t="str">
        <f t="shared" si="610"/>
        <v/>
      </c>
      <c r="IK86" s="86"/>
      <c r="IL86" s="91" t="str">
        <f t="shared" si="507"/>
        <v/>
      </c>
      <c r="IM86" s="91" t="str">
        <f t="shared" si="611"/>
        <v/>
      </c>
      <c r="IN86" s="86"/>
      <c r="IO86" s="91" t="str">
        <f t="shared" si="508"/>
        <v/>
      </c>
      <c r="IP86" s="91" t="str">
        <f t="shared" si="612"/>
        <v/>
      </c>
      <c r="IQ86" s="86"/>
      <c r="IR86" s="91" t="str">
        <f t="shared" si="509"/>
        <v/>
      </c>
      <c r="IS86" s="91" t="str">
        <f t="shared" si="613"/>
        <v/>
      </c>
      <c r="IT86" s="86"/>
      <c r="IU86" s="91" t="str">
        <f t="shared" si="510"/>
        <v/>
      </c>
      <c r="IV86" s="91" t="str">
        <f t="shared" si="614"/>
        <v/>
      </c>
      <c r="IW86" s="86"/>
      <c r="IX86" s="91" t="str">
        <f t="shared" si="511"/>
        <v/>
      </c>
      <c r="IY86" s="91" t="str">
        <f t="shared" si="615"/>
        <v/>
      </c>
      <c r="IZ86" s="86"/>
      <c r="JA86" s="91" t="str">
        <f t="shared" si="512"/>
        <v/>
      </c>
      <c r="JB86" s="91" t="str">
        <f t="shared" si="616"/>
        <v/>
      </c>
      <c r="JC86" s="86"/>
      <c r="JD86" s="91" t="str">
        <f t="shared" si="513"/>
        <v/>
      </c>
      <c r="JE86" s="91" t="str">
        <f t="shared" si="617"/>
        <v/>
      </c>
      <c r="JF86" s="86"/>
      <c r="JG86" s="91" t="str">
        <f t="shared" si="514"/>
        <v/>
      </c>
      <c r="JH86" s="91" t="str">
        <f t="shared" si="618"/>
        <v/>
      </c>
      <c r="JI86" s="86"/>
      <c r="JJ86" s="91" t="str">
        <f t="shared" si="515"/>
        <v/>
      </c>
      <c r="JK86" s="91" t="str">
        <f t="shared" si="619"/>
        <v/>
      </c>
      <c r="JL86" s="86"/>
      <c r="JM86" s="91" t="str">
        <f t="shared" si="516"/>
        <v/>
      </c>
      <c r="JN86" s="91" t="str">
        <f t="shared" si="620"/>
        <v/>
      </c>
      <c r="JO86" s="86"/>
      <c r="JP86" s="91" t="str">
        <f t="shared" si="517"/>
        <v/>
      </c>
      <c r="JQ86" s="91" t="str">
        <f t="shared" si="621"/>
        <v/>
      </c>
      <c r="JR86" s="86"/>
      <c r="JS86" s="91" t="str">
        <f t="shared" si="518"/>
        <v/>
      </c>
      <c r="JT86" s="91" t="str">
        <f t="shared" si="622"/>
        <v/>
      </c>
      <c r="JU86" s="86"/>
      <c r="JV86" s="91" t="str">
        <f t="shared" si="519"/>
        <v/>
      </c>
      <c r="JW86" s="91" t="str">
        <f t="shared" si="623"/>
        <v/>
      </c>
      <c r="JX86" s="86"/>
      <c r="JY86" s="91" t="str">
        <f t="shared" si="520"/>
        <v/>
      </c>
      <c r="JZ86" s="91" t="str">
        <f t="shared" si="624"/>
        <v/>
      </c>
      <c r="KA86" s="86"/>
      <c r="KB86" s="91" t="str">
        <f t="shared" si="521"/>
        <v/>
      </c>
      <c r="KC86" s="91" t="str">
        <f t="shared" si="625"/>
        <v/>
      </c>
      <c r="KD86" s="86"/>
      <c r="KE86" s="91" t="str">
        <f t="shared" si="522"/>
        <v/>
      </c>
      <c r="KF86" s="91" t="str">
        <f t="shared" si="626"/>
        <v/>
      </c>
      <c r="KG86" s="86"/>
      <c r="KH86" s="91" t="str">
        <f t="shared" si="523"/>
        <v/>
      </c>
      <c r="KI86" s="91" t="str">
        <f t="shared" si="627"/>
        <v/>
      </c>
      <c r="KJ86" s="86"/>
      <c r="KK86" s="91" t="str">
        <f t="shared" si="524"/>
        <v/>
      </c>
      <c r="KL86" s="91" t="str">
        <f t="shared" si="628"/>
        <v/>
      </c>
      <c r="KM86" s="86"/>
      <c r="KN86" s="91" t="str">
        <f t="shared" si="525"/>
        <v/>
      </c>
      <c r="KO86" s="91" t="str">
        <f t="shared" si="629"/>
        <v/>
      </c>
      <c r="KP86" s="86"/>
      <c r="KQ86" s="91" t="str">
        <f t="shared" si="526"/>
        <v/>
      </c>
      <c r="KR86" s="91" t="str">
        <f t="shared" si="630"/>
        <v/>
      </c>
      <c r="KS86" s="86"/>
      <c r="KT86" s="91" t="str">
        <f t="shared" si="527"/>
        <v/>
      </c>
      <c r="KU86" s="91" t="str">
        <f t="shared" si="631"/>
        <v/>
      </c>
      <c r="KV86" s="86"/>
      <c r="KW86" s="91" t="str">
        <f t="shared" si="528"/>
        <v/>
      </c>
      <c r="KX86" s="91" t="str">
        <f t="shared" si="632"/>
        <v/>
      </c>
      <c r="KY86" s="92"/>
      <c r="KZ86" s="91" t="str">
        <f t="shared" si="529"/>
        <v/>
      </c>
      <c r="LA86" s="91" t="str">
        <f t="shared" si="633"/>
        <v/>
      </c>
      <c r="LB86" s="106" t="str">
        <f>IFERROR(AVERAGE($N86,$Q86,$T86,$W86,$Z86,$AC86,$AF86,$AI86,$AL86,$AO86,$AR86,$AU86,$AX86,$BA86,$BD86,$BG86,$BJ86,$BM86,$BP86,$BS86,$BV86,$BY86,$CB86,$CE86,$CH86,$CK86,$CN86,$CQ86,$CT86,$CW86,$CZ86,$DC86,$DF86,$DI86,$DL86,$DO86,$DR86,$DU86,$DX86,$EA86,$ED86,$EG86,$EJ86,$EM86,$EP86,$ES86,$EV86,$EY86,$FB86,$FE86,$FH86,$FK86,$FN86,$FQ86,$FT86,$FW86,$FZ86,$GC86,$GF86,$GI86,$GL86,$GO86,$GR86,$GU86,$GX86,$HA86,$HD86,$HG86,$HJ86,$HM86,$HP86,$HS86,$HV86,$HY86,$IB86,$IE86,$IH86, $IK86, $IN86,$IQ86,$IT86,$IW86,$IZ86,$JC86,$JF86,$JI86,$JL86,$JO86,$JR86,$JU86,$JX86,$KA86,$KD86,$KG86,$KJ86,$KJ86,$KM86,$KP86,$KS86,$KV86,$KY86),"")</f>
        <v/>
      </c>
      <c r="LC86" s="108" t="str">
        <f t="shared" si="634"/>
        <v/>
      </c>
      <c r="LD86" s="106" t="str">
        <f t="shared" si="635"/>
        <v/>
      </c>
      <c r="LE86" s="108" t="str">
        <f t="shared" si="636"/>
        <v/>
      </c>
      <c r="LF86" s="106" t="str">
        <f t="shared" si="637"/>
        <v/>
      </c>
      <c r="LG86" s="108" t="str">
        <f t="shared" si="638"/>
        <v/>
      </c>
      <c r="LH86" s="109" t="str">
        <f t="shared" si="530"/>
        <v/>
      </c>
      <c r="LI86" s="109" t="str">
        <f t="shared" si="531"/>
        <v/>
      </c>
      <c r="LJ86" s="109" t="str">
        <f t="shared" si="532"/>
        <v/>
      </c>
      <c r="LK86" s="109" t="str">
        <f t="shared" si="639"/>
        <v/>
      </c>
      <c r="LL86" s="111" t="str">
        <f t="shared" si="640"/>
        <v/>
      </c>
      <c r="LM86" s="64"/>
      <c r="LN86" s="112" t="str">
        <f t="shared" si="647"/>
        <v/>
      </c>
      <c r="LO86" s="113" t="str">
        <f t="shared" si="646"/>
        <v/>
      </c>
      <c r="LP86" s="64"/>
      <c r="LQ86" s="64"/>
      <c r="LR86" s="64"/>
    </row>
    <row r="87" spans="1:348" s="62" customFormat="1" ht="15" customHeight="1">
      <c r="A87" s="50">
        <f t="shared" si="642"/>
        <v>0</v>
      </c>
      <c r="B87" s="50">
        <f t="shared" si="643"/>
        <v>0</v>
      </c>
      <c r="C87" s="77"/>
      <c r="D87" s="75"/>
      <c r="E87" s="63"/>
      <c r="F87" s="63"/>
      <c r="G87" s="63"/>
      <c r="H87" s="63"/>
      <c r="I87" s="63"/>
      <c r="J87" s="63"/>
      <c r="K87" s="63"/>
      <c r="L87" s="63"/>
      <c r="M87" s="54" t="s">
        <v>35</v>
      </c>
      <c r="N87" s="84"/>
      <c r="O87" s="85" t="str">
        <f t="shared" si="431"/>
        <v/>
      </c>
      <c r="P87" s="85" t="str">
        <f t="shared" si="534"/>
        <v/>
      </c>
      <c r="Q87" s="84"/>
      <c r="R87" s="85" t="str">
        <f t="shared" si="432"/>
        <v/>
      </c>
      <c r="S87" s="85" t="str">
        <f t="shared" si="535"/>
        <v/>
      </c>
      <c r="T87" s="84"/>
      <c r="U87" s="85" t="str">
        <f t="shared" si="433"/>
        <v/>
      </c>
      <c r="V87" s="85" t="str">
        <f t="shared" si="536"/>
        <v/>
      </c>
      <c r="W87" s="84"/>
      <c r="X87" s="85" t="str">
        <f t="shared" si="434"/>
        <v/>
      </c>
      <c r="Y87" s="85" t="str">
        <f t="shared" si="537"/>
        <v/>
      </c>
      <c r="Z87" s="84"/>
      <c r="AA87" s="85" t="str">
        <f t="shared" si="435"/>
        <v/>
      </c>
      <c r="AB87" s="85" t="str">
        <f t="shared" si="538"/>
        <v/>
      </c>
      <c r="AC87" s="84"/>
      <c r="AD87" s="85" t="str">
        <f t="shared" si="436"/>
        <v/>
      </c>
      <c r="AE87" s="85" t="str">
        <f t="shared" si="539"/>
        <v/>
      </c>
      <c r="AF87" s="84"/>
      <c r="AG87" s="85" t="str">
        <f t="shared" si="437"/>
        <v/>
      </c>
      <c r="AH87" s="85" t="str">
        <f t="shared" si="540"/>
        <v/>
      </c>
      <c r="AI87" s="84"/>
      <c r="AJ87" s="85" t="str">
        <f t="shared" si="438"/>
        <v/>
      </c>
      <c r="AK87" s="85" t="str">
        <f t="shared" si="541"/>
        <v/>
      </c>
      <c r="AL87" s="84"/>
      <c r="AM87" s="85" t="str">
        <f t="shared" si="439"/>
        <v/>
      </c>
      <c r="AN87" s="85" t="str">
        <f t="shared" si="542"/>
        <v/>
      </c>
      <c r="AO87" s="84"/>
      <c r="AP87" s="85" t="str">
        <f t="shared" si="440"/>
        <v/>
      </c>
      <c r="AQ87" s="85" t="str">
        <f t="shared" si="543"/>
        <v/>
      </c>
      <c r="AR87" s="84"/>
      <c r="AS87" s="85" t="str">
        <f t="shared" si="441"/>
        <v/>
      </c>
      <c r="AT87" s="85" t="str">
        <f t="shared" si="544"/>
        <v/>
      </c>
      <c r="AU87" s="84"/>
      <c r="AV87" s="85" t="str">
        <f t="shared" si="442"/>
        <v/>
      </c>
      <c r="AW87" s="85" t="str">
        <f t="shared" si="545"/>
        <v/>
      </c>
      <c r="AX87" s="84"/>
      <c r="AY87" s="85" t="str">
        <f t="shared" si="443"/>
        <v/>
      </c>
      <c r="AZ87" s="85" t="str">
        <f t="shared" si="546"/>
        <v/>
      </c>
      <c r="BA87" s="84"/>
      <c r="BB87" s="85" t="str">
        <f t="shared" si="444"/>
        <v/>
      </c>
      <c r="BC87" s="85" t="str">
        <f t="shared" si="547"/>
        <v/>
      </c>
      <c r="BD87" s="84"/>
      <c r="BE87" s="85" t="str">
        <f t="shared" si="445"/>
        <v/>
      </c>
      <c r="BF87" s="85" t="str">
        <f t="shared" si="548"/>
        <v/>
      </c>
      <c r="BG87" s="84"/>
      <c r="BH87" s="85" t="str">
        <f t="shared" si="446"/>
        <v/>
      </c>
      <c r="BI87" s="85" t="str">
        <f t="shared" si="549"/>
        <v/>
      </c>
      <c r="BJ87" s="84"/>
      <c r="BK87" s="85" t="str">
        <f t="shared" si="447"/>
        <v/>
      </c>
      <c r="BL87" s="85" t="str">
        <f t="shared" si="550"/>
        <v/>
      </c>
      <c r="BM87" s="84"/>
      <c r="BN87" s="85" t="str">
        <f t="shared" si="448"/>
        <v/>
      </c>
      <c r="BO87" s="85" t="str">
        <f t="shared" si="551"/>
        <v/>
      </c>
      <c r="BP87" s="87"/>
      <c r="BQ87" s="85" t="str">
        <f t="shared" si="449"/>
        <v/>
      </c>
      <c r="BR87" s="85" t="str">
        <f t="shared" si="552"/>
        <v/>
      </c>
      <c r="BS87" s="84"/>
      <c r="BT87" s="85" t="str">
        <f t="shared" si="450"/>
        <v/>
      </c>
      <c r="BU87" s="85" t="str">
        <f t="shared" si="553"/>
        <v/>
      </c>
      <c r="BV87" s="84"/>
      <c r="BW87" s="85" t="str">
        <f t="shared" si="451"/>
        <v/>
      </c>
      <c r="BX87" s="85" t="str">
        <f t="shared" si="554"/>
        <v/>
      </c>
      <c r="BY87" s="84"/>
      <c r="BZ87" s="85" t="str">
        <f t="shared" si="452"/>
        <v/>
      </c>
      <c r="CA87" s="85" t="str">
        <f t="shared" si="555"/>
        <v/>
      </c>
      <c r="CB87" s="84"/>
      <c r="CC87" s="85" t="str">
        <f t="shared" si="453"/>
        <v/>
      </c>
      <c r="CD87" s="85" t="str">
        <f t="shared" si="556"/>
        <v/>
      </c>
      <c r="CE87" s="84"/>
      <c r="CF87" s="85" t="str">
        <f t="shared" si="454"/>
        <v/>
      </c>
      <c r="CG87" s="85" t="str">
        <f t="shared" si="557"/>
        <v/>
      </c>
      <c r="CH87" s="84"/>
      <c r="CI87" s="85" t="str">
        <f t="shared" si="455"/>
        <v/>
      </c>
      <c r="CJ87" s="85" t="str">
        <f t="shared" si="558"/>
        <v/>
      </c>
      <c r="CK87" s="84"/>
      <c r="CL87" s="85" t="str">
        <f t="shared" si="456"/>
        <v/>
      </c>
      <c r="CM87" s="85" t="str">
        <f t="shared" si="559"/>
        <v/>
      </c>
      <c r="CN87" s="84"/>
      <c r="CO87" s="85" t="str">
        <f t="shared" si="457"/>
        <v/>
      </c>
      <c r="CP87" s="85" t="str">
        <f t="shared" si="560"/>
        <v/>
      </c>
      <c r="CQ87" s="84"/>
      <c r="CR87" s="85" t="str">
        <f t="shared" si="458"/>
        <v/>
      </c>
      <c r="CS87" s="85" t="str">
        <f t="shared" si="561"/>
        <v/>
      </c>
      <c r="CT87" s="84"/>
      <c r="CU87" s="85" t="str">
        <f t="shared" si="459"/>
        <v/>
      </c>
      <c r="CV87" s="85" t="str">
        <f t="shared" si="562"/>
        <v/>
      </c>
      <c r="CW87" s="84"/>
      <c r="CX87" s="85" t="str">
        <f t="shared" si="460"/>
        <v/>
      </c>
      <c r="CY87" s="85" t="str">
        <f t="shared" si="563"/>
        <v/>
      </c>
      <c r="CZ87" s="84"/>
      <c r="DA87" s="85" t="str">
        <f t="shared" si="461"/>
        <v/>
      </c>
      <c r="DB87" s="85" t="str">
        <f t="shared" si="564"/>
        <v/>
      </c>
      <c r="DC87" s="84"/>
      <c r="DD87" s="85" t="str">
        <f t="shared" si="462"/>
        <v/>
      </c>
      <c r="DE87" s="85" t="str">
        <f t="shared" si="565"/>
        <v/>
      </c>
      <c r="DF87" s="84"/>
      <c r="DG87" s="85"/>
      <c r="DH87" s="85" t="str">
        <f t="shared" si="566"/>
        <v/>
      </c>
      <c r="DI87" s="84"/>
      <c r="DJ87" s="85" t="str">
        <f t="shared" si="463"/>
        <v/>
      </c>
      <c r="DK87" s="85" t="str">
        <f t="shared" si="567"/>
        <v/>
      </c>
      <c r="DL87" s="84"/>
      <c r="DM87" s="85" t="str">
        <f t="shared" si="464"/>
        <v/>
      </c>
      <c r="DN87" s="85" t="str">
        <f t="shared" si="568"/>
        <v/>
      </c>
      <c r="DO87" s="84"/>
      <c r="DP87" s="85" t="str">
        <f t="shared" si="465"/>
        <v/>
      </c>
      <c r="DQ87" s="85" t="str">
        <f t="shared" si="569"/>
        <v/>
      </c>
      <c r="DR87" s="84"/>
      <c r="DS87" s="85" t="str">
        <f t="shared" si="466"/>
        <v/>
      </c>
      <c r="DT87" s="85" t="str">
        <f t="shared" si="570"/>
        <v/>
      </c>
      <c r="DU87" s="84"/>
      <c r="DV87" s="85" t="str">
        <f t="shared" si="467"/>
        <v/>
      </c>
      <c r="DW87" s="85" t="str">
        <f t="shared" si="571"/>
        <v/>
      </c>
      <c r="DX87" s="84"/>
      <c r="DY87" s="85" t="str">
        <f t="shared" si="468"/>
        <v/>
      </c>
      <c r="DZ87" s="85" t="str">
        <f t="shared" si="572"/>
        <v/>
      </c>
      <c r="EA87" s="84"/>
      <c r="EB87" s="85" t="str">
        <f t="shared" si="469"/>
        <v/>
      </c>
      <c r="EC87" s="85" t="str">
        <f t="shared" si="573"/>
        <v/>
      </c>
      <c r="ED87" s="84"/>
      <c r="EE87" s="85" t="str">
        <f t="shared" si="470"/>
        <v/>
      </c>
      <c r="EF87" s="85" t="str">
        <f t="shared" si="574"/>
        <v/>
      </c>
      <c r="EG87" s="84"/>
      <c r="EH87" s="85" t="str">
        <f t="shared" si="471"/>
        <v/>
      </c>
      <c r="EI87" s="85" t="str">
        <f t="shared" si="575"/>
        <v/>
      </c>
      <c r="EJ87" s="84"/>
      <c r="EK87" s="85" t="str">
        <f t="shared" si="472"/>
        <v/>
      </c>
      <c r="EL87" s="85" t="str">
        <f t="shared" si="576"/>
        <v/>
      </c>
      <c r="EM87" s="84"/>
      <c r="EN87" s="85" t="str">
        <f t="shared" si="473"/>
        <v/>
      </c>
      <c r="EO87" s="85" t="str">
        <f t="shared" si="577"/>
        <v/>
      </c>
      <c r="EP87" s="84"/>
      <c r="EQ87" s="85" t="str">
        <f t="shared" si="474"/>
        <v/>
      </c>
      <c r="ER87" s="85" t="str">
        <f t="shared" si="578"/>
        <v/>
      </c>
      <c r="ES87" s="87"/>
      <c r="ET87" s="85" t="str">
        <f t="shared" si="475"/>
        <v/>
      </c>
      <c r="EU87" s="85" t="str">
        <f t="shared" si="579"/>
        <v/>
      </c>
      <c r="EV87" s="84"/>
      <c r="EW87" s="85" t="str">
        <f t="shared" si="476"/>
        <v/>
      </c>
      <c r="EX87" s="85" t="str">
        <f t="shared" si="580"/>
        <v/>
      </c>
      <c r="EY87" s="84"/>
      <c r="EZ87" s="85" t="str">
        <f t="shared" si="477"/>
        <v/>
      </c>
      <c r="FA87" s="85" t="str">
        <f t="shared" si="581"/>
        <v/>
      </c>
      <c r="FB87" s="84"/>
      <c r="FC87" s="85" t="str">
        <f t="shared" si="478"/>
        <v/>
      </c>
      <c r="FD87" s="85" t="str">
        <f t="shared" si="582"/>
        <v/>
      </c>
      <c r="FE87" s="84"/>
      <c r="FF87" s="85" t="str">
        <f t="shared" si="479"/>
        <v/>
      </c>
      <c r="FG87" s="85" t="str">
        <f t="shared" si="583"/>
        <v/>
      </c>
      <c r="FH87" s="84"/>
      <c r="FI87" s="85" t="str">
        <f t="shared" si="480"/>
        <v/>
      </c>
      <c r="FJ87" s="85" t="str">
        <f t="shared" si="584"/>
        <v/>
      </c>
      <c r="FK87" s="84"/>
      <c r="FL87" s="85" t="str">
        <f t="shared" si="481"/>
        <v/>
      </c>
      <c r="FM87" s="85" t="str">
        <f t="shared" si="585"/>
        <v/>
      </c>
      <c r="FN87" s="84"/>
      <c r="FO87" s="85" t="str">
        <f t="shared" si="482"/>
        <v/>
      </c>
      <c r="FP87" s="85" t="str">
        <f t="shared" si="586"/>
        <v/>
      </c>
      <c r="FQ87" s="84"/>
      <c r="FR87" s="85" t="str">
        <f t="shared" si="483"/>
        <v/>
      </c>
      <c r="FS87" s="85" t="str">
        <f t="shared" si="587"/>
        <v/>
      </c>
      <c r="FT87" s="84"/>
      <c r="FU87" s="85" t="str">
        <f t="shared" si="484"/>
        <v/>
      </c>
      <c r="FV87" s="85" t="str">
        <f t="shared" si="588"/>
        <v/>
      </c>
      <c r="FW87" s="90"/>
      <c r="FX87" s="85" t="str">
        <f t="shared" si="485"/>
        <v/>
      </c>
      <c r="FY87" s="85" t="str">
        <f t="shared" si="589"/>
        <v/>
      </c>
      <c r="FZ87" s="84"/>
      <c r="GA87" s="85" t="str">
        <f t="shared" si="486"/>
        <v/>
      </c>
      <c r="GB87" s="85" t="str">
        <f t="shared" si="590"/>
        <v/>
      </c>
      <c r="GC87" s="84"/>
      <c r="GD87" s="85" t="str">
        <f t="shared" si="487"/>
        <v/>
      </c>
      <c r="GE87" s="85" t="str">
        <f t="shared" si="591"/>
        <v/>
      </c>
      <c r="GF87" s="84"/>
      <c r="GG87" s="85" t="str">
        <f t="shared" si="488"/>
        <v/>
      </c>
      <c r="GH87" s="85" t="str">
        <f t="shared" si="592"/>
        <v/>
      </c>
      <c r="GI87" s="84"/>
      <c r="GJ87" s="85" t="str">
        <f t="shared" si="489"/>
        <v/>
      </c>
      <c r="GK87" s="85" t="str">
        <f t="shared" si="593"/>
        <v/>
      </c>
      <c r="GL87" s="84"/>
      <c r="GM87" s="85" t="str">
        <f t="shared" si="490"/>
        <v/>
      </c>
      <c r="GN87" s="85" t="str">
        <f t="shared" si="594"/>
        <v/>
      </c>
      <c r="GO87" s="84"/>
      <c r="GP87" s="85" t="str">
        <f t="shared" si="491"/>
        <v/>
      </c>
      <c r="GQ87" s="85" t="str">
        <f t="shared" si="595"/>
        <v/>
      </c>
      <c r="GR87" s="84"/>
      <c r="GS87" s="85" t="str">
        <f t="shared" si="492"/>
        <v/>
      </c>
      <c r="GT87" s="85" t="str">
        <f t="shared" si="596"/>
        <v/>
      </c>
      <c r="GU87" s="84"/>
      <c r="GV87" s="85" t="str">
        <f t="shared" si="493"/>
        <v/>
      </c>
      <c r="GW87" s="85" t="str">
        <f t="shared" si="597"/>
        <v/>
      </c>
      <c r="GX87" s="84"/>
      <c r="GY87" s="85" t="str">
        <f t="shared" si="494"/>
        <v/>
      </c>
      <c r="GZ87" s="85" t="str">
        <f t="shared" si="598"/>
        <v/>
      </c>
      <c r="HA87" s="84"/>
      <c r="HB87" s="85" t="str">
        <f t="shared" si="495"/>
        <v/>
      </c>
      <c r="HC87" s="85" t="str">
        <f t="shared" si="599"/>
        <v/>
      </c>
      <c r="HD87" s="84"/>
      <c r="HE87" s="85" t="str">
        <f t="shared" si="496"/>
        <v/>
      </c>
      <c r="HF87" s="85" t="str">
        <f t="shared" si="600"/>
        <v/>
      </c>
      <c r="HG87" s="84"/>
      <c r="HH87" s="85" t="str">
        <f t="shared" si="497"/>
        <v/>
      </c>
      <c r="HI87" s="85" t="str">
        <f t="shared" si="601"/>
        <v/>
      </c>
      <c r="HJ87" s="84"/>
      <c r="HK87" s="85" t="str">
        <f t="shared" si="498"/>
        <v/>
      </c>
      <c r="HL87" s="85" t="str">
        <f t="shared" si="602"/>
        <v/>
      </c>
      <c r="HM87" s="84"/>
      <c r="HN87" s="85" t="str">
        <f t="shared" si="499"/>
        <v/>
      </c>
      <c r="HO87" s="85" t="str">
        <f t="shared" si="603"/>
        <v/>
      </c>
      <c r="HP87" s="84"/>
      <c r="HQ87" s="85" t="str">
        <f t="shared" si="500"/>
        <v/>
      </c>
      <c r="HR87" s="85" t="str">
        <f t="shared" si="604"/>
        <v/>
      </c>
      <c r="HS87" s="84"/>
      <c r="HT87" s="85" t="str">
        <f t="shared" si="501"/>
        <v/>
      </c>
      <c r="HU87" s="85" t="str">
        <f t="shared" si="605"/>
        <v/>
      </c>
      <c r="HV87" s="84"/>
      <c r="HW87" s="85" t="str">
        <f t="shared" si="502"/>
        <v/>
      </c>
      <c r="HX87" s="85" t="str">
        <f t="shared" si="606"/>
        <v/>
      </c>
      <c r="HY87" s="84"/>
      <c r="HZ87" s="85" t="str">
        <f t="shared" si="503"/>
        <v/>
      </c>
      <c r="IA87" s="85" t="str">
        <f t="shared" si="607"/>
        <v/>
      </c>
      <c r="IB87" s="84"/>
      <c r="IC87" s="85" t="str">
        <f t="shared" si="504"/>
        <v/>
      </c>
      <c r="ID87" s="85" t="str">
        <f t="shared" si="608"/>
        <v/>
      </c>
      <c r="IE87" s="84"/>
      <c r="IF87" s="85" t="str">
        <f t="shared" si="505"/>
        <v/>
      </c>
      <c r="IG87" s="85" t="str">
        <f t="shared" si="609"/>
        <v/>
      </c>
      <c r="IH87" s="84"/>
      <c r="II87" s="85" t="str">
        <f t="shared" si="506"/>
        <v/>
      </c>
      <c r="IJ87" s="85" t="str">
        <f t="shared" si="610"/>
        <v/>
      </c>
      <c r="IK87" s="84"/>
      <c r="IL87" s="85" t="str">
        <f t="shared" si="507"/>
        <v/>
      </c>
      <c r="IM87" s="85" t="str">
        <f t="shared" si="611"/>
        <v/>
      </c>
      <c r="IN87" s="84"/>
      <c r="IO87" s="85" t="str">
        <f t="shared" si="508"/>
        <v/>
      </c>
      <c r="IP87" s="85" t="str">
        <f t="shared" si="612"/>
        <v/>
      </c>
      <c r="IQ87" s="84"/>
      <c r="IR87" s="85" t="str">
        <f t="shared" si="509"/>
        <v/>
      </c>
      <c r="IS87" s="85" t="str">
        <f t="shared" si="613"/>
        <v/>
      </c>
      <c r="IT87" s="84"/>
      <c r="IU87" s="85" t="str">
        <f t="shared" si="510"/>
        <v/>
      </c>
      <c r="IV87" s="85" t="str">
        <f t="shared" si="614"/>
        <v/>
      </c>
      <c r="IW87" s="84"/>
      <c r="IX87" s="85" t="str">
        <f t="shared" si="511"/>
        <v/>
      </c>
      <c r="IY87" s="85" t="str">
        <f t="shared" si="615"/>
        <v/>
      </c>
      <c r="IZ87" s="84"/>
      <c r="JA87" s="85" t="str">
        <f t="shared" si="512"/>
        <v/>
      </c>
      <c r="JB87" s="85" t="str">
        <f t="shared" si="616"/>
        <v/>
      </c>
      <c r="JC87" s="84"/>
      <c r="JD87" s="85" t="str">
        <f t="shared" si="513"/>
        <v/>
      </c>
      <c r="JE87" s="85" t="str">
        <f t="shared" si="617"/>
        <v/>
      </c>
      <c r="JF87" s="84"/>
      <c r="JG87" s="85" t="str">
        <f t="shared" si="514"/>
        <v/>
      </c>
      <c r="JH87" s="85" t="str">
        <f t="shared" si="618"/>
        <v/>
      </c>
      <c r="JI87" s="84"/>
      <c r="JJ87" s="85" t="str">
        <f t="shared" si="515"/>
        <v/>
      </c>
      <c r="JK87" s="85" t="str">
        <f t="shared" si="619"/>
        <v/>
      </c>
      <c r="JL87" s="84"/>
      <c r="JM87" s="85" t="str">
        <f t="shared" si="516"/>
        <v/>
      </c>
      <c r="JN87" s="85" t="str">
        <f t="shared" si="620"/>
        <v/>
      </c>
      <c r="JO87" s="84"/>
      <c r="JP87" s="85" t="str">
        <f t="shared" si="517"/>
        <v/>
      </c>
      <c r="JQ87" s="85" t="str">
        <f t="shared" si="621"/>
        <v/>
      </c>
      <c r="JR87" s="84"/>
      <c r="JS87" s="85" t="str">
        <f t="shared" si="518"/>
        <v/>
      </c>
      <c r="JT87" s="85" t="str">
        <f t="shared" si="622"/>
        <v/>
      </c>
      <c r="JU87" s="84"/>
      <c r="JV87" s="85" t="str">
        <f t="shared" si="519"/>
        <v/>
      </c>
      <c r="JW87" s="85" t="str">
        <f t="shared" si="623"/>
        <v/>
      </c>
      <c r="JX87" s="84"/>
      <c r="JY87" s="85" t="str">
        <f t="shared" si="520"/>
        <v/>
      </c>
      <c r="JZ87" s="85" t="str">
        <f t="shared" si="624"/>
        <v/>
      </c>
      <c r="KA87" s="84"/>
      <c r="KB87" s="85" t="str">
        <f t="shared" si="521"/>
        <v/>
      </c>
      <c r="KC87" s="85" t="str">
        <f t="shared" si="625"/>
        <v/>
      </c>
      <c r="KD87" s="84"/>
      <c r="KE87" s="85" t="str">
        <f t="shared" si="522"/>
        <v/>
      </c>
      <c r="KF87" s="85" t="str">
        <f t="shared" si="626"/>
        <v/>
      </c>
      <c r="KG87" s="84"/>
      <c r="KH87" s="85" t="str">
        <f t="shared" si="523"/>
        <v/>
      </c>
      <c r="KI87" s="85" t="str">
        <f t="shared" si="627"/>
        <v/>
      </c>
      <c r="KJ87" s="84"/>
      <c r="KK87" s="85" t="str">
        <f t="shared" si="524"/>
        <v/>
      </c>
      <c r="KL87" s="85" t="str">
        <f t="shared" si="628"/>
        <v/>
      </c>
      <c r="KM87" s="84"/>
      <c r="KN87" s="85" t="str">
        <f t="shared" si="525"/>
        <v/>
      </c>
      <c r="KO87" s="85" t="str">
        <f t="shared" si="629"/>
        <v/>
      </c>
      <c r="KP87" s="84"/>
      <c r="KQ87" s="85" t="str">
        <f t="shared" si="526"/>
        <v/>
      </c>
      <c r="KR87" s="85" t="str">
        <f t="shared" si="630"/>
        <v/>
      </c>
      <c r="KS87" s="84"/>
      <c r="KT87" s="85" t="str">
        <f t="shared" si="527"/>
        <v/>
      </c>
      <c r="KU87" s="85" t="str">
        <f t="shared" si="631"/>
        <v/>
      </c>
      <c r="KV87" s="84"/>
      <c r="KW87" s="85" t="str">
        <f t="shared" si="528"/>
        <v/>
      </c>
      <c r="KX87" s="85" t="str">
        <f t="shared" si="632"/>
        <v/>
      </c>
      <c r="KY87" s="90"/>
      <c r="KZ87" s="85" t="str">
        <f t="shared" si="529"/>
        <v/>
      </c>
      <c r="LA87" s="85" t="str">
        <f t="shared" si="633"/>
        <v/>
      </c>
      <c r="LB87" s="50" t="str">
        <f t="shared" ref="LB87:LB94" si="648">IFERROR(AVERAGE($N87,$Q87,$T87,$W87,$Z87,$AC87,$AF87,$AI87,$AL87,$AO87,$AR87,$AU87,$AX87,$BA87,$BD87,$BG87,$BJ87,$BM87,$BP87,$BS87,$BV87,$BY87,$CB87,$CE87,$CH87,$CK87,$CN87,$CQ87,$CT87,$CW87,$CZ87,$DC87,$DF87,$DI87,$DL87,$DO87,$DR87,$DU87,$DX87,$EA87,$ED87,$EG87,$EJ87,$EM87,$EP87,$ES87,$EV87,$EY87,$FB87,$FE87,$FH87,$FK87,$FN87,$FQ87,$FT87,$FW87,$FZ87,$GC87,$GF87,$GI87,$GL87,$GO87,$GR87,$GU87,$GX87,$HA87,$HD87,$HG87,$HJ87,$HM87,$HP87,$HS87,$HV87,$HY87,$IB87,$IE87,$IH87, $IK87, $IN87,$IQ87,$IT87,$IW87,$IZ87,$JC87,$JF87,$JI87,$JL87,$JO87,$JR87,$JU87,$JX87,$KA87,$KD87,$KG87,$KJ87,$KJ87,$KM87,$KP87,$KS87,$KV87,$KY87),"")</f>
        <v/>
      </c>
      <c r="LC87" s="57" t="str">
        <f t="shared" si="634"/>
        <v/>
      </c>
      <c r="LD87" s="50" t="str">
        <f t="shared" si="635"/>
        <v/>
      </c>
      <c r="LE87" s="57" t="str">
        <f t="shared" si="636"/>
        <v/>
      </c>
      <c r="LF87" s="50" t="str">
        <f t="shared" si="637"/>
        <v/>
      </c>
      <c r="LG87" s="57" t="str">
        <f t="shared" si="638"/>
        <v/>
      </c>
      <c r="LH87" s="58" t="str">
        <f t="shared" ref="LH87:LH94" si="649">IFERROR((((LB87-LB$105)/LB$107)*25+25),"")</f>
        <v/>
      </c>
      <c r="LI87" s="58" t="str">
        <f t="shared" ref="LI87:LI94" si="650">IFERROR((((LD87-LD$105)/LD$107)*25+25),"")</f>
        <v/>
      </c>
      <c r="LJ87" s="58" t="str">
        <f t="shared" ref="LJ87:LJ94" si="651">IFERROR((((LF87-LF$105)/LF$107)*25+25),"")</f>
        <v/>
      </c>
      <c r="LK87" s="58" t="str">
        <f t="shared" si="639"/>
        <v/>
      </c>
      <c r="LL87" s="60" t="str">
        <f t="shared" si="640"/>
        <v/>
      </c>
      <c r="LM87" s="55"/>
      <c r="LN87" s="61" t="str">
        <f>IFERROR(RANK(LK87,(LK$87:LK$103),0),"")</f>
        <v/>
      </c>
      <c r="LO87" s="61" t="str">
        <f t="shared" ref="LO87:LO94" si="652">LL87</f>
        <v/>
      </c>
      <c r="LP87" s="55"/>
      <c r="LQ87" s="55"/>
      <c r="LR87" s="55"/>
      <c r="LS87" s="63"/>
      <c r="LT87" s="63"/>
      <c r="LU87" s="63"/>
      <c r="LV87" s="63"/>
    </row>
    <row r="88" spans="1:348" s="63" customFormat="1" ht="15" customHeight="1">
      <c r="A88" s="50">
        <f t="shared" si="642"/>
        <v>0</v>
      </c>
      <c r="B88" s="50">
        <f t="shared" si="643"/>
        <v>0</v>
      </c>
      <c r="C88" s="77"/>
      <c r="D88" s="75"/>
      <c r="M88" s="54" t="s">
        <v>35</v>
      </c>
      <c r="N88" s="84"/>
      <c r="O88" s="85" t="str">
        <f t="shared" si="431"/>
        <v/>
      </c>
      <c r="P88" s="85" t="str">
        <f t="shared" si="534"/>
        <v/>
      </c>
      <c r="Q88" s="84"/>
      <c r="R88" s="85" t="str">
        <f t="shared" si="432"/>
        <v/>
      </c>
      <c r="S88" s="85" t="str">
        <f t="shared" si="535"/>
        <v/>
      </c>
      <c r="T88" s="84"/>
      <c r="U88" s="85" t="str">
        <f t="shared" si="433"/>
        <v/>
      </c>
      <c r="V88" s="85" t="str">
        <f t="shared" si="536"/>
        <v/>
      </c>
      <c r="W88" s="84"/>
      <c r="X88" s="85" t="str">
        <f t="shared" si="434"/>
        <v/>
      </c>
      <c r="Y88" s="85" t="str">
        <f t="shared" si="537"/>
        <v/>
      </c>
      <c r="Z88" s="84"/>
      <c r="AA88" s="85" t="str">
        <f t="shared" si="435"/>
        <v/>
      </c>
      <c r="AB88" s="85" t="str">
        <f t="shared" si="538"/>
        <v/>
      </c>
      <c r="AC88" s="84"/>
      <c r="AD88" s="85" t="str">
        <f t="shared" si="436"/>
        <v/>
      </c>
      <c r="AE88" s="85" t="str">
        <f t="shared" si="539"/>
        <v/>
      </c>
      <c r="AF88" s="84"/>
      <c r="AG88" s="85" t="str">
        <f t="shared" si="437"/>
        <v/>
      </c>
      <c r="AH88" s="85" t="str">
        <f t="shared" si="540"/>
        <v/>
      </c>
      <c r="AI88" s="84"/>
      <c r="AJ88" s="85" t="str">
        <f t="shared" si="438"/>
        <v/>
      </c>
      <c r="AK88" s="85" t="str">
        <f t="shared" si="541"/>
        <v/>
      </c>
      <c r="AL88" s="84"/>
      <c r="AM88" s="85" t="str">
        <f t="shared" si="439"/>
        <v/>
      </c>
      <c r="AN88" s="85" t="str">
        <f t="shared" si="542"/>
        <v/>
      </c>
      <c r="AO88" s="84"/>
      <c r="AP88" s="85" t="str">
        <f t="shared" si="440"/>
        <v/>
      </c>
      <c r="AQ88" s="85" t="str">
        <f t="shared" si="543"/>
        <v/>
      </c>
      <c r="AR88" s="84"/>
      <c r="AS88" s="85" t="str">
        <f t="shared" si="441"/>
        <v/>
      </c>
      <c r="AT88" s="85" t="str">
        <f t="shared" si="544"/>
        <v/>
      </c>
      <c r="AU88" s="84"/>
      <c r="AV88" s="85" t="str">
        <f t="shared" si="442"/>
        <v/>
      </c>
      <c r="AW88" s="85" t="str">
        <f t="shared" si="545"/>
        <v/>
      </c>
      <c r="AX88" s="84"/>
      <c r="AY88" s="85" t="str">
        <f t="shared" si="443"/>
        <v/>
      </c>
      <c r="AZ88" s="85" t="str">
        <f t="shared" si="546"/>
        <v/>
      </c>
      <c r="BA88" s="84"/>
      <c r="BB88" s="85" t="str">
        <f t="shared" si="444"/>
        <v/>
      </c>
      <c r="BC88" s="85" t="str">
        <f t="shared" si="547"/>
        <v/>
      </c>
      <c r="BD88" s="84"/>
      <c r="BE88" s="85" t="str">
        <f t="shared" si="445"/>
        <v/>
      </c>
      <c r="BF88" s="85" t="str">
        <f t="shared" si="548"/>
        <v/>
      </c>
      <c r="BG88" s="84"/>
      <c r="BH88" s="85" t="str">
        <f t="shared" si="446"/>
        <v/>
      </c>
      <c r="BI88" s="85" t="str">
        <f t="shared" si="549"/>
        <v/>
      </c>
      <c r="BJ88" s="84"/>
      <c r="BK88" s="85" t="str">
        <f t="shared" si="447"/>
        <v/>
      </c>
      <c r="BL88" s="85" t="str">
        <f t="shared" si="550"/>
        <v/>
      </c>
      <c r="BM88" s="84"/>
      <c r="BN88" s="85" t="str">
        <f t="shared" si="448"/>
        <v/>
      </c>
      <c r="BO88" s="85" t="str">
        <f t="shared" si="551"/>
        <v/>
      </c>
      <c r="BP88" s="87"/>
      <c r="BQ88" s="85" t="str">
        <f t="shared" si="449"/>
        <v/>
      </c>
      <c r="BR88" s="85" t="str">
        <f t="shared" si="552"/>
        <v/>
      </c>
      <c r="BS88" s="84"/>
      <c r="BT88" s="85" t="str">
        <f t="shared" si="450"/>
        <v/>
      </c>
      <c r="BU88" s="85" t="str">
        <f t="shared" si="553"/>
        <v/>
      </c>
      <c r="BV88" s="84"/>
      <c r="BW88" s="85" t="str">
        <f t="shared" si="451"/>
        <v/>
      </c>
      <c r="BX88" s="85" t="str">
        <f t="shared" si="554"/>
        <v/>
      </c>
      <c r="BY88" s="84"/>
      <c r="BZ88" s="85" t="str">
        <f t="shared" si="452"/>
        <v/>
      </c>
      <c r="CA88" s="85" t="str">
        <f t="shared" si="555"/>
        <v/>
      </c>
      <c r="CB88" s="84"/>
      <c r="CC88" s="85" t="str">
        <f t="shared" si="453"/>
        <v/>
      </c>
      <c r="CD88" s="85" t="str">
        <f t="shared" si="556"/>
        <v/>
      </c>
      <c r="CE88" s="84"/>
      <c r="CF88" s="85" t="str">
        <f t="shared" si="454"/>
        <v/>
      </c>
      <c r="CG88" s="85" t="str">
        <f t="shared" si="557"/>
        <v/>
      </c>
      <c r="CH88" s="84"/>
      <c r="CI88" s="85" t="str">
        <f t="shared" si="455"/>
        <v/>
      </c>
      <c r="CJ88" s="85" t="str">
        <f t="shared" si="558"/>
        <v/>
      </c>
      <c r="CK88" s="84"/>
      <c r="CL88" s="85" t="str">
        <f t="shared" si="456"/>
        <v/>
      </c>
      <c r="CM88" s="85" t="str">
        <f t="shared" si="559"/>
        <v/>
      </c>
      <c r="CN88" s="84"/>
      <c r="CO88" s="85" t="str">
        <f t="shared" si="457"/>
        <v/>
      </c>
      <c r="CP88" s="85" t="str">
        <f t="shared" si="560"/>
        <v/>
      </c>
      <c r="CQ88" s="84"/>
      <c r="CR88" s="85" t="str">
        <f t="shared" si="458"/>
        <v/>
      </c>
      <c r="CS88" s="85" t="str">
        <f t="shared" si="561"/>
        <v/>
      </c>
      <c r="CT88" s="84"/>
      <c r="CU88" s="85" t="str">
        <f t="shared" si="459"/>
        <v/>
      </c>
      <c r="CV88" s="85" t="str">
        <f t="shared" si="562"/>
        <v/>
      </c>
      <c r="CW88" s="84"/>
      <c r="CX88" s="85" t="str">
        <f t="shared" si="460"/>
        <v/>
      </c>
      <c r="CY88" s="85" t="str">
        <f t="shared" si="563"/>
        <v/>
      </c>
      <c r="CZ88" s="84"/>
      <c r="DA88" s="85" t="str">
        <f t="shared" si="461"/>
        <v/>
      </c>
      <c r="DB88" s="85" t="str">
        <f t="shared" si="564"/>
        <v/>
      </c>
      <c r="DC88" s="84"/>
      <c r="DD88" s="85" t="str">
        <f t="shared" si="462"/>
        <v/>
      </c>
      <c r="DE88" s="85" t="str">
        <f t="shared" si="565"/>
        <v/>
      </c>
      <c r="DF88" s="84"/>
      <c r="DG88" s="85"/>
      <c r="DH88" s="85" t="str">
        <f t="shared" si="566"/>
        <v/>
      </c>
      <c r="DI88" s="84"/>
      <c r="DJ88" s="85" t="str">
        <f t="shared" si="463"/>
        <v/>
      </c>
      <c r="DK88" s="85" t="str">
        <f t="shared" si="567"/>
        <v/>
      </c>
      <c r="DL88" s="84"/>
      <c r="DM88" s="85" t="str">
        <f t="shared" si="464"/>
        <v/>
      </c>
      <c r="DN88" s="85" t="str">
        <f t="shared" si="568"/>
        <v/>
      </c>
      <c r="DO88" s="84"/>
      <c r="DP88" s="85" t="str">
        <f t="shared" si="465"/>
        <v/>
      </c>
      <c r="DQ88" s="85" t="str">
        <f t="shared" si="569"/>
        <v/>
      </c>
      <c r="DR88" s="84"/>
      <c r="DS88" s="85" t="str">
        <f t="shared" si="466"/>
        <v/>
      </c>
      <c r="DT88" s="85" t="str">
        <f t="shared" si="570"/>
        <v/>
      </c>
      <c r="DU88" s="84"/>
      <c r="DV88" s="85" t="str">
        <f t="shared" si="467"/>
        <v/>
      </c>
      <c r="DW88" s="85" t="str">
        <f t="shared" si="571"/>
        <v/>
      </c>
      <c r="DX88" s="84"/>
      <c r="DY88" s="85" t="str">
        <f t="shared" si="468"/>
        <v/>
      </c>
      <c r="DZ88" s="85" t="str">
        <f t="shared" si="572"/>
        <v/>
      </c>
      <c r="EA88" s="84"/>
      <c r="EB88" s="85" t="str">
        <f t="shared" si="469"/>
        <v/>
      </c>
      <c r="EC88" s="85" t="str">
        <f t="shared" si="573"/>
        <v/>
      </c>
      <c r="ED88" s="84"/>
      <c r="EE88" s="85" t="str">
        <f t="shared" si="470"/>
        <v/>
      </c>
      <c r="EF88" s="85" t="str">
        <f t="shared" si="574"/>
        <v/>
      </c>
      <c r="EG88" s="84"/>
      <c r="EH88" s="85" t="str">
        <f t="shared" si="471"/>
        <v/>
      </c>
      <c r="EI88" s="85" t="str">
        <f t="shared" si="575"/>
        <v/>
      </c>
      <c r="EJ88" s="84"/>
      <c r="EK88" s="85" t="str">
        <f t="shared" si="472"/>
        <v/>
      </c>
      <c r="EL88" s="85" t="str">
        <f t="shared" si="576"/>
        <v/>
      </c>
      <c r="EM88" s="84"/>
      <c r="EN88" s="85" t="str">
        <f t="shared" si="473"/>
        <v/>
      </c>
      <c r="EO88" s="85" t="str">
        <f t="shared" si="577"/>
        <v/>
      </c>
      <c r="EP88" s="84"/>
      <c r="EQ88" s="85" t="str">
        <f t="shared" si="474"/>
        <v/>
      </c>
      <c r="ER88" s="85" t="str">
        <f t="shared" si="578"/>
        <v/>
      </c>
      <c r="ES88" s="87"/>
      <c r="ET88" s="85" t="str">
        <f t="shared" si="475"/>
        <v/>
      </c>
      <c r="EU88" s="85" t="str">
        <f t="shared" si="579"/>
        <v/>
      </c>
      <c r="EV88" s="84"/>
      <c r="EW88" s="85" t="str">
        <f t="shared" si="476"/>
        <v/>
      </c>
      <c r="EX88" s="85" t="str">
        <f t="shared" si="580"/>
        <v/>
      </c>
      <c r="EY88" s="84"/>
      <c r="EZ88" s="85" t="str">
        <f t="shared" si="477"/>
        <v/>
      </c>
      <c r="FA88" s="85" t="str">
        <f t="shared" si="581"/>
        <v/>
      </c>
      <c r="FB88" s="84"/>
      <c r="FC88" s="85" t="str">
        <f t="shared" si="478"/>
        <v/>
      </c>
      <c r="FD88" s="85" t="str">
        <f t="shared" si="582"/>
        <v/>
      </c>
      <c r="FE88" s="84"/>
      <c r="FF88" s="85" t="str">
        <f t="shared" si="479"/>
        <v/>
      </c>
      <c r="FG88" s="85" t="str">
        <f t="shared" si="583"/>
        <v/>
      </c>
      <c r="FH88" s="84"/>
      <c r="FI88" s="85" t="str">
        <f t="shared" si="480"/>
        <v/>
      </c>
      <c r="FJ88" s="85" t="str">
        <f t="shared" si="584"/>
        <v/>
      </c>
      <c r="FK88" s="84"/>
      <c r="FL88" s="85" t="str">
        <f t="shared" si="481"/>
        <v/>
      </c>
      <c r="FM88" s="85" t="str">
        <f t="shared" si="585"/>
        <v/>
      </c>
      <c r="FN88" s="84"/>
      <c r="FO88" s="85" t="str">
        <f t="shared" si="482"/>
        <v/>
      </c>
      <c r="FP88" s="85" t="str">
        <f t="shared" si="586"/>
        <v/>
      </c>
      <c r="FQ88" s="84"/>
      <c r="FR88" s="85" t="str">
        <f t="shared" si="483"/>
        <v/>
      </c>
      <c r="FS88" s="85" t="str">
        <f t="shared" si="587"/>
        <v/>
      </c>
      <c r="FT88" s="84"/>
      <c r="FU88" s="85" t="str">
        <f t="shared" si="484"/>
        <v/>
      </c>
      <c r="FV88" s="85" t="str">
        <f t="shared" si="588"/>
        <v/>
      </c>
      <c r="FW88" s="90"/>
      <c r="FX88" s="85" t="str">
        <f t="shared" si="485"/>
        <v/>
      </c>
      <c r="FY88" s="85" t="str">
        <f t="shared" si="589"/>
        <v/>
      </c>
      <c r="FZ88" s="84"/>
      <c r="GA88" s="85" t="str">
        <f t="shared" si="486"/>
        <v/>
      </c>
      <c r="GB88" s="85" t="str">
        <f t="shared" si="590"/>
        <v/>
      </c>
      <c r="GC88" s="84"/>
      <c r="GD88" s="85" t="str">
        <f t="shared" si="487"/>
        <v/>
      </c>
      <c r="GE88" s="85" t="str">
        <f t="shared" si="591"/>
        <v/>
      </c>
      <c r="GF88" s="84"/>
      <c r="GG88" s="85" t="str">
        <f t="shared" si="488"/>
        <v/>
      </c>
      <c r="GH88" s="85" t="str">
        <f t="shared" si="592"/>
        <v/>
      </c>
      <c r="GI88" s="84"/>
      <c r="GJ88" s="85" t="str">
        <f t="shared" si="489"/>
        <v/>
      </c>
      <c r="GK88" s="85" t="str">
        <f t="shared" si="593"/>
        <v/>
      </c>
      <c r="GL88" s="84"/>
      <c r="GM88" s="85" t="str">
        <f t="shared" si="490"/>
        <v/>
      </c>
      <c r="GN88" s="85" t="str">
        <f t="shared" si="594"/>
        <v/>
      </c>
      <c r="GO88" s="84"/>
      <c r="GP88" s="85" t="str">
        <f t="shared" si="491"/>
        <v/>
      </c>
      <c r="GQ88" s="85" t="str">
        <f t="shared" si="595"/>
        <v/>
      </c>
      <c r="GR88" s="84"/>
      <c r="GS88" s="85" t="str">
        <f t="shared" si="492"/>
        <v/>
      </c>
      <c r="GT88" s="85" t="str">
        <f t="shared" si="596"/>
        <v/>
      </c>
      <c r="GU88" s="84"/>
      <c r="GV88" s="85" t="str">
        <f t="shared" si="493"/>
        <v/>
      </c>
      <c r="GW88" s="85" t="str">
        <f t="shared" si="597"/>
        <v/>
      </c>
      <c r="GX88" s="84"/>
      <c r="GY88" s="85" t="str">
        <f t="shared" si="494"/>
        <v/>
      </c>
      <c r="GZ88" s="85" t="str">
        <f t="shared" si="598"/>
        <v/>
      </c>
      <c r="HA88" s="84"/>
      <c r="HB88" s="85" t="str">
        <f t="shared" si="495"/>
        <v/>
      </c>
      <c r="HC88" s="85" t="str">
        <f t="shared" si="599"/>
        <v/>
      </c>
      <c r="HD88" s="84"/>
      <c r="HE88" s="85" t="str">
        <f t="shared" si="496"/>
        <v/>
      </c>
      <c r="HF88" s="85" t="str">
        <f t="shared" si="600"/>
        <v/>
      </c>
      <c r="HG88" s="84"/>
      <c r="HH88" s="85" t="str">
        <f t="shared" si="497"/>
        <v/>
      </c>
      <c r="HI88" s="85" t="str">
        <f t="shared" si="601"/>
        <v/>
      </c>
      <c r="HJ88" s="84"/>
      <c r="HK88" s="85" t="str">
        <f t="shared" si="498"/>
        <v/>
      </c>
      <c r="HL88" s="85" t="str">
        <f t="shared" si="602"/>
        <v/>
      </c>
      <c r="HM88" s="84"/>
      <c r="HN88" s="85" t="str">
        <f t="shared" si="499"/>
        <v/>
      </c>
      <c r="HO88" s="85" t="str">
        <f t="shared" si="603"/>
        <v/>
      </c>
      <c r="HP88" s="84"/>
      <c r="HQ88" s="85" t="str">
        <f t="shared" si="500"/>
        <v/>
      </c>
      <c r="HR88" s="85" t="str">
        <f t="shared" si="604"/>
        <v/>
      </c>
      <c r="HS88" s="84"/>
      <c r="HT88" s="85" t="str">
        <f t="shared" si="501"/>
        <v/>
      </c>
      <c r="HU88" s="85" t="str">
        <f t="shared" si="605"/>
        <v/>
      </c>
      <c r="HV88" s="84"/>
      <c r="HW88" s="85" t="str">
        <f t="shared" si="502"/>
        <v/>
      </c>
      <c r="HX88" s="85" t="str">
        <f t="shared" si="606"/>
        <v/>
      </c>
      <c r="HY88" s="84"/>
      <c r="HZ88" s="85" t="str">
        <f t="shared" si="503"/>
        <v/>
      </c>
      <c r="IA88" s="85" t="str">
        <f t="shared" si="607"/>
        <v/>
      </c>
      <c r="IB88" s="84"/>
      <c r="IC88" s="85" t="str">
        <f t="shared" si="504"/>
        <v/>
      </c>
      <c r="ID88" s="85" t="str">
        <f t="shared" si="608"/>
        <v/>
      </c>
      <c r="IE88" s="84"/>
      <c r="IF88" s="85" t="str">
        <f t="shared" si="505"/>
        <v/>
      </c>
      <c r="IG88" s="85" t="str">
        <f t="shared" si="609"/>
        <v/>
      </c>
      <c r="IH88" s="84"/>
      <c r="II88" s="85" t="str">
        <f t="shared" si="506"/>
        <v/>
      </c>
      <c r="IJ88" s="85" t="str">
        <f t="shared" si="610"/>
        <v/>
      </c>
      <c r="IK88" s="84"/>
      <c r="IL88" s="85" t="str">
        <f t="shared" si="507"/>
        <v/>
      </c>
      <c r="IM88" s="85" t="str">
        <f t="shared" si="611"/>
        <v/>
      </c>
      <c r="IN88" s="84"/>
      <c r="IO88" s="85" t="str">
        <f t="shared" si="508"/>
        <v/>
      </c>
      <c r="IP88" s="85" t="str">
        <f t="shared" si="612"/>
        <v/>
      </c>
      <c r="IQ88" s="84"/>
      <c r="IR88" s="85" t="str">
        <f t="shared" si="509"/>
        <v/>
      </c>
      <c r="IS88" s="85" t="str">
        <f t="shared" si="613"/>
        <v/>
      </c>
      <c r="IT88" s="84"/>
      <c r="IU88" s="85" t="str">
        <f t="shared" si="510"/>
        <v/>
      </c>
      <c r="IV88" s="85" t="str">
        <f t="shared" si="614"/>
        <v/>
      </c>
      <c r="IW88" s="84"/>
      <c r="IX88" s="85" t="str">
        <f t="shared" si="511"/>
        <v/>
      </c>
      <c r="IY88" s="85" t="str">
        <f t="shared" si="615"/>
        <v/>
      </c>
      <c r="IZ88" s="84"/>
      <c r="JA88" s="85" t="str">
        <f t="shared" si="512"/>
        <v/>
      </c>
      <c r="JB88" s="85" t="str">
        <f t="shared" si="616"/>
        <v/>
      </c>
      <c r="JC88" s="84"/>
      <c r="JD88" s="85" t="str">
        <f t="shared" si="513"/>
        <v/>
      </c>
      <c r="JE88" s="85" t="str">
        <f t="shared" si="617"/>
        <v/>
      </c>
      <c r="JF88" s="84"/>
      <c r="JG88" s="85" t="str">
        <f t="shared" si="514"/>
        <v/>
      </c>
      <c r="JH88" s="85" t="str">
        <f t="shared" si="618"/>
        <v/>
      </c>
      <c r="JI88" s="84"/>
      <c r="JJ88" s="85" t="str">
        <f t="shared" si="515"/>
        <v/>
      </c>
      <c r="JK88" s="85" t="str">
        <f t="shared" si="619"/>
        <v/>
      </c>
      <c r="JL88" s="84"/>
      <c r="JM88" s="85" t="str">
        <f t="shared" si="516"/>
        <v/>
      </c>
      <c r="JN88" s="85" t="str">
        <f t="shared" si="620"/>
        <v/>
      </c>
      <c r="JO88" s="84"/>
      <c r="JP88" s="85" t="str">
        <f t="shared" si="517"/>
        <v/>
      </c>
      <c r="JQ88" s="85" t="str">
        <f t="shared" si="621"/>
        <v/>
      </c>
      <c r="JR88" s="84"/>
      <c r="JS88" s="85" t="str">
        <f t="shared" si="518"/>
        <v/>
      </c>
      <c r="JT88" s="85" t="str">
        <f t="shared" si="622"/>
        <v/>
      </c>
      <c r="JU88" s="84"/>
      <c r="JV88" s="85" t="str">
        <f t="shared" si="519"/>
        <v/>
      </c>
      <c r="JW88" s="85" t="str">
        <f t="shared" si="623"/>
        <v/>
      </c>
      <c r="JX88" s="84"/>
      <c r="JY88" s="85" t="str">
        <f t="shared" si="520"/>
        <v/>
      </c>
      <c r="JZ88" s="85" t="str">
        <f t="shared" si="624"/>
        <v/>
      </c>
      <c r="KA88" s="84"/>
      <c r="KB88" s="85" t="str">
        <f t="shared" si="521"/>
        <v/>
      </c>
      <c r="KC88" s="85" t="str">
        <f t="shared" si="625"/>
        <v/>
      </c>
      <c r="KD88" s="84"/>
      <c r="KE88" s="85" t="str">
        <f t="shared" si="522"/>
        <v/>
      </c>
      <c r="KF88" s="85" t="str">
        <f t="shared" si="626"/>
        <v/>
      </c>
      <c r="KG88" s="84"/>
      <c r="KH88" s="85" t="str">
        <f t="shared" si="523"/>
        <v/>
      </c>
      <c r="KI88" s="85" t="str">
        <f t="shared" si="627"/>
        <v/>
      </c>
      <c r="KJ88" s="84"/>
      <c r="KK88" s="85" t="str">
        <f t="shared" si="524"/>
        <v/>
      </c>
      <c r="KL88" s="85" t="str">
        <f t="shared" si="628"/>
        <v/>
      </c>
      <c r="KM88" s="84"/>
      <c r="KN88" s="85" t="str">
        <f t="shared" si="525"/>
        <v/>
      </c>
      <c r="KO88" s="85" t="str">
        <f t="shared" si="629"/>
        <v/>
      </c>
      <c r="KP88" s="84"/>
      <c r="KQ88" s="85" t="str">
        <f t="shared" si="526"/>
        <v/>
      </c>
      <c r="KR88" s="85" t="str">
        <f t="shared" si="630"/>
        <v/>
      </c>
      <c r="KS88" s="84"/>
      <c r="KT88" s="85" t="str">
        <f t="shared" si="527"/>
        <v/>
      </c>
      <c r="KU88" s="85" t="str">
        <f t="shared" si="631"/>
        <v/>
      </c>
      <c r="KV88" s="84"/>
      <c r="KW88" s="85" t="str">
        <f t="shared" si="528"/>
        <v/>
      </c>
      <c r="KX88" s="85" t="str">
        <f t="shared" si="632"/>
        <v/>
      </c>
      <c r="KY88" s="90"/>
      <c r="KZ88" s="85" t="str">
        <f t="shared" si="529"/>
        <v/>
      </c>
      <c r="LA88" s="85" t="str">
        <f t="shared" si="633"/>
        <v/>
      </c>
      <c r="LB88" s="50" t="str">
        <f t="shared" si="648"/>
        <v/>
      </c>
      <c r="LC88" s="57" t="str">
        <f t="shared" si="634"/>
        <v/>
      </c>
      <c r="LD88" s="50" t="str">
        <f t="shared" si="635"/>
        <v/>
      </c>
      <c r="LE88" s="57" t="str">
        <f t="shared" si="636"/>
        <v/>
      </c>
      <c r="LF88" s="50" t="str">
        <f t="shared" si="637"/>
        <v/>
      </c>
      <c r="LG88" s="57" t="str">
        <f t="shared" si="638"/>
        <v/>
      </c>
      <c r="LH88" s="58" t="str">
        <f t="shared" si="649"/>
        <v/>
      </c>
      <c r="LI88" s="58" t="str">
        <f t="shared" si="650"/>
        <v/>
      </c>
      <c r="LJ88" s="58" t="str">
        <f t="shared" si="651"/>
        <v/>
      </c>
      <c r="LK88" s="58" t="str">
        <f t="shared" si="639"/>
        <v/>
      </c>
      <c r="LL88" s="60" t="str">
        <f t="shared" si="640"/>
        <v/>
      </c>
      <c r="LM88" s="55"/>
      <c r="LN88" s="61" t="str">
        <f t="shared" ref="LN88:LN103" si="653">IFERROR(RANK(LK88,(LK$87:LK$103),0),"")</f>
        <v/>
      </c>
      <c r="LO88" s="61" t="str">
        <f t="shared" si="652"/>
        <v/>
      </c>
      <c r="LP88" s="55"/>
      <c r="LQ88" s="55"/>
      <c r="LR88" s="55"/>
    </row>
    <row r="89" spans="1:348" s="63" customFormat="1" ht="15" customHeight="1">
      <c r="A89" s="50">
        <f t="shared" si="642"/>
        <v>0</v>
      </c>
      <c r="B89" s="50">
        <f t="shared" si="643"/>
        <v>0</v>
      </c>
      <c r="C89" s="77"/>
      <c r="D89" s="75"/>
      <c r="M89" s="54" t="s">
        <v>35</v>
      </c>
      <c r="N89" s="84"/>
      <c r="O89" s="85" t="str">
        <f t="shared" si="431"/>
        <v/>
      </c>
      <c r="P89" s="85" t="str">
        <f t="shared" si="534"/>
        <v/>
      </c>
      <c r="Q89" s="84"/>
      <c r="R89" s="85" t="str">
        <f t="shared" si="432"/>
        <v/>
      </c>
      <c r="S89" s="85" t="str">
        <f t="shared" si="535"/>
        <v/>
      </c>
      <c r="T89" s="84"/>
      <c r="U89" s="85" t="str">
        <f t="shared" si="433"/>
        <v/>
      </c>
      <c r="V89" s="85" t="str">
        <f t="shared" si="536"/>
        <v/>
      </c>
      <c r="W89" s="84"/>
      <c r="X89" s="85" t="str">
        <f t="shared" si="434"/>
        <v/>
      </c>
      <c r="Y89" s="85" t="str">
        <f t="shared" si="537"/>
        <v/>
      </c>
      <c r="Z89" s="84"/>
      <c r="AA89" s="85" t="str">
        <f t="shared" si="435"/>
        <v/>
      </c>
      <c r="AB89" s="85" t="str">
        <f t="shared" si="538"/>
        <v/>
      </c>
      <c r="AC89" s="84"/>
      <c r="AD89" s="85" t="str">
        <f t="shared" si="436"/>
        <v/>
      </c>
      <c r="AE89" s="85" t="str">
        <f t="shared" si="539"/>
        <v/>
      </c>
      <c r="AF89" s="84"/>
      <c r="AG89" s="85" t="str">
        <f t="shared" si="437"/>
        <v/>
      </c>
      <c r="AH89" s="85" t="str">
        <f t="shared" si="540"/>
        <v/>
      </c>
      <c r="AI89" s="84"/>
      <c r="AJ89" s="85" t="str">
        <f t="shared" si="438"/>
        <v/>
      </c>
      <c r="AK89" s="85" t="str">
        <f t="shared" si="541"/>
        <v/>
      </c>
      <c r="AL89" s="84"/>
      <c r="AM89" s="85" t="str">
        <f t="shared" si="439"/>
        <v/>
      </c>
      <c r="AN89" s="85" t="str">
        <f t="shared" si="542"/>
        <v/>
      </c>
      <c r="AO89" s="84"/>
      <c r="AP89" s="85" t="str">
        <f t="shared" si="440"/>
        <v/>
      </c>
      <c r="AQ89" s="85" t="str">
        <f t="shared" si="543"/>
        <v/>
      </c>
      <c r="AR89" s="84"/>
      <c r="AS89" s="85" t="str">
        <f t="shared" si="441"/>
        <v/>
      </c>
      <c r="AT89" s="85" t="str">
        <f t="shared" si="544"/>
        <v/>
      </c>
      <c r="AU89" s="84"/>
      <c r="AV89" s="85" t="str">
        <f t="shared" si="442"/>
        <v/>
      </c>
      <c r="AW89" s="85" t="str">
        <f t="shared" si="545"/>
        <v/>
      </c>
      <c r="AX89" s="84"/>
      <c r="AY89" s="85" t="str">
        <f t="shared" si="443"/>
        <v/>
      </c>
      <c r="AZ89" s="85" t="str">
        <f t="shared" si="546"/>
        <v/>
      </c>
      <c r="BA89" s="84"/>
      <c r="BB89" s="85" t="str">
        <f t="shared" si="444"/>
        <v/>
      </c>
      <c r="BC89" s="85" t="str">
        <f t="shared" si="547"/>
        <v/>
      </c>
      <c r="BD89" s="84"/>
      <c r="BE89" s="85" t="str">
        <f t="shared" si="445"/>
        <v/>
      </c>
      <c r="BF89" s="85" t="str">
        <f t="shared" si="548"/>
        <v/>
      </c>
      <c r="BG89" s="84"/>
      <c r="BH89" s="85" t="str">
        <f t="shared" si="446"/>
        <v/>
      </c>
      <c r="BI89" s="85" t="str">
        <f t="shared" si="549"/>
        <v/>
      </c>
      <c r="BJ89" s="84"/>
      <c r="BK89" s="85" t="str">
        <f t="shared" si="447"/>
        <v/>
      </c>
      <c r="BL89" s="85" t="str">
        <f t="shared" si="550"/>
        <v/>
      </c>
      <c r="BM89" s="84"/>
      <c r="BN89" s="85" t="str">
        <f t="shared" si="448"/>
        <v/>
      </c>
      <c r="BO89" s="85" t="str">
        <f t="shared" si="551"/>
        <v/>
      </c>
      <c r="BP89" s="87"/>
      <c r="BQ89" s="85" t="str">
        <f t="shared" si="449"/>
        <v/>
      </c>
      <c r="BR89" s="85" t="str">
        <f t="shared" si="552"/>
        <v/>
      </c>
      <c r="BS89" s="84"/>
      <c r="BT89" s="85" t="str">
        <f t="shared" si="450"/>
        <v/>
      </c>
      <c r="BU89" s="85" t="str">
        <f t="shared" si="553"/>
        <v/>
      </c>
      <c r="BV89" s="84"/>
      <c r="BW89" s="85" t="str">
        <f t="shared" si="451"/>
        <v/>
      </c>
      <c r="BX89" s="85" t="str">
        <f t="shared" si="554"/>
        <v/>
      </c>
      <c r="BY89" s="84"/>
      <c r="BZ89" s="85" t="str">
        <f t="shared" si="452"/>
        <v/>
      </c>
      <c r="CA89" s="85" t="str">
        <f t="shared" si="555"/>
        <v/>
      </c>
      <c r="CB89" s="84"/>
      <c r="CC89" s="85" t="str">
        <f t="shared" si="453"/>
        <v/>
      </c>
      <c r="CD89" s="85" t="str">
        <f t="shared" si="556"/>
        <v/>
      </c>
      <c r="CE89" s="84"/>
      <c r="CF89" s="85" t="str">
        <f t="shared" si="454"/>
        <v/>
      </c>
      <c r="CG89" s="85" t="str">
        <f t="shared" si="557"/>
        <v/>
      </c>
      <c r="CH89" s="84"/>
      <c r="CI89" s="85" t="str">
        <f t="shared" si="455"/>
        <v/>
      </c>
      <c r="CJ89" s="85" t="str">
        <f t="shared" si="558"/>
        <v/>
      </c>
      <c r="CK89" s="84"/>
      <c r="CL89" s="85" t="str">
        <f t="shared" si="456"/>
        <v/>
      </c>
      <c r="CM89" s="85" t="str">
        <f t="shared" si="559"/>
        <v/>
      </c>
      <c r="CN89" s="84"/>
      <c r="CO89" s="85" t="str">
        <f t="shared" si="457"/>
        <v/>
      </c>
      <c r="CP89" s="85" t="str">
        <f t="shared" si="560"/>
        <v/>
      </c>
      <c r="CQ89" s="84"/>
      <c r="CR89" s="85" t="str">
        <f t="shared" si="458"/>
        <v/>
      </c>
      <c r="CS89" s="85" t="str">
        <f t="shared" si="561"/>
        <v/>
      </c>
      <c r="CT89" s="84"/>
      <c r="CU89" s="85" t="str">
        <f t="shared" si="459"/>
        <v/>
      </c>
      <c r="CV89" s="85" t="str">
        <f t="shared" si="562"/>
        <v/>
      </c>
      <c r="CW89" s="84"/>
      <c r="CX89" s="85" t="str">
        <f t="shared" si="460"/>
        <v/>
      </c>
      <c r="CY89" s="85" t="str">
        <f t="shared" si="563"/>
        <v/>
      </c>
      <c r="CZ89" s="84"/>
      <c r="DA89" s="85" t="str">
        <f t="shared" si="461"/>
        <v/>
      </c>
      <c r="DB89" s="85" t="str">
        <f t="shared" si="564"/>
        <v/>
      </c>
      <c r="DC89" s="84"/>
      <c r="DD89" s="85" t="str">
        <f t="shared" si="462"/>
        <v/>
      </c>
      <c r="DE89" s="85" t="str">
        <f t="shared" si="565"/>
        <v/>
      </c>
      <c r="DF89" s="84"/>
      <c r="DG89" s="85"/>
      <c r="DH89" s="85" t="str">
        <f t="shared" si="566"/>
        <v/>
      </c>
      <c r="DI89" s="84"/>
      <c r="DJ89" s="85" t="str">
        <f t="shared" si="463"/>
        <v/>
      </c>
      <c r="DK89" s="85" t="str">
        <f t="shared" si="567"/>
        <v/>
      </c>
      <c r="DL89" s="84"/>
      <c r="DM89" s="85" t="str">
        <f t="shared" si="464"/>
        <v/>
      </c>
      <c r="DN89" s="85" t="str">
        <f t="shared" si="568"/>
        <v/>
      </c>
      <c r="DO89" s="84"/>
      <c r="DP89" s="85" t="str">
        <f t="shared" si="465"/>
        <v/>
      </c>
      <c r="DQ89" s="85" t="str">
        <f t="shared" si="569"/>
        <v/>
      </c>
      <c r="DR89" s="84"/>
      <c r="DS89" s="85" t="str">
        <f t="shared" si="466"/>
        <v/>
      </c>
      <c r="DT89" s="85" t="str">
        <f t="shared" si="570"/>
        <v/>
      </c>
      <c r="DU89" s="84"/>
      <c r="DV89" s="85" t="str">
        <f t="shared" si="467"/>
        <v/>
      </c>
      <c r="DW89" s="85" t="str">
        <f t="shared" si="571"/>
        <v/>
      </c>
      <c r="DX89" s="84"/>
      <c r="DY89" s="85" t="str">
        <f t="shared" si="468"/>
        <v/>
      </c>
      <c r="DZ89" s="85" t="str">
        <f t="shared" si="572"/>
        <v/>
      </c>
      <c r="EA89" s="84"/>
      <c r="EB89" s="85" t="str">
        <f t="shared" si="469"/>
        <v/>
      </c>
      <c r="EC89" s="85" t="str">
        <f t="shared" si="573"/>
        <v/>
      </c>
      <c r="ED89" s="84"/>
      <c r="EE89" s="85" t="str">
        <f t="shared" si="470"/>
        <v/>
      </c>
      <c r="EF89" s="85" t="str">
        <f t="shared" si="574"/>
        <v/>
      </c>
      <c r="EG89" s="84"/>
      <c r="EH89" s="85" t="str">
        <f t="shared" si="471"/>
        <v/>
      </c>
      <c r="EI89" s="85" t="str">
        <f t="shared" si="575"/>
        <v/>
      </c>
      <c r="EJ89" s="84"/>
      <c r="EK89" s="85" t="str">
        <f t="shared" si="472"/>
        <v/>
      </c>
      <c r="EL89" s="85" t="str">
        <f t="shared" si="576"/>
        <v/>
      </c>
      <c r="EM89" s="84"/>
      <c r="EN89" s="85" t="str">
        <f t="shared" si="473"/>
        <v/>
      </c>
      <c r="EO89" s="85" t="str">
        <f t="shared" si="577"/>
        <v/>
      </c>
      <c r="EP89" s="84"/>
      <c r="EQ89" s="85" t="str">
        <f t="shared" si="474"/>
        <v/>
      </c>
      <c r="ER89" s="85" t="str">
        <f t="shared" si="578"/>
        <v/>
      </c>
      <c r="ES89" s="87"/>
      <c r="ET89" s="85" t="str">
        <f t="shared" si="475"/>
        <v/>
      </c>
      <c r="EU89" s="85" t="str">
        <f t="shared" si="579"/>
        <v/>
      </c>
      <c r="EV89" s="84"/>
      <c r="EW89" s="85" t="str">
        <f t="shared" si="476"/>
        <v/>
      </c>
      <c r="EX89" s="85" t="str">
        <f t="shared" si="580"/>
        <v/>
      </c>
      <c r="EY89" s="84"/>
      <c r="EZ89" s="85" t="str">
        <f t="shared" si="477"/>
        <v/>
      </c>
      <c r="FA89" s="85" t="str">
        <f t="shared" si="581"/>
        <v/>
      </c>
      <c r="FB89" s="84"/>
      <c r="FC89" s="85" t="str">
        <f t="shared" si="478"/>
        <v/>
      </c>
      <c r="FD89" s="85" t="str">
        <f t="shared" si="582"/>
        <v/>
      </c>
      <c r="FE89" s="84"/>
      <c r="FF89" s="85" t="str">
        <f t="shared" si="479"/>
        <v/>
      </c>
      <c r="FG89" s="85" t="str">
        <f t="shared" si="583"/>
        <v/>
      </c>
      <c r="FH89" s="84"/>
      <c r="FI89" s="85" t="str">
        <f t="shared" si="480"/>
        <v/>
      </c>
      <c r="FJ89" s="85" t="str">
        <f t="shared" si="584"/>
        <v/>
      </c>
      <c r="FK89" s="84"/>
      <c r="FL89" s="85" t="str">
        <f t="shared" si="481"/>
        <v/>
      </c>
      <c r="FM89" s="85" t="str">
        <f t="shared" si="585"/>
        <v/>
      </c>
      <c r="FN89" s="84"/>
      <c r="FO89" s="85" t="str">
        <f t="shared" si="482"/>
        <v/>
      </c>
      <c r="FP89" s="85" t="str">
        <f t="shared" si="586"/>
        <v/>
      </c>
      <c r="FQ89" s="84"/>
      <c r="FR89" s="85" t="str">
        <f t="shared" si="483"/>
        <v/>
      </c>
      <c r="FS89" s="85" t="str">
        <f t="shared" si="587"/>
        <v/>
      </c>
      <c r="FT89" s="84"/>
      <c r="FU89" s="85" t="str">
        <f t="shared" si="484"/>
        <v/>
      </c>
      <c r="FV89" s="85" t="str">
        <f t="shared" si="588"/>
        <v/>
      </c>
      <c r="FW89" s="90"/>
      <c r="FX89" s="85" t="str">
        <f t="shared" si="485"/>
        <v/>
      </c>
      <c r="FY89" s="85" t="str">
        <f t="shared" si="589"/>
        <v/>
      </c>
      <c r="FZ89" s="84"/>
      <c r="GA89" s="85" t="str">
        <f t="shared" si="486"/>
        <v/>
      </c>
      <c r="GB89" s="85" t="str">
        <f t="shared" si="590"/>
        <v/>
      </c>
      <c r="GC89" s="84"/>
      <c r="GD89" s="85" t="str">
        <f t="shared" si="487"/>
        <v/>
      </c>
      <c r="GE89" s="85" t="str">
        <f t="shared" si="591"/>
        <v/>
      </c>
      <c r="GF89" s="84"/>
      <c r="GG89" s="85" t="str">
        <f t="shared" si="488"/>
        <v/>
      </c>
      <c r="GH89" s="85" t="str">
        <f t="shared" si="592"/>
        <v/>
      </c>
      <c r="GI89" s="84"/>
      <c r="GJ89" s="85" t="str">
        <f t="shared" si="489"/>
        <v/>
      </c>
      <c r="GK89" s="85" t="str">
        <f t="shared" si="593"/>
        <v/>
      </c>
      <c r="GL89" s="84"/>
      <c r="GM89" s="85" t="str">
        <f t="shared" si="490"/>
        <v/>
      </c>
      <c r="GN89" s="85" t="str">
        <f t="shared" si="594"/>
        <v/>
      </c>
      <c r="GO89" s="84"/>
      <c r="GP89" s="85" t="str">
        <f t="shared" si="491"/>
        <v/>
      </c>
      <c r="GQ89" s="85" t="str">
        <f t="shared" si="595"/>
        <v/>
      </c>
      <c r="GR89" s="84"/>
      <c r="GS89" s="85" t="str">
        <f t="shared" si="492"/>
        <v/>
      </c>
      <c r="GT89" s="85" t="str">
        <f t="shared" si="596"/>
        <v/>
      </c>
      <c r="GU89" s="84"/>
      <c r="GV89" s="85" t="str">
        <f t="shared" si="493"/>
        <v/>
      </c>
      <c r="GW89" s="85" t="str">
        <f t="shared" si="597"/>
        <v/>
      </c>
      <c r="GX89" s="84"/>
      <c r="GY89" s="85" t="str">
        <f t="shared" si="494"/>
        <v/>
      </c>
      <c r="GZ89" s="85" t="str">
        <f t="shared" si="598"/>
        <v/>
      </c>
      <c r="HA89" s="84"/>
      <c r="HB89" s="85" t="str">
        <f t="shared" si="495"/>
        <v/>
      </c>
      <c r="HC89" s="85" t="str">
        <f t="shared" si="599"/>
        <v/>
      </c>
      <c r="HD89" s="84"/>
      <c r="HE89" s="85" t="str">
        <f t="shared" si="496"/>
        <v/>
      </c>
      <c r="HF89" s="85" t="str">
        <f t="shared" si="600"/>
        <v/>
      </c>
      <c r="HG89" s="84"/>
      <c r="HH89" s="85" t="str">
        <f t="shared" si="497"/>
        <v/>
      </c>
      <c r="HI89" s="85" t="str">
        <f t="shared" si="601"/>
        <v/>
      </c>
      <c r="HJ89" s="84"/>
      <c r="HK89" s="85" t="str">
        <f t="shared" si="498"/>
        <v/>
      </c>
      <c r="HL89" s="85" t="str">
        <f t="shared" si="602"/>
        <v/>
      </c>
      <c r="HM89" s="84"/>
      <c r="HN89" s="85" t="str">
        <f t="shared" si="499"/>
        <v/>
      </c>
      <c r="HO89" s="85" t="str">
        <f t="shared" si="603"/>
        <v/>
      </c>
      <c r="HP89" s="84"/>
      <c r="HQ89" s="85" t="str">
        <f t="shared" si="500"/>
        <v/>
      </c>
      <c r="HR89" s="85" t="str">
        <f t="shared" si="604"/>
        <v/>
      </c>
      <c r="HS89" s="84"/>
      <c r="HT89" s="85" t="str">
        <f t="shared" si="501"/>
        <v/>
      </c>
      <c r="HU89" s="85" t="str">
        <f t="shared" si="605"/>
        <v/>
      </c>
      <c r="HV89" s="84"/>
      <c r="HW89" s="85" t="str">
        <f t="shared" si="502"/>
        <v/>
      </c>
      <c r="HX89" s="85" t="str">
        <f t="shared" si="606"/>
        <v/>
      </c>
      <c r="HY89" s="84"/>
      <c r="HZ89" s="85" t="str">
        <f t="shared" si="503"/>
        <v/>
      </c>
      <c r="IA89" s="85" t="str">
        <f t="shared" si="607"/>
        <v/>
      </c>
      <c r="IB89" s="84"/>
      <c r="IC89" s="85" t="str">
        <f t="shared" si="504"/>
        <v/>
      </c>
      <c r="ID89" s="85" t="str">
        <f t="shared" si="608"/>
        <v/>
      </c>
      <c r="IE89" s="84"/>
      <c r="IF89" s="85" t="str">
        <f t="shared" si="505"/>
        <v/>
      </c>
      <c r="IG89" s="85" t="str">
        <f t="shared" si="609"/>
        <v/>
      </c>
      <c r="IH89" s="84"/>
      <c r="II89" s="85" t="str">
        <f t="shared" si="506"/>
        <v/>
      </c>
      <c r="IJ89" s="85" t="str">
        <f t="shared" si="610"/>
        <v/>
      </c>
      <c r="IK89" s="84"/>
      <c r="IL89" s="85" t="str">
        <f t="shared" si="507"/>
        <v/>
      </c>
      <c r="IM89" s="85" t="str">
        <f t="shared" si="611"/>
        <v/>
      </c>
      <c r="IN89" s="84"/>
      <c r="IO89" s="85" t="str">
        <f t="shared" si="508"/>
        <v/>
      </c>
      <c r="IP89" s="85" t="str">
        <f t="shared" si="612"/>
        <v/>
      </c>
      <c r="IQ89" s="84"/>
      <c r="IR89" s="85" t="str">
        <f t="shared" si="509"/>
        <v/>
      </c>
      <c r="IS89" s="85" t="str">
        <f t="shared" si="613"/>
        <v/>
      </c>
      <c r="IT89" s="84"/>
      <c r="IU89" s="85" t="str">
        <f t="shared" si="510"/>
        <v/>
      </c>
      <c r="IV89" s="85" t="str">
        <f t="shared" si="614"/>
        <v/>
      </c>
      <c r="IW89" s="84"/>
      <c r="IX89" s="85" t="str">
        <f t="shared" si="511"/>
        <v/>
      </c>
      <c r="IY89" s="85" t="str">
        <f t="shared" si="615"/>
        <v/>
      </c>
      <c r="IZ89" s="84"/>
      <c r="JA89" s="85" t="str">
        <f t="shared" si="512"/>
        <v/>
      </c>
      <c r="JB89" s="85" t="str">
        <f t="shared" si="616"/>
        <v/>
      </c>
      <c r="JC89" s="84"/>
      <c r="JD89" s="85" t="str">
        <f t="shared" si="513"/>
        <v/>
      </c>
      <c r="JE89" s="85" t="str">
        <f t="shared" si="617"/>
        <v/>
      </c>
      <c r="JF89" s="84"/>
      <c r="JG89" s="85" t="str">
        <f t="shared" si="514"/>
        <v/>
      </c>
      <c r="JH89" s="85" t="str">
        <f t="shared" si="618"/>
        <v/>
      </c>
      <c r="JI89" s="84"/>
      <c r="JJ89" s="85" t="str">
        <f t="shared" si="515"/>
        <v/>
      </c>
      <c r="JK89" s="85" t="str">
        <f t="shared" si="619"/>
        <v/>
      </c>
      <c r="JL89" s="84"/>
      <c r="JM89" s="85" t="str">
        <f t="shared" si="516"/>
        <v/>
      </c>
      <c r="JN89" s="85" t="str">
        <f t="shared" si="620"/>
        <v/>
      </c>
      <c r="JO89" s="84"/>
      <c r="JP89" s="85" t="str">
        <f t="shared" si="517"/>
        <v/>
      </c>
      <c r="JQ89" s="85" t="str">
        <f t="shared" si="621"/>
        <v/>
      </c>
      <c r="JR89" s="84"/>
      <c r="JS89" s="85" t="str">
        <f t="shared" si="518"/>
        <v/>
      </c>
      <c r="JT89" s="85" t="str">
        <f t="shared" si="622"/>
        <v/>
      </c>
      <c r="JU89" s="84"/>
      <c r="JV89" s="85" t="str">
        <f t="shared" si="519"/>
        <v/>
      </c>
      <c r="JW89" s="85" t="str">
        <f t="shared" si="623"/>
        <v/>
      </c>
      <c r="JX89" s="84"/>
      <c r="JY89" s="85" t="str">
        <f t="shared" si="520"/>
        <v/>
      </c>
      <c r="JZ89" s="85" t="str">
        <f t="shared" si="624"/>
        <v/>
      </c>
      <c r="KA89" s="84"/>
      <c r="KB89" s="85" t="str">
        <f t="shared" si="521"/>
        <v/>
      </c>
      <c r="KC89" s="85" t="str">
        <f t="shared" si="625"/>
        <v/>
      </c>
      <c r="KD89" s="84"/>
      <c r="KE89" s="85" t="str">
        <f t="shared" si="522"/>
        <v/>
      </c>
      <c r="KF89" s="85" t="str">
        <f t="shared" si="626"/>
        <v/>
      </c>
      <c r="KG89" s="84"/>
      <c r="KH89" s="85" t="str">
        <f t="shared" si="523"/>
        <v/>
      </c>
      <c r="KI89" s="85" t="str">
        <f t="shared" si="627"/>
        <v/>
      </c>
      <c r="KJ89" s="84"/>
      <c r="KK89" s="85" t="str">
        <f t="shared" si="524"/>
        <v/>
      </c>
      <c r="KL89" s="85" t="str">
        <f t="shared" si="628"/>
        <v/>
      </c>
      <c r="KM89" s="84"/>
      <c r="KN89" s="85" t="str">
        <f t="shared" si="525"/>
        <v/>
      </c>
      <c r="KO89" s="85" t="str">
        <f t="shared" si="629"/>
        <v/>
      </c>
      <c r="KP89" s="84"/>
      <c r="KQ89" s="85" t="str">
        <f t="shared" si="526"/>
        <v/>
      </c>
      <c r="KR89" s="85" t="str">
        <f t="shared" si="630"/>
        <v/>
      </c>
      <c r="KS89" s="84"/>
      <c r="KT89" s="85" t="str">
        <f t="shared" si="527"/>
        <v/>
      </c>
      <c r="KU89" s="85" t="str">
        <f t="shared" si="631"/>
        <v/>
      </c>
      <c r="KV89" s="84"/>
      <c r="KW89" s="85" t="str">
        <f t="shared" si="528"/>
        <v/>
      </c>
      <c r="KX89" s="85" t="str">
        <f t="shared" si="632"/>
        <v/>
      </c>
      <c r="KY89" s="90"/>
      <c r="KZ89" s="85" t="str">
        <f t="shared" si="529"/>
        <v/>
      </c>
      <c r="LA89" s="85" t="str">
        <f t="shared" si="633"/>
        <v/>
      </c>
      <c r="LB89" s="50" t="str">
        <f t="shared" si="648"/>
        <v/>
      </c>
      <c r="LC89" s="57" t="str">
        <f t="shared" si="634"/>
        <v/>
      </c>
      <c r="LD89" s="50" t="str">
        <f t="shared" si="635"/>
        <v/>
      </c>
      <c r="LE89" s="57" t="str">
        <f t="shared" si="636"/>
        <v/>
      </c>
      <c r="LF89" s="50" t="str">
        <f t="shared" si="637"/>
        <v/>
      </c>
      <c r="LG89" s="57" t="str">
        <f t="shared" si="638"/>
        <v/>
      </c>
      <c r="LH89" s="58" t="str">
        <f t="shared" si="649"/>
        <v/>
      </c>
      <c r="LI89" s="58" t="str">
        <f t="shared" si="650"/>
        <v/>
      </c>
      <c r="LJ89" s="58" t="str">
        <f t="shared" si="651"/>
        <v/>
      </c>
      <c r="LK89" s="58" t="str">
        <f t="shared" si="639"/>
        <v/>
      </c>
      <c r="LL89" s="60" t="str">
        <f t="shared" si="640"/>
        <v/>
      </c>
      <c r="LM89" s="55"/>
      <c r="LN89" s="61" t="str">
        <f t="shared" si="653"/>
        <v/>
      </c>
      <c r="LO89" s="61" t="str">
        <f t="shared" si="652"/>
        <v/>
      </c>
      <c r="LP89" s="55"/>
      <c r="LQ89" s="55"/>
      <c r="LR89" s="55"/>
    </row>
    <row r="90" spans="1:348" s="63" customFormat="1" ht="15" customHeight="1">
      <c r="A90" s="50">
        <f t="shared" si="642"/>
        <v>0</v>
      </c>
      <c r="B90" s="50">
        <f t="shared" si="643"/>
        <v>0</v>
      </c>
      <c r="C90" s="77"/>
      <c r="D90" s="75"/>
      <c r="M90" s="54" t="s">
        <v>35</v>
      </c>
      <c r="N90" s="84"/>
      <c r="O90" s="85" t="str">
        <f t="shared" si="431"/>
        <v/>
      </c>
      <c r="P90" s="85" t="str">
        <f t="shared" si="534"/>
        <v/>
      </c>
      <c r="Q90" s="84"/>
      <c r="R90" s="85" t="str">
        <f t="shared" si="432"/>
        <v/>
      </c>
      <c r="S90" s="85" t="str">
        <f t="shared" si="535"/>
        <v/>
      </c>
      <c r="T90" s="84"/>
      <c r="U90" s="85" t="str">
        <f t="shared" si="433"/>
        <v/>
      </c>
      <c r="V90" s="85" t="str">
        <f t="shared" si="536"/>
        <v/>
      </c>
      <c r="W90" s="84"/>
      <c r="X90" s="85" t="str">
        <f t="shared" si="434"/>
        <v/>
      </c>
      <c r="Y90" s="85" t="str">
        <f t="shared" si="537"/>
        <v/>
      </c>
      <c r="Z90" s="84"/>
      <c r="AA90" s="85" t="str">
        <f t="shared" si="435"/>
        <v/>
      </c>
      <c r="AB90" s="85" t="str">
        <f t="shared" si="538"/>
        <v/>
      </c>
      <c r="AC90" s="84"/>
      <c r="AD90" s="85" t="str">
        <f t="shared" si="436"/>
        <v/>
      </c>
      <c r="AE90" s="85" t="str">
        <f t="shared" si="539"/>
        <v/>
      </c>
      <c r="AF90" s="84"/>
      <c r="AG90" s="85" t="str">
        <f t="shared" si="437"/>
        <v/>
      </c>
      <c r="AH90" s="85" t="str">
        <f t="shared" si="540"/>
        <v/>
      </c>
      <c r="AI90" s="84"/>
      <c r="AJ90" s="85" t="str">
        <f t="shared" si="438"/>
        <v/>
      </c>
      <c r="AK90" s="85" t="str">
        <f t="shared" si="541"/>
        <v/>
      </c>
      <c r="AL90" s="84"/>
      <c r="AM90" s="85" t="str">
        <f t="shared" si="439"/>
        <v/>
      </c>
      <c r="AN90" s="85" t="str">
        <f t="shared" si="542"/>
        <v/>
      </c>
      <c r="AO90" s="84"/>
      <c r="AP90" s="85" t="str">
        <f t="shared" si="440"/>
        <v/>
      </c>
      <c r="AQ90" s="85" t="str">
        <f t="shared" si="543"/>
        <v/>
      </c>
      <c r="AR90" s="84"/>
      <c r="AS90" s="85" t="str">
        <f t="shared" si="441"/>
        <v/>
      </c>
      <c r="AT90" s="85" t="str">
        <f t="shared" si="544"/>
        <v/>
      </c>
      <c r="AU90" s="84"/>
      <c r="AV90" s="85" t="str">
        <f t="shared" si="442"/>
        <v/>
      </c>
      <c r="AW90" s="85" t="str">
        <f t="shared" si="545"/>
        <v/>
      </c>
      <c r="AX90" s="84"/>
      <c r="AY90" s="85" t="str">
        <f t="shared" si="443"/>
        <v/>
      </c>
      <c r="AZ90" s="85" t="str">
        <f t="shared" si="546"/>
        <v/>
      </c>
      <c r="BA90" s="84"/>
      <c r="BB90" s="85" t="str">
        <f t="shared" si="444"/>
        <v/>
      </c>
      <c r="BC90" s="85" t="str">
        <f t="shared" si="547"/>
        <v/>
      </c>
      <c r="BD90" s="84"/>
      <c r="BE90" s="85" t="str">
        <f t="shared" si="445"/>
        <v/>
      </c>
      <c r="BF90" s="85" t="str">
        <f t="shared" si="548"/>
        <v/>
      </c>
      <c r="BG90" s="84"/>
      <c r="BH90" s="85" t="str">
        <f t="shared" si="446"/>
        <v/>
      </c>
      <c r="BI90" s="85" t="str">
        <f t="shared" si="549"/>
        <v/>
      </c>
      <c r="BJ90" s="84"/>
      <c r="BK90" s="85" t="str">
        <f t="shared" si="447"/>
        <v/>
      </c>
      <c r="BL90" s="85" t="str">
        <f t="shared" si="550"/>
        <v/>
      </c>
      <c r="BM90" s="84"/>
      <c r="BN90" s="85" t="str">
        <f t="shared" si="448"/>
        <v/>
      </c>
      <c r="BO90" s="85" t="str">
        <f t="shared" si="551"/>
        <v/>
      </c>
      <c r="BP90" s="87"/>
      <c r="BQ90" s="85" t="str">
        <f t="shared" si="449"/>
        <v/>
      </c>
      <c r="BR90" s="85" t="str">
        <f t="shared" si="552"/>
        <v/>
      </c>
      <c r="BS90" s="84"/>
      <c r="BT90" s="85" t="str">
        <f t="shared" si="450"/>
        <v/>
      </c>
      <c r="BU90" s="85" t="str">
        <f t="shared" si="553"/>
        <v/>
      </c>
      <c r="BV90" s="84"/>
      <c r="BW90" s="85" t="str">
        <f t="shared" si="451"/>
        <v/>
      </c>
      <c r="BX90" s="85" t="str">
        <f t="shared" si="554"/>
        <v/>
      </c>
      <c r="BY90" s="84"/>
      <c r="BZ90" s="85" t="str">
        <f t="shared" si="452"/>
        <v/>
      </c>
      <c r="CA90" s="85" t="str">
        <f t="shared" si="555"/>
        <v/>
      </c>
      <c r="CB90" s="84"/>
      <c r="CC90" s="85" t="str">
        <f t="shared" si="453"/>
        <v/>
      </c>
      <c r="CD90" s="85" t="str">
        <f t="shared" si="556"/>
        <v/>
      </c>
      <c r="CE90" s="84"/>
      <c r="CF90" s="85" t="str">
        <f t="shared" si="454"/>
        <v/>
      </c>
      <c r="CG90" s="85" t="str">
        <f t="shared" si="557"/>
        <v/>
      </c>
      <c r="CH90" s="84"/>
      <c r="CI90" s="85" t="str">
        <f t="shared" si="455"/>
        <v/>
      </c>
      <c r="CJ90" s="85" t="str">
        <f t="shared" si="558"/>
        <v/>
      </c>
      <c r="CK90" s="84"/>
      <c r="CL90" s="85" t="str">
        <f t="shared" si="456"/>
        <v/>
      </c>
      <c r="CM90" s="85" t="str">
        <f t="shared" si="559"/>
        <v/>
      </c>
      <c r="CN90" s="84"/>
      <c r="CO90" s="85" t="str">
        <f t="shared" si="457"/>
        <v/>
      </c>
      <c r="CP90" s="85" t="str">
        <f t="shared" si="560"/>
        <v/>
      </c>
      <c r="CQ90" s="84"/>
      <c r="CR90" s="85" t="str">
        <f t="shared" si="458"/>
        <v/>
      </c>
      <c r="CS90" s="85" t="str">
        <f t="shared" si="561"/>
        <v/>
      </c>
      <c r="CT90" s="84"/>
      <c r="CU90" s="85" t="str">
        <f t="shared" si="459"/>
        <v/>
      </c>
      <c r="CV90" s="85" t="str">
        <f t="shared" si="562"/>
        <v/>
      </c>
      <c r="CW90" s="84"/>
      <c r="CX90" s="85" t="str">
        <f t="shared" si="460"/>
        <v/>
      </c>
      <c r="CY90" s="85" t="str">
        <f t="shared" si="563"/>
        <v/>
      </c>
      <c r="CZ90" s="84"/>
      <c r="DA90" s="85" t="str">
        <f t="shared" si="461"/>
        <v/>
      </c>
      <c r="DB90" s="85" t="str">
        <f t="shared" si="564"/>
        <v/>
      </c>
      <c r="DC90" s="84"/>
      <c r="DD90" s="85" t="str">
        <f t="shared" si="462"/>
        <v/>
      </c>
      <c r="DE90" s="85" t="str">
        <f t="shared" si="565"/>
        <v/>
      </c>
      <c r="DF90" s="84"/>
      <c r="DG90" s="85"/>
      <c r="DH90" s="85" t="str">
        <f t="shared" si="566"/>
        <v/>
      </c>
      <c r="DI90" s="84"/>
      <c r="DJ90" s="85" t="str">
        <f t="shared" si="463"/>
        <v/>
      </c>
      <c r="DK90" s="85" t="str">
        <f t="shared" si="567"/>
        <v/>
      </c>
      <c r="DL90" s="84"/>
      <c r="DM90" s="85" t="str">
        <f t="shared" si="464"/>
        <v/>
      </c>
      <c r="DN90" s="85" t="str">
        <f t="shared" si="568"/>
        <v/>
      </c>
      <c r="DO90" s="84"/>
      <c r="DP90" s="85" t="str">
        <f t="shared" si="465"/>
        <v/>
      </c>
      <c r="DQ90" s="85" t="str">
        <f t="shared" si="569"/>
        <v/>
      </c>
      <c r="DR90" s="84"/>
      <c r="DS90" s="85" t="str">
        <f t="shared" si="466"/>
        <v/>
      </c>
      <c r="DT90" s="85" t="str">
        <f t="shared" si="570"/>
        <v/>
      </c>
      <c r="DU90" s="84"/>
      <c r="DV90" s="85" t="str">
        <f t="shared" si="467"/>
        <v/>
      </c>
      <c r="DW90" s="85" t="str">
        <f t="shared" si="571"/>
        <v/>
      </c>
      <c r="DX90" s="84"/>
      <c r="DY90" s="85" t="str">
        <f t="shared" si="468"/>
        <v/>
      </c>
      <c r="DZ90" s="85" t="str">
        <f t="shared" si="572"/>
        <v/>
      </c>
      <c r="EA90" s="84"/>
      <c r="EB90" s="85" t="str">
        <f t="shared" si="469"/>
        <v/>
      </c>
      <c r="EC90" s="85" t="str">
        <f t="shared" si="573"/>
        <v/>
      </c>
      <c r="ED90" s="84"/>
      <c r="EE90" s="85" t="str">
        <f t="shared" si="470"/>
        <v/>
      </c>
      <c r="EF90" s="85" t="str">
        <f t="shared" si="574"/>
        <v/>
      </c>
      <c r="EG90" s="84"/>
      <c r="EH90" s="85" t="str">
        <f t="shared" si="471"/>
        <v/>
      </c>
      <c r="EI90" s="85" t="str">
        <f t="shared" si="575"/>
        <v/>
      </c>
      <c r="EJ90" s="84"/>
      <c r="EK90" s="85" t="str">
        <f t="shared" si="472"/>
        <v/>
      </c>
      <c r="EL90" s="85" t="str">
        <f t="shared" si="576"/>
        <v/>
      </c>
      <c r="EM90" s="84"/>
      <c r="EN90" s="85" t="str">
        <f t="shared" si="473"/>
        <v/>
      </c>
      <c r="EO90" s="85" t="str">
        <f t="shared" si="577"/>
        <v/>
      </c>
      <c r="EP90" s="84"/>
      <c r="EQ90" s="85" t="str">
        <f t="shared" si="474"/>
        <v/>
      </c>
      <c r="ER90" s="85" t="str">
        <f t="shared" si="578"/>
        <v/>
      </c>
      <c r="ES90" s="87"/>
      <c r="ET90" s="85" t="str">
        <f t="shared" si="475"/>
        <v/>
      </c>
      <c r="EU90" s="85" t="str">
        <f t="shared" si="579"/>
        <v/>
      </c>
      <c r="EV90" s="84"/>
      <c r="EW90" s="85" t="str">
        <f t="shared" si="476"/>
        <v/>
      </c>
      <c r="EX90" s="85" t="str">
        <f t="shared" si="580"/>
        <v/>
      </c>
      <c r="EY90" s="84"/>
      <c r="EZ90" s="85" t="str">
        <f t="shared" si="477"/>
        <v/>
      </c>
      <c r="FA90" s="85" t="str">
        <f t="shared" si="581"/>
        <v/>
      </c>
      <c r="FB90" s="84"/>
      <c r="FC90" s="85" t="str">
        <f t="shared" si="478"/>
        <v/>
      </c>
      <c r="FD90" s="85" t="str">
        <f t="shared" si="582"/>
        <v/>
      </c>
      <c r="FE90" s="84"/>
      <c r="FF90" s="85" t="str">
        <f t="shared" si="479"/>
        <v/>
      </c>
      <c r="FG90" s="85" t="str">
        <f t="shared" si="583"/>
        <v/>
      </c>
      <c r="FH90" s="84"/>
      <c r="FI90" s="85" t="str">
        <f t="shared" si="480"/>
        <v/>
      </c>
      <c r="FJ90" s="85" t="str">
        <f t="shared" si="584"/>
        <v/>
      </c>
      <c r="FK90" s="84"/>
      <c r="FL90" s="85" t="str">
        <f t="shared" si="481"/>
        <v/>
      </c>
      <c r="FM90" s="85" t="str">
        <f t="shared" si="585"/>
        <v/>
      </c>
      <c r="FN90" s="84"/>
      <c r="FO90" s="85" t="str">
        <f t="shared" si="482"/>
        <v/>
      </c>
      <c r="FP90" s="85" t="str">
        <f t="shared" si="586"/>
        <v/>
      </c>
      <c r="FQ90" s="84"/>
      <c r="FR90" s="85" t="str">
        <f t="shared" si="483"/>
        <v/>
      </c>
      <c r="FS90" s="85" t="str">
        <f t="shared" si="587"/>
        <v/>
      </c>
      <c r="FT90" s="84"/>
      <c r="FU90" s="85" t="str">
        <f t="shared" si="484"/>
        <v/>
      </c>
      <c r="FV90" s="85" t="str">
        <f t="shared" si="588"/>
        <v/>
      </c>
      <c r="FW90" s="90"/>
      <c r="FX90" s="85" t="str">
        <f t="shared" si="485"/>
        <v/>
      </c>
      <c r="FY90" s="85" t="str">
        <f t="shared" si="589"/>
        <v/>
      </c>
      <c r="FZ90" s="84"/>
      <c r="GA90" s="85" t="str">
        <f t="shared" si="486"/>
        <v/>
      </c>
      <c r="GB90" s="85" t="str">
        <f t="shared" si="590"/>
        <v/>
      </c>
      <c r="GC90" s="84"/>
      <c r="GD90" s="85" t="str">
        <f t="shared" si="487"/>
        <v/>
      </c>
      <c r="GE90" s="85" t="str">
        <f t="shared" si="591"/>
        <v/>
      </c>
      <c r="GF90" s="84"/>
      <c r="GG90" s="85" t="str">
        <f t="shared" si="488"/>
        <v/>
      </c>
      <c r="GH90" s="85" t="str">
        <f t="shared" si="592"/>
        <v/>
      </c>
      <c r="GI90" s="84"/>
      <c r="GJ90" s="85" t="str">
        <f t="shared" si="489"/>
        <v/>
      </c>
      <c r="GK90" s="85" t="str">
        <f t="shared" si="593"/>
        <v/>
      </c>
      <c r="GL90" s="84"/>
      <c r="GM90" s="85" t="str">
        <f t="shared" si="490"/>
        <v/>
      </c>
      <c r="GN90" s="85" t="str">
        <f t="shared" si="594"/>
        <v/>
      </c>
      <c r="GO90" s="84"/>
      <c r="GP90" s="85" t="str">
        <f t="shared" si="491"/>
        <v/>
      </c>
      <c r="GQ90" s="85" t="str">
        <f t="shared" si="595"/>
        <v/>
      </c>
      <c r="GR90" s="84"/>
      <c r="GS90" s="85" t="str">
        <f t="shared" si="492"/>
        <v/>
      </c>
      <c r="GT90" s="85" t="str">
        <f t="shared" si="596"/>
        <v/>
      </c>
      <c r="GU90" s="84"/>
      <c r="GV90" s="85" t="str">
        <f t="shared" si="493"/>
        <v/>
      </c>
      <c r="GW90" s="85" t="str">
        <f t="shared" si="597"/>
        <v/>
      </c>
      <c r="GX90" s="84"/>
      <c r="GY90" s="85" t="str">
        <f t="shared" si="494"/>
        <v/>
      </c>
      <c r="GZ90" s="85" t="str">
        <f t="shared" si="598"/>
        <v/>
      </c>
      <c r="HA90" s="84"/>
      <c r="HB90" s="85" t="str">
        <f t="shared" si="495"/>
        <v/>
      </c>
      <c r="HC90" s="85" t="str">
        <f t="shared" si="599"/>
        <v/>
      </c>
      <c r="HD90" s="84"/>
      <c r="HE90" s="85" t="str">
        <f t="shared" si="496"/>
        <v/>
      </c>
      <c r="HF90" s="85" t="str">
        <f t="shared" si="600"/>
        <v/>
      </c>
      <c r="HG90" s="84"/>
      <c r="HH90" s="85" t="str">
        <f t="shared" si="497"/>
        <v/>
      </c>
      <c r="HI90" s="85" t="str">
        <f t="shared" si="601"/>
        <v/>
      </c>
      <c r="HJ90" s="84"/>
      <c r="HK90" s="85" t="str">
        <f t="shared" si="498"/>
        <v/>
      </c>
      <c r="HL90" s="85" t="str">
        <f t="shared" si="602"/>
        <v/>
      </c>
      <c r="HM90" s="84"/>
      <c r="HN90" s="85" t="str">
        <f t="shared" si="499"/>
        <v/>
      </c>
      <c r="HO90" s="85" t="str">
        <f t="shared" si="603"/>
        <v/>
      </c>
      <c r="HP90" s="84"/>
      <c r="HQ90" s="85" t="str">
        <f t="shared" si="500"/>
        <v/>
      </c>
      <c r="HR90" s="85" t="str">
        <f t="shared" si="604"/>
        <v/>
      </c>
      <c r="HS90" s="84"/>
      <c r="HT90" s="85" t="str">
        <f t="shared" si="501"/>
        <v/>
      </c>
      <c r="HU90" s="85" t="str">
        <f t="shared" si="605"/>
        <v/>
      </c>
      <c r="HV90" s="84"/>
      <c r="HW90" s="85" t="str">
        <f t="shared" si="502"/>
        <v/>
      </c>
      <c r="HX90" s="85" t="str">
        <f t="shared" si="606"/>
        <v/>
      </c>
      <c r="HY90" s="84"/>
      <c r="HZ90" s="85" t="str">
        <f t="shared" si="503"/>
        <v/>
      </c>
      <c r="IA90" s="85" t="str">
        <f t="shared" si="607"/>
        <v/>
      </c>
      <c r="IB90" s="84"/>
      <c r="IC90" s="85" t="str">
        <f t="shared" si="504"/>
        <v/>
      </c>
      <c r="ID90" s="85" t="str">
        <f t="shared" si="608"/>
        <v/>
      </c>
      <c r="IE90" s="84"/>
      <c r="IF90" s="85" t="str">
        <f t="shared" si="505"/>
        <v/>
      </c>
      <c r="IG90" s="85" t="str">
        <f t="shared" si="609"/>
        <v/>
      </c>
      <c r="IH90" s="84"/>
      <c r="II90" s="85" t="str">
        <f t="shared" si="506"/>
        <v/>
      </c>
      <c r="IJ90" s="85" t="str">
        <f t="shared" si="610"/>
        <v/>
      </c>
      <c r="IK90" s="84"/>
      <c r="IL90" s="85" t="str">
        <f t="shared" si="507"/>
        <v/>
      </c>
      <c r="IM90" s="85" t="str">
        <f t="shared" si="611"/>
        <v/>
      </c>
      <c r="IN90" s="84"/>
      <c r="IO90" s="85" t="str">
        <f t="shared" si="508"/>
        <v/>
      </c>
      <c r="IP90" s="85" t="str">
        <f t="shared" si="612"/>
        <v/>
      </c>
      <c r="IQ90" s="84"/>
      <c r="IR90" s="85" t="str">
        <f t="shared" si="509"/>
        <v/>
      </c>
      <c r="IS90" s="85" t="str">
        <f t="shared" si="613"/>
        <v/>
      </c>
      <c r="IT90" s="84"/>
      <c r="IU90" s="85" t="str">
        <f t="shared" si="510"/>
        <v/>
      </c>
      <c r="IV90" s="85" t="str">
        <f t="shared" si="614"/>
        <v/>
      </c>
      <c r="IW90" s="84"/>
      <c r="IX90" s="85" t="str">
        <f t="shared" si="511"/>
        <v/>
      </c>
      <c r="IY90" s="85" t="str">
        <f t="shared" si="615"/>
        <v/>
      </c>
      <c r="IZ90" s="84"/>
      <c r="JA90" s="85" t="str">
        <f t="shared" si="512"/>
        <v/>
      </c>
      <c r="JB90" s="85" t="str">
        <f t="shared" si="616"/>
        <v/>
      </c>
      <c r="JC90" s="84"/>
      <c r="JD90" s="85" t="str">
        <f t="shared" si="513"/>
        <v/>
      </c>
      <c r="JE90" s="85" t="str">
        <f t="shared" si="617"/>
        <v/>
      </c>
      <c r="JF90" s="84"/>
      <c r="JG90" s="85" t="str">
        <f t="shared" si="514"/>
        <v/>
      </c>
      <c r="JH90" s="85" t="str">
        <f t="shared" si="618"/>
        <v/>
      </c>
      <c r="JI90" s="84"/>
      <c r="JJ90" s="85" t="str">
        <f t="shared" si="515"/>
        <v/>
      </c>
      <c r="JK90" s="85" t="str">
        <f t="shared" si="619"/>
        <v/>
      </c>
      <c r="JL90" s="84"/>
      <c r="JM90" s="85" t="str">
        <f t="shared" si="516"/>
        <v/>
      </c>
      <c r="JN90" s="85" t="str">
        <f t="shared" si="620"/>
        <v/>
      </c>
      <c r="JO90" s="84"/>
      <c r="JP90" s="85" t="str">
        <f t="shared" si="517"/>
        <v/>
      </c>
      <c r="JQ90" s="85" t="str">
        <f t="shared" si="621"/>
        <v/>
      </c>
      <c r="JR90" s="84"/>
      <c r="JS90" s="85" t="str">
        <f t="shared" si="518"/>
        <v/>
      </c>
      <c r="JT90" s="85" t="str">
        <f t="shared" si="622"/>
        <v/>
      </c>
      <c r="JU90" s="84"/>
      <c r="JV90" s="85" t="str">
        <f t="shared" si="519"/>
        <v/>
      </c>
      <c r="JW90" s="85" t="str">
        <f t="shared" si="623"/>
        <v/>
      </c>
      <c r="JX90" s="84"/>
      <c r="JY90" s="85" t="str">
        <f t="shared" si="520"/>
        <v/>
      </c>
      <c r="JZ90" s="85" t="str">
        <f t="shared" si="624"/>
        <v/>
      </c>
      <c r="KA90" s="84"/>
      <c r="KB90" s="85" t="str">
        <f t="shared" si="521"/>
        <v/>
      </c>
      <c r="KC90" s="85" t="str">
        <f t="shared" si="625"/>
        <v/>
      </c>
      <c r="KD90" s="84"/>
      <c r="KE90" s="85" t="str">
        <f t="shared" si="522"/>
        <v/>
      </c>
      <c r="KF90" s="85" t="str">
        <f t="shared" si="626"/>
        <v/>
      </c>
      <c r="KG90" s="84"/>
      <c r="KH90" s="85" t="str">
        <f t="shared" si="523"/>
        <v/>
      </c>
      <c r="KI90" s="85" t="str">
        <f t="shared" si="627"/>
        <v/>
      </c>
      <c r="KJ90" s="84"/>
      <c r="KK90" s="85" t="str">
        <f t="shared" si="524"/>
        <v/>
      </c>
      <c r="KL90" s="85" t="str">
        <f t="shared" si="628"/>
        <v/>
      </c>
      <c r="KM90" s="84"/>
      <c r="KN90" s="85" t="str">
        <f t="shared" si="525"/>
        <v/>
      </c>
      <c r="KO90" s="85" t="str">
        <f t="shared" si="629"/>
        <v/>
      </c>
      <c r="KP90" s="84"/>
      <c r="KQ90" s="85" t="str">
        <f t="shared" si="526"/>
        <v/>
      </c>
      <c r="KR90" s="85" t="str">
        <f t="shared" si="630"/>
        <v/>
      </c>
      <c r="KS90" s="84"/>
      <c r="KT90" s="85" t="str">
        <f t="shared" si="527"/>
        <v/>
      </c>
      <c r="KU90" s="85" t="str">
        <f t="shared" si="631"/>
        <v/>
      </c>
      <c r="KV90" s="84"/>
      <c r="KW90" s="85" t="str">
        <f t="shared" si="528"/>
        <v/>
      </c>
      <c r="KX90" s="85" t="str">
        <f t="shared" si="632"/>
        <v/>
      </c>
      <c r="KY90" s="90"/>
      <c r="KZ90" s="85" t="str">
        <f t="shared" si="529"/>
        <v/>
      </c>
      <c r="LA90" s="85" t="str">
        <f t="shared" si="633"/>
        <v/>
      </c>
      <c r="LB90" s="50" t="str">
        <f t="shared" si="648"/>
        <v/>
      </c>
      <c r="LC90" s="57" t="str">
        <f t="shared" si="634"/>
        <v/>
      </c>
      <c r="LD90" s="50" t="str">
        <f t="shared" si="635"/>
        <v/>
      </c>
      <c r="LE90" s="57" t="str">
        <f t="shared" si="636"/>
        <v/>
      </c>
      <c r="LF90" s="50" t="str">
        <f t="shared" si="637"/>
        <v/>
      </c>
      <c r="LG90" s="57" t="str">
        <f t="shared" si="638"/>
        <v/>
      </c>
      <c r="LH90" s="58" t="str">
        <f t="shared" si="649"/>
        <v/>
      </c>
      <c r="LI90" s="58" t="str">
        <f t="shared" si="650"/>
        <v/>
      </c>
      <c r="LJ90" s="58" t="str">
        <f t="shared" si="651"/>
        <v/>
      </c>
      <c r="LK90" s="58" t="str">
        <f t="shared" si="639"/>
        <v/>
      </c>
      <c r="LL90" s="60" t="str">
        <f t="shared" si="640"/>
        <v/>
      </c>
      <c r="LM90" s="55"/>
      <c r="LN90" s="61" t="str">
        <f t="shared" si="653"/>
        <v/>
      </c>
      <c r="LO90" s="61" t="str">
        <f t="shared" si="652"/>
        <v/>
      </c>
      <c r="LP90" s="55"/>
      <c r="LQ90" s="55"/>
      <c r="LR90" s="55"/>
    </row>
    <row r="91" spans="1:348" s="63" customFormat="1" ht="15" customHeight="1">
      <c r="A91" s="50">
        <f t="shared" si="642"/>
        <v>0</v>
      </c>
      <c r="B91" s="50">
        <f t="shared" si="643"/>
        <v>0</v>
      </c>
      <c r="C91" s="77"/>
      <c r="D91" s="75"/>
      <c r="M91" s="54" t="s">
        <v>35</v>
      </c>
      <c r="N91" s="84"/>
      <c r="O91" s="85" t="str">
        <f t="shared" si="431"/>
        <v/>
      </c>
      <c r="P91" s="85" t="str">
        <f t="shared" si="534"/>
        <v/>
      </c>
      <c r="Q91" s="84"/>
      <c r="R91" s="85" t="str">
        <f t="shared" si="432"/>
        <v/>
      </c>
      <c r="S91" s="85" t="str">
        <f t="shared" si="535"/>
        <v/>
      </c>
      <c r="T91" s="84"/>
      <c r="U91" s="85" t="str">
        <f t="shared" si="433"/>
        <v/>
      </c>
      <c r="V91" s="85" t="str">
        <f t="shared" si="536"/>
        <v/>
      </c>
      <c r="W91" s="84"/>
      <c r="X91" s="85" t="str">
        <f t="shared" si="434"/>
        <v/>
      </c>
      <c r="Y91" s="85" t="str">
        <f t="shared" si="537"/>
        <v/>
      </c>
      <c r="Z91" s="84"/>
      <c r="AA91" s="85" t="str">
        <f t="shared" si="435"/>
        <v/>
      </c>
      <c r="AB91" s="85" t="str">
        <f t="shared" si="538"/>
        <v/>
      </c>
      <c r="AC91" s="84"/>
      <c r="AD91" s="85" t="str">
        <f t="shared" si="436"/>
        <v/>
      </c>
      <c r="AE91" s="85" t="str">
        <f t="shared" si="539"/>
        <v/>
      </c>
      <c r="AF91" s="84"/>
      <c r="AG91" s="85" t="str">
        <f t="shared" si="437"/>
        <v/>
      </c>
      <c r="AH91" s="85" t="str">
        <f t="shared" si="540"/>
        <v/>
      </c>
      <c r="AI91" s="84"/>
      <c r="AJ91" s="85" t="str">
        <f t="shared" si="438"/>
        <v/>
      </c>
      <c r="AK91" s="85" t="str">
        <f t="shared" si="541"/>
        <v/>
      </c>
      <c r="AL91" s="84"/>
      <c r="AM91" s="85" t="str">
        <f t="shared" si="439"/>
        <v/>
      </c>
      <c r="AN91" s="85" t="str">
        <f t="shared" si="542"/>
        <v/>
      </c>
      <c r="AO91" s="84"/>
      <c r="AP91" s="85" t="str">
        <f t="shared" si="440"/>
        <v/>
      </c>
      <c r="AQ91" s="85" t="str">
        <f t="shared" si="543"/>
        <v/>
      </c>
      <c r="AR91" s="84"/>
      <c r="AS91" s="85" t="str">
        <f t="shared" si="441"/>
        <v/>
      </c>
      <c r="AT91" s="85" t="str">
        <f t="shared" si="544"/>
        <v/>
      </c>
      <c r="AU91" s="84"/>
      <c r="AV91" s="85" t="str">
        <f t="shared" si="442"/>
        <v/>
      </c>
      <c r="AW91" s="85" t="str">
        <f t="shared" si="545"/>
        <v/>
      </c>
      <c r="AX91" s="84"/>
      <c r="AY91" s="85" t="str">
        <f t="shared" si="443"/>
        <v/>
      </c>
      <c r="AZ91" s="85" t="str">
        <f t="shared" si="546"/>
        <v/>
      </c>
      <c r="BA91" s="84"/>
      <c r="BB91" s="85" t="str">
        <f t="shared" si="444"/>
        <v/>
      </c>
      <c r="BC91" s="85" t="str">
        <f t="shared" si="547"/>
        <v/>
      </c>
      <c r="BD91" s="84"/>
      <c r="BE91" s="85" t="str">
        <f t="shared" si="445"/>
        <v/>
      </c>
      <c r="BF91" s="85" t="str">
        <f t="shared" si="548"/>
        <v/>
      </c>
      <c r="BG91" s="84"/>
      <c r="BH91" s="85" t="str">
        <f t="shared" si="446"/>
        <v/>
      </c>
      <c r="BI91" s="85" t="str">
        <f t="shared" si="549"/>
        <v/>
      </c>
      <c r="BJ91" s="84"/>
      <c r="BK91" s="85" t="str">
        <f t="shared" si="447"/>
        <v/>
      </c>
      <c r="BL91" s="85" t="str">
        <f t="shared" si="550"/>
        <v/>
      </c>
      <c r="BM91" s="84"/>
      <c r="BN91" s="85" t="str">
        <f t="shared" si="448"/>
        <v/>
      </c>
      <c r="BO91" s="85" t="str">
        <f t="shared" si="551"/>
        <v/>
      </c>
      <c r="BP91" s="87"/>
      <c r="BQ91" s="85" t="str">
        <f t="shared" si="449"/>
        <v/>
      </c>
      <c r="BR91" s="85" t="str">
        <f t="shared" si="552"/>
        <v/>
      </c>
      <c r="BS91" s="84"/>
      <c r="BT91" s="85" t="str">
        <f t="shared" si="450"/>
        <v/>
      </c>
      <c r="BU91" s="85" t="str">
        <f t="shared" si="553"/>
        <v/>
      </c>
      <c r="BV91" s="84"/>
      <c r="BW91" s="85" t="str">
        <f t="shared" si="451"/>
        <v/>
      </c>
      <c r="BX91" s="85" t="str">
        <f t="shared" si="554"/>
        <v/>
      </c>
      <c r="BY91" s="84"/>
      <c r="BZ91" s="85" t="str">
        <f t="shared" si="452"/>
        <v/>
      </c>
      <c r="CA91" s="85" t="str">
        <f t="shared" si="555"/>
        <v/>
      </c>
      <c r="CB91" s="84"/>
      <c r="CC91" s="85" t="str">
        <f t="shared" si="453"/>
        <v/>
      </c>
      <c r="CD91" s="85" t="str">
        <f t="shared" si="556"/>
        <v/>
      </c>
      <c r="CE91" s="84"/>
      <c r="CF91" s="85" t="str">
        <f t="shared" si="454"/>
        <v/>
      </c>
      <c r="CG91" s="85" t="str">
        <f t="shared" si="557"/>
        <v/>
      </c>
      <c r="CH91" s="84"/>
      <c r="CI91" s="85" t="str">
        <f t="shared" si="455"/>
        <v/>
      </c>
      <c r="CJ91" s="85" t="str">
        <f t="shared" si="558"/>
        <v/>
      </c>
      <c r="CK91" s="84"/>
      <c r="CL91" s="85" t="str">
        <f t="shared" si="456"/>
        <v/>
      </c>
      <c r="CM91" s="85" t="str">
        <f t="shared" si="559"/>
        <v/>
      </c>
      <c r="CN91" s="84"/>
      <c r="CO91" s="85" t="str">
        <f t="shared" si="457"/>
        <v/>
      </c>
      <c r="CP91" s="85" t="str">
        <f t="shared" si="560"/>
        <v/>
      </c>
      <c r="CQ91" s="84"/>
      <c r="CR91" s="85" t="str">
        <f t="shared" si="458"/>
        <v/>
      </c>
      <c r="CS91" s="85" t="str">
        <f t="shared" si="561"/>
        <v/>
      </c>
      <c r="CT91" s="84"/>
      <c r="CU91" s="85" t="str">
        <f t="shared" si="459"/>
        <v/>
      </c>
      <c r="CV91" s="85" t="str">
        <f t="shared" si="562"/>
        <v/>
      </c>
      <c r="CW91" s="84"/>
      <c r="CX91" s="85" t="str">
        <f t="shared" si="460"/>
        <v/>
      </c>
      <c r="CY91" s="85" t="str">
        <f t="shared" si="563"/>
        <v/>
      </c>
      <c r="CZ91" s="84"/>
      <c r="DA91" s="85" t="str">
        <f t="shared" si="461"/>
        <v/>
      </c>
      <c r="DB91" s="85" t="str">
        <f t="shared" si="564"/>
        <v/>
      </c>
      <c r="DC91" s="84"/>
      <c r="DD91" s="85" t="str">
        <f t="shared" si="462"/>
        <v/>
      </c>
      <c r="DE91" s="85" t="str">
        <f t="shared" si="565"/>
        <v/>
      </c>
      <c r="DF91" s="84"/>
      <c r="DG91" s="85"/>
      <c r="DH91" s="85" t="str">
        <f t="shared" si="566"/>
        <v/>
      </c>
      <c r="DI91" s="84"/>
      <c r="DJ91" s="85" t="str">
        <f t="shared" si="463"/>
        <v/>
      </c>
      <c r="DK91" s="85" t="str">
        <f t="shared" si="567"/>
        <v/>
      </c>
      <c r="DL91" s="84"/>
      <c r="DM91" s="85" t="str">
        <f t="shared" si="464"/>
        <v/>
      </c>
      <c r="DN91" s="85" t="str">
        <f t="shared" si="568"/>
        <v/>
      </c>
      <c r="DO91" s="84"/>
      <c r="DP91" s="85" t="str">
        <f t="shared" si="465"/>
        <v/>
      </c>
      <c r="DQ91" s="85" t="str">
        <f t="shared" si="569"/>
        <v/>
      </c>
      <c r="DR91" s="84"/>
      <c r="DS91" s="85" t="str">
        <f t="shared" si="466"/>
        <v/>
      </c>
      <c r="DT91" s="85" t="str">
        <f t="shared" si="570"/>
        <v/>
      </c>
      <c r="DU91" s="84"/>
      <c r="DV91" s="85" t="str">
        <f t="shared" si="467"/>
        <v/>
      </c>
      <c r="DW91" s="85" t="str">
        <f t="shared" si="571"/>
        <v/>
      </c>
      <c r="DX91" s="84"/>
      <c r="DY91" s="85" t="str">
        <f t="shared" si="468"/>
        <v/>
      </c>
      <c r="DZ91" s="85" t="str">
        <f t="shared" si="572"/>
        <v/>
      </c>
      <c r="EA91" s="84"/>
      <c r="EB91" s="85" t="str">
        <f t="shared" si="469"/>
        <v/>
      </c>
      <c r="EC91" s="85" t="str">
        <f t="shared" si="573"/>
        <v/>
      </c>
      <c r="ED91" s="84"/>
      <c r="EE91" s="85" t="str">
        <f t="shared" si="470"/>
        <v/>
      </c>
      <c r="EF91" s="85" t="str">
        <f t="shared" si="574"/>
        <v/>
      </c>
      <c r="EG91" s="84"/>
      <c r="EH91" s="85" t="str">
        <f t="shared" si="471"/>
        <v/>
      </c>
      <c r="EI91" s="85" t="str">
        <f t="shared" si="575"/>
        <v/>
      </c>
      <c r="EJ91" s="84"/>
      <c r="EK91" s="85" t="str">
        <f t="shared" si="472"/>
        <v/>
      </c>
      <c r="EL91" s="85" t="str">
        <f t="shared" si="576"/>
        <v/>
      </c>
      <c r="EM91" s="84"/>
      <c r="EN91" s="85" t="str">
        <f t="shared" si="473"/>
        <v/>
      </c>
      <c r="EO91" s="85" t="str">
        <f t="shared" si="577"/>
        <v/>
      </c>
      <c r="EP91" s="84"/>
      <c r="EQ91" s="85" t="str">
        <f t="shared" si="474"/>
        <v/>
      </c>
      <c r="ER91" s="85" t="str">
        <f t="shared" si="578"/>
        <v/>
      </c>
      <c r="ES91" s="87"/>
      <c r="ET91" s="85" t="str">
        <f t="shared" si="475"/>
        <v/>
      </c>
      <c r="EU91" s="85" t="str">
        <f t="shared" si="579"/>
        <v/>
      </c>
      <c r="EV91" s="84"/>
      <c r="EW91" s="85" t="str">
        <f t="shared" si="476"/>
        <v/>
      </c>
      <c r="EX91" s="85" t="str">
        <f t="shared" si="580"/>
        <v/>
      </c>
      <c r="EY91" s="84"/>
      <c r="EZ91" s="85" t="str">
        <f t="shared" si="477"/>
        <v/>
      </c>
      <c r="FA91" s="85" t="str">
        <f t="shared" si="581"/>
        <v/>
      </c>
      <c r="FB91" s="84"/>
      <c r="FC91" s="85" t="str">
        <f t="shared" si="478"/>
        <v/>
      </c>
      <c r="FD91" s="85" t="str">
        <f t="shared" si="582"/>
        <v/>
      </c>
      <c r="FE91" s="84"/>
      <c r="FF91" s="85" t="str">
        <f t="shared" si="479"/>
        <v/>
      </c>
      <c r="FG91" s="85" t="str">
        <f t="shared" si="583"/>
        <v/>
      </c>
      <c r="FH91" s="84"/>
      <c r="FI91" s="85" t="str">
        <f t="shared" si="480"/>
        <v/>
      </c>
      <c r="FJ91" s="85" t="str">
        <f t="shared" si="584"/>
        <v/>
      </c>
      <c r="FK91" s="84"/>
      <c r="FL91" s="85" t="str">
        <f t="shared" si="481"/>
        <v/>
      </c>
      <c r="FM91" s="85" t="str">
        <f t="shared" si="585"/>
        <v/>
      </c>
      <c r="FN91" s="84"/>
      <c r="FO91" s="85" t="str">
        <f t="shared" si="482"/>
        <v/>
      </c>
      <c r="FP91" s="85" t="str">
        <f t="shared" si="586"/>
        <v/>
      </c>
      <c r="FQ91" s="84"/>
      <c r="FR91" s="85" t="str">
        <f t="shared" si="483"/>
        <v/>
      </c>
      <c r="FS91" s="85" t="str">
        <f t="shared" si="587"/>
        <v/>
      </c>
      <c r="FT91" s="84"/>
      <c r="FU91" s="85" t="str">
        <f t="shared" si="484"/>
        <v/>
      </c>
      <c r="FV91" s="85" t="str">
        <f t="shared" si="588"/>
        <v/>
      </c>
      <c r="FW91" s="90"/>
      <c r="FX91" s="85" t="str">
        <f t="shared" si="485"/>
        <v/>
      </c>
      <c r="FY91" s="85" t="str">
        <f t="shared" si="589"/>
        <v/>
      </c>
      <c r="FZ91" s="84"/>
      <c r="GA91" s="85" t="str">
        <f t="shared" si="486"/>
        <v/>
      </c>
      <c r="GB91" s="85" t="str">
        <f t="shared" si="590"/>
        <v/>
      </c>
      <c r="GC91" s="84"/>
      <c r="GD91" s="85" t="str">
        <f t="shared" si="487"/>
        <v/>
      </c>
      <c r="GE91" s="85" t="str">
        <f t="shared" si="591"/>
        <v/>
      </c>
      <c r="GF91" s="84"/>
      <c r="GG91" s="85" t="str">
        <f t="shared" si="488"/>
        <v/>
      </c>
      <c r="GH91" s="85" t="str">
        <f t="shared" si="592"/>
        <v/>
      </c>
      <c r="GI91" s="84"/>
      <c r="GJ91" s="85" t="str">
        <f t="shared" si="489"/>
        <v/>
      </c>
      <c r="GK91" s="85" t="str">
        <f t="shared" si="593"/>
        <v/>
      </c>
      <c r="GL91" s="84"/>
      <c r="GM91" s="85" t="str">
        <f t="shared" si="490"/>
        <v/>
      </c>
      <c r="GN91" s="85" t="str">
        <f t="shared" si="594"/>
        <v/>
      </c>
      <c r="GO91" s="84"/>
      <c r="GP91" s="85" t="str">
        <f t="shared" si="491"/>
        <v/>
      </c>
      <c r="GQ91" s="85" t="str">
        <f t="shared" si="595"/>
        <v/>
      </c>
      <c r="GR91" s="84"/>
      <c r="GS91" s="85" t="str">
        <f t="shared" si="492"/>
        <v/>
      </c>
      <c r="GT91" s="85" t="str">
        <f t="shared" si="596"/>
        <v/>
      </c>
      <c r="GU91" s="84"/>
      <c r="GV91" s="85" t="str">
        <f t="shared" si="493"/>
        <v/>
      </c>
      <c r="GW91" s="85" t="str">
        <f t="shared" si="597"/>
        <v/>
      </c>
      <c r="GX91" s="84"/>
      <c r="GY91" s="85" t="str">
        <f t="shared" si="494"/>
        <v/>
      </c>
      <c r="GZ91" s="85" t="str">
        <f t="shared" si="598"/>
        <v/>
      </c>
      <c r="HA91" s="84"/>
      <c r="HB91" s="85" t="str">
        <f t="shared" si="495"/>
        <v/>
      </c>
      <c r="HC91" s="85" t="str">
        <f t="shared" si="599"/>
        <v/>
      </c>
      <c r="HD91" s="84"/>
      <c r="HE91" s="85" t="str">
        <f t="shared" si="496"/>
        <v/>
      </c>
      <c r="HF91" s="85" t="str">
        <f t="shared" si="600"/>
        <v/>
      </c>
      <c r="HG91" s="84"/>
      <c r="HH91" s="85" t="str">
        <f t="shared" si="497"/>
        <v/>
      </c>
      <c r="HI91" s="85" t="str">
        <f t="shared" si="601"/>
        <v/>
      </c>
      <c r="HJ91" s="84"/>
      <c r="HK91" s="85" t="str">
        <f t="shared" si="498"/>
        <v/>
      </c>
      <c r="HL91" s="85" t="str">
        <f t="shared" si="602"/>
        <v/>
      </c>
      <c r="HM91" s="84"/>
      <c r="HN91" s="85" t="str">
        <f t="shared" si="499"/>
        <v/>
      </c>
      <c r="HO91" s="85" t="str">
        <f t="shared" si="603"/>
        <v/>
      </c>
      <c r="HP91" s="84"/>
      <c r="HQ91" s="85" t="str">
        <f t="shared" si="500"/>
        <v/>
      </c>
      <c r="HR91" s="85" t="str">
        <f t="shared" si="604"/>
        <v/>
      </c>
      <c r="HS91" s="84"/>
      <c r="HT91" s="85" t="str">
        <f t="shared" si="501"/>
        <v/>
      </c>
      <c r="HU91" s="85" t="str">
        <f t="shared" si="605"/>
        <v/>
      </c>
      <c r="HV91" s="84"/>
      <c r="HW91" s="85" t="str">
        <f t="shared" si="502"/>
        <v/>
      </c>
      <c r="HX91" s="85" t="str">
        <f t="shared" si="606"/>
        <v/>
      </c>
      <c r="HY91" s="84"/>
      <c r="HZ91" s="85" t="str">
        <f t="shared" si="503"/>
        <v/>
      </c>
      <c r="IA91" s="85" t="str">
        <f t="shared" si="607"/>
        <v/>
      </c>
      <c r="IB91" s="84"/>
      <c r="IC91" s="85" t="str">
        <f t="shared" si="504"/>
        <v/>
      </c>
      <c r="ID91" s="85" t="str">
        <f t="shared" si="608"/>
        <v/>
      </c>
      <c r="IE91" s="84"/>
      <c r="IF91" s="85" t="str">
        <f t="shared" si="505"/>
        <v/>
      </c>
      <c r="IG91" s="85" t="str">
        <f t="shared" si="609"/>
        <v/>
      </c>
      <c r="IH91" s="84"/>
      <c r="II91" s="85" t="str">
        <f t="shared" si="506"/>
        <v/>
      </c>
      <c r="IJ91" s="85" t="str">
        <f t="shared" si="610"/>
        <v/>
      </c>
      <c r="IK91" s="84"/>
      <c r="IL91" s="85" t="str">
        <f t="shared" si="507"/>
        <v/>
      </c>
      <c r="IM91" s="85" t="str">
        <f t="shared" si="611"/>
        <v/>
      </c>
      <c r="IN91" s="84"/>
      <c r="IO91" s="85" t="str">
        <f t="shared" si="508"/>
        <v/>
      </c>
      <c r="IP91" s="85" t="str">
        <f t="shared" si="612"/>
        <v/>
      </c>
      <c r="IQ91" s="84"/>
      <c r="IR91" s="85" t="str">
        <f t="shared" si="509"/>
        <v/>
      </c>
      <c r="IS91" s="85" t="str">
        <f t="shared" si="613"/>
        <v/>
      </c>
      <c r="IT91" s="84"/>
      <c r="IU91" s="85" t="str">
        <f t="shared" si="510"/>
        <v/>
      </c>
      <c r="IV91" s="85" t="str">
        <f t="shared" si="614"/>
        <v/>
      </c>
      <c r="IW91" s="84"/>
      <c r="IX91" s="85" t="str">
        <f t="shared" si="511"/>
        <v/>
      </c>
      <c r="IY91" s="85" t="str">
        <f t="shared" si="615"/>
        <v/>
      </c>
      <c r="IZ91" s="84"/>
      <c r="JA91" s="85" t="str">
        <f t="shared" si="512"/>
        <v/>
      </c>
      <c r="JB91" s="85" t="str">
        <f t="shared" si="616"/>
        <v/>
      </c>
      <c r="JC91" s="84"/>
      <c r="JD91" s="85" t="str">
        <f t="shared" si="513"/>
        <v/>
      </c>
      <c r="JE91" s="85" t="str">
        <f t="shared" si="617"/>
        <v/>
      </c>
      <c r="JF91" s="84"/>
      <c r="JG91" s="85" t="str">
        <f t="shared" si="514"/>
        <v/>
      </c>
      <c r="JH91" s="85" t="str">
        <f t="shared" si="618"/>
        <v/>
      </c>
      <c r="JI91" s="84"/>
      <c r="JJ91" s="85" t="str">
        <f t="shared" si="515"/>
        <v/>
      </c>
      <c r="JK91" s="85" t="str">
        <f t="shared" si="619"/>
        <v/>
      </c>
      <c r="JL91" s="84"/>
      <c r="JM91" s="85" t="str">
        <f t="shared" si="516"/>
        <v/>
      </c>
      <c r="JN91" s="85" t="str">
        <f t="shared" si="620"/>
        <v/>
      </c>
      <c r="JO91" s="84"/>
      <c r="JP91" s="85" t="str">
        <f t="shared" si="517"/>
        <v/>
      </c>
      <c r="JQ91" s="85" t="str">
        <f t="shared" si="621"/>
        <v/>
      </c>
      <c r="JR91" s="84"/>
      <c r="JS91" s="85" t="str">
        <f t="shared" si="518"/>
        <v/>
      </c>
      <c r="JT91" s="85" t="str">
        <f t="shared" si="622"/>
        <v/>
      </c>
      <c r="JU91" s="84"/>
      <c r="JV91" s="85" t="str">
        <f t="shared" si="519"/>
        <v/>
      </c>
      <c r="JW91" s="85" t="str">
        <f t="shared" si="623"/>
        <v/>
      </c>
      <c r="JX91" s="84"/>
      <c r="JY91" s="85" t="str">
        <f t="shared" si="520"/>
        <v/>
      </c>
      <c r="JZ91" s="85" t="str">
        <f t="shared" si="624"/>
        <v/>
      </c>
      <c r="KA91" s="84"/>
      <c r="KB91" s="85" t="str">
        <f t="shared" si="521"/>
        <v/>
      </c>
      <c r="KC91" s="85" t="str">
        <f t="shared" si="625"/>
        <v/>
      </c>
      <c r="KD91" s="84"/>
      <c r="KE91" s="85" t="str">
        <f t="shared" si="522"/>
        <v/>
      </c>
      <c r="KF91" s="85" t="str">
        <f t="shared" si="626"/>
        <v/>
      </c>
      <c r="KG91" s="84"/>
      <c r="KH91" s="85" t="str">
        <f t="shared" si="523"/>
        <v/>
      </c>
      <c r="KI91" s="85" t="str">
        <f t="shared" si="627"/>
        <v/>
      </c>
      <c r="KJ91" s="84"/>
      <c r="KK91" s="85" t="str">
        <f t="shared" si="524"/>
        <v/>
      </c>
      <c r="KL91" s="85" t="str">
        <f t="shared" si="628"/>
        <v/>
      </c>
      <c r="KM91" s="84"/>
      <c r="KN91" s="85" t="str">
        <f t="shared" si="525"/>
        <v/>
      </c>
      <c r="KO91" s="85" t="str">
        <f t="shared" si="629"/>
        <v/>
      </c>
      <c r="KP91" s="84"/>
      <c r="KQ91" s="85" t="str">
        <f t="shared" si="526"/>
        <v/>
      </c>
      <c r="KR91" s="85" t="str">
        <f t="shared" si="630"/>
        <v/>
      </c>
      <c r="KS91" s="84"/>
      <c r="KT91" s="85" t="str">
        <f t="shared" si="527"/>
        <v/>
      </c>
      <c r="KU91" s="85" t="str">
        <f t="shared" si="631"/>
        <v/>
      </c>
      <c r="KV91" s="84"/>
      <c r="KW91" s="85" t="str">
        <f t="shared" si="528"/>
        <v/>
      </c>
      <c r="KX91" s="85" t="str">
        <f t="shared" si="632"/>
        <v/>
      </c>
      <c r="KY91" s="90"/>
      <c r="KZ91" s="85" t="str">
        <f t="shared" si="529"/>
        <v/>
      </c>
      <c r="LA91" s="85" t="str">
        <f t="shared" si="633"/>
        <v/>
      </c>
      <c r="LB91" s="50" t="str">
        <f t="shared" si="648"/>
        <v/>
      </c>
      <c r="LC91" s="57" t="str">
        <f t="shared" si="634"/>
        <v/>
      </c>
      <c r="LD91" s="50" t="str">
        <f t="shared" si="635"/>
        <v/>
      </c>
      <c r="LE91" s="57" t="str">
        <f t="shared" si="636"/>
        <v/>
      </c>
      <c r="LF91" s="50" t="str">
        <f t="shared" si="637"/>
        <v/>
      </c>
      <c r="LG91" s="57" t="str">
        <f t="shared" si="638"/>
        <v/>
      </c>
      <c r="LH91" s="58" t="str">
        <f t="shared" si="649"/>
        <v/>
      </c>
      <c r="LI91" s="58" t="str">
        <f t="shared" si="650"/>
        <v/>
      </c>
      <c r="LJ91" s="58" t="str">
        <f t="shared" si="651"/>
        <v/>
      </c>
      <c r="LK91" s="58" t="str">
        <f t="shared" si="639"/>
        <v/>
      </c>
      <c r="LL91" s="60" t="str">
        <f t="shared" si="640"/>
        <v/>
      </c>
      <c r="LM91" s="55"/>
      <c r="LN91" s="61" t="str">
        <f t="shared" si="653"/>
        <v/>
      </c>
      <c r="LO91" s="61" t="str">
        <f t="shared" si="652"/>
        <v/>
      </c>
      <c r="LP91" s="55"/>
      <c r="LQ91" s="55"/>
      <c r="LR91" s="55"/>
    </row>
    <row r="92" spans="1:348" s="63" customFormat="1" ht="15" customHeight="1">
      <c r="A92" s="50">
        <f t="shared" si="642"/>
        <v>0</v>
      </c>
      <c r="B92" s="50">
        <f t="shared" si="643"/>
        <v>0</v>
      </c>
      <c r="C92" s="77"/>
      <c r="D92" s="75"/>
      <c r="M92" s="54" t="s">
        <v>35</v>
      </c>
      <c r="N92" s="84"/>
      <c r="O92" s="85" t="str">
        <f t="shared" si="431"/>
        <v/>
      </c>
      <c r="P92" s="85" t="str">
        <f t="shared" si="534"/>
        <v/>
      </c>
      <c r="Q92" s="84"/>
      <c r="R92" s="85" t="str">
        <f t="shared" si="432"/>
        <v/>
      </c>
      <c r="S92" s="85" t="str">
        <f t="shared" si="535"/>
        <v/>
      </c>
      <c r="T92" s="84"/>
      <c r="U92" s="85" t="str">
        <f t="shared" si="433"/>
        <v/>
      </c>
      <c r="V92" s="85" t="str">
        <f t="shared" si="536"/>
        <v/>
      </c>
      <c r="W92" s="84"/>
      <c r="X92" s="85" t="str">
        <f t="shared" si="434"/>
        <v/>
      </c>
      <c r="Y92" s="85" t="str">
        <f t="shared" si="537"/>
        <v/>
      </c>
      <c r="Z92" s="84"/>
      <c r="AA92" s="85" t="str">
        <f t="shared" si="435"/>
        <v/>
      </c>
      <c r="AB92" s="85" t="str">
        <f t="shared" si="538"/>
        <v/>
      </c>
      <c r="AC92" s="84"/>
      <c r="AD92" s="85" t="str">
        <f t="shared" si="436"/>
        <v/>
      </c>
      <c r="AE92" s="85" t="str">
        <f t="shared" si="539"/>
        <v/>
      </c>
      <c r="AF92" s="84"/>
      <c r="AG92" s="85" t="str">
        <f t="shared" si="437"/>
        <v/>
      </c>
      <c r="AH92" s="85" t="str">
        <f t="shared" si="540"/>
        <v/>
      </c>
      <c r="AI92" s="84"/>
      <c r="AJ92" s="85" t="str">
        <f t="shared" si="438"/>
        <v/>
      </c>
      <c r="AK92" s="85" t="str">
        <f t="shared" si="541"/>
        <v/>
      </c>
      <c r="AL92" s="84"/>
      <c r="AM92" s="85" t="str">
        <f t="shared" si="439"/>
        <v/>
      </c>
      <c r="AN92" s="85" t="str">
        <f t="shared" si="542"/>
        <v/>
      </c>
      <c r="AO92" s="84"/>
      <c r="AP92" s="85" t="str">
        <f t="shared" si="440"/>
        <v/>
      </c>
      <c r="AQ92" s="85" t="str">
        <f t="shared" si="543"/>
        <v/>
      </c>
      <c r="AR92" s="84"/>
      <c r="AS92" s="85" t="str">
        <f t="shared" si="441"/>
        <v/>
      </c>
      <c r="AT92" s="85" t="str">
        <f t="shared" si="544"/>
        <v/>
      </c>
      <c r="AU92" s="84"/>
      <c r="AV92" s="85" t="str">
        <f t="shared" si="442"/>
        <v/>
      </c>
      <c r="AW92" s="85" t="str">
        <f t="shared" si="545"/>
        <v/>
      </c>
      <c r="AX92" s="84"/>
      <c r="AY92" s="85" t="str">
        <f t="shared" si="443"/>
        <v/>
      </c>
      <c r="AZ92" s="85" t="str">
        <f t="shared" si="546"/>
        <v/>
      </c>
      <c r="BA92" s="84"/>
      <c r="BB92" s="85" t="str">
        <f t="shared" si="444"/>
        <v/>
      </c>
      <c r="BC92" s="85" t="str">
        <f t="shared" si="547"/>
        <v/>
      </c>
      <c r="BD92" s="84"/>
      <c r="BE92" s="85" t="str">
        <f t="shared" si="445"/>
        <v/>
      </c>
      <c r="BF92" s="85" t="str">
        <f t="shared" si="548"/>
        <v/>
      </c>
      <c r="BG92" s="84"/>
      <c r="BH92" s="85" t="str">
        <f t="shared" si="446"/>
        <v/>
      </c>
      <c r="BI92" s="85" t="str">
        <f t="shared" si="549"/>
        <v/>
      </c>
      <c r="BJ92" s="84"/>
      <c r="BK92" s="85" t="str">
        <f t="shared" si="447"/>
        <v/>
      </c>
      <c r="BL92" s="85" t="str">
        <f t="shared" si="550"/>
        <v/>
      </c>
      <c r="BM92" s="84"/>
      <c r="BN92" s="85" t="str">
        <f t="shared" si="448"/>
        <v/>
      </c>
      <c r="BO92" s="85" t="str">
        <f t="shared" si="551"/>
        <v/>
      </c>
      <c r="BP92" s="87"/>
      <c r="BQ92" s="85" t="str">
        <f t="shared" si="449"/>
        <v/>
      </c>
      <c r="BR92" s="85" t="str">
        <f t="shared" si="552"/>
        <v/>
      </c>
      <c r="BS92" s="84"/>
      <c r="BT92" s="85" t="str">
        <f t="shared" si="450"/>
        <v/>
      </c>
      <c r="BU92" s="85" t="str">
        <f t="shared" si="553"/>
        <v/>
      </c>
      <c r="BV92" s="84"/>
      <c r="BW92" s="85" t="str">
        <f t="shared" si="451"/>
        <v/>
      </c>
      <c r="BX92" s="85" t="str">
        <f t="shared" si="554"/>
        <v/>
      </c>
      <c r="BY92" s="84"/>
      <c r="BZ92" s="85" t="str">
        <f t="shared" si="452"/>
        <v/>
      </c>
      <c r="CA92" s="85" t="str">
        <f t="shared" si="555"/>
        <v/>
      </c>
      <c r="CB92" s="84"/>
      <c r="CC92" s="85" t="str">
        <f t="shared" si="453"/>
        <v/>
      </c>
      <c r="CD92" s="85" t="str">
        <f t="shared" si="556"/>
        <v/>
      </c>
      <c r="CE92" s="84"/>
      <c r="CF92" s="85" t="str">
        <f t="shared" si="454"/>
        <v/>
      </c>
      <c r="CG92" s="85" t="str">
        <f t="shared" si="557"/>
        <v/>
      </c>
      <c r="CH92" s="84"/>
      <c r="CI92" s="85" t="str">
        <f t="shared" si="455"/>
        <v/>
      </c>
      <c r="CJ92" s="85" t="str">
        <f t="shared" si="558"/>
        <v/>
      </c>
      <c r="CK92" s="84"/>
      <c r="CL92" s="85" t="str">
        <f t="shared" si="456"/>
        <v/>
      </c>
      <c r="CM92" s="85" t="str">
        <f t="shared" si="559"/>
        <v/>
      </c>
      <c r="CN92" s="84"/>
      <c r="CO92" s="85" t="str">
        <f t="shared" si="457"/>
        <v/>
      </c>
      <c r="CP92" s="85" t="str">
        <f t="shared" si="560"/>
        <v/>
      </c>
      <c r="CQ92" s="84"/>
      <c r="CR92" s="85" t="str">
        <f t="shared" si="458"/>
        <v/>
      </c>
      <c r="CS92" s="85" t="str">
        <f t="shared" si="561"/>
        <v/>
      </c>
      <c r="CT92" s="84"/>
      <c r="CU92" s="85" t="str">
        <f t="shared" si="459"/>
        <v/>
      </c>
      <c r="CV92" s="85" t="str">
        <f t="shared" si="562"/>
        <v/>
      </c>
      <c r="CW92" s="84"/>
      <c r="CX92" s="85" t="str">
        <f t="shared" si="460"/>
        <v/>
      </c>
      <c r="CY92" s="85" t="str">
        <f t="shared" si="563"/>
        <v/>
      </c>
      <c r="CZ92" s="84"/>
      <c r="DA92" s="85" t="str">
        <f t="shared" si="461"/>
        <v/>
      </c>
      <c r="DB92" s="85" t="str">
        <f t="shared" si="564"/>
        <v/>
      </c>
      <c r="DC92" s="84"/>
      <c r="DD92" s="85" t="str">
        <f t="shared" si="462"/>
        <v/>
      </c>
      <c r="DE92" s="85" t="str">
        <f t="shared" si="565"/>
        <v/>
      </c>
      <c r="DF92" s="84"/>
      <c r="DG92" s="85"/>
      <c r="DH92" s="85" t="str">
        <f t="shared" si="566"/>
        <v/>
      </c>
      <c r="DI92" s="84"/>
      <c r="DJ92" s="85" t="str">
        <f t="shared" si="463"/>
        <v/>
      </c>
      <c r="DK92" s="85" t="str">
        <f t="shared" si="567"/>
        <v/>
      </c>
      <c r="DL92" s="84"/>
      <c r="DM92" s="85" t="str">
        <f t="shared" si="464"/>
        <v/>
      </c>
      <c r="DN92" s="85" t="str">
        <f t="shared" si="568"/>
        <v/>
      </c>
      <c r="DO92" s="84"/>
      <c r="DP92" s="85" t="str">
        <f t="shared" si="465"/>
        <v/>
      </c>
      <c r="DQ92" s="85" t="str">
        <f t="shared" si="569"/>
        <v/>
      </c>
      <c r="DR92" s="84"/>
      <c r="DS92" s="85" t="str">
        <f t="shared" si="466"/>
        <v/>
      </c>
      <c r="DT92" s="85" t="str">
        <f t="shared" si="570"/>
        <v/>
      </c>
      <c r="DU92" s="84"/>
      <c r="DV92" s="85" t="str">
        <f t="shared" si="467"/>
        <v/>
      </c>
      <c r="DW92" s="85" t="str">
        <f t="shared" si="571"/>
        <v/>
      </c>
      <c r="DX92" s="84"/>
      <c r="DY92" s="85" t="str">
        <f t="shared" si="468"/>
        <v/>
      </c>
      <c r="DZ92" s="85" t="str">
        <f t="shared" si="572"/>
        <v/>
      </c>
      <c r="EA92" s="84"/>
      <c r="EB92" s="85" t="str">
        <f t="shared" si="469"/>
        <v/>
      </c>
      <c r="EC92" s="85" t="str">
        <f t="shared" si="573"/>
        <v/>
      </c>
      <c r="ED92" s="84"/>
      <c r="EE92" s="85" t="str">
        <f t="shared" si="470"/>
        <v/>
      </c>
      <c r="EF92" s="85" t="str">
        <f t="shared" si="574"/>
        <v/>
      </c>
      <c r="EG92" s="84"/>
      <c r="EH92" s="85" t="str">
        <f t="shared" si="471"/>
        <v/>
      </c>
      <c r="EI92" s="85" t="str">
        <f t="shared" si="575"/>
        <v/>
      </c>
      <c r="EJ92" s="84"/>
      <c r="EK92" s="85" t="str">
        <f t="shared" si="472"/>
        <v/>
      </c>
      <c r="EL92" s="85" t="str">
        <f t="shared" si="576"/>
        <v/>
      </c>
      <c r="EM92" s="84"/>
      <c r="EN92" s="85" t="str">
        <f t="shared" si="473"/>
        <v/>
      </c>
      <c r="EO92" s="85" t="str">
        <f t="shared" si="577"/>
        <v/>
      </c>
      <c r="EP92" s="84"/>
      <c r="EQ92" s="85" t="str">
        <f t="shared" si="474"/>
        <v/>
      </c>
      <c r="ER92" s="85" t="str">
        <f t="shared" si="578"/>
        <v/>
      </c>
      <c r="ES92" s="87"/>
      <c r="ET92" s="85" t="str">
        <f t="shared" si="475"/>
        <v/>
      </c>
      <c r="EU92" s="85" t="str">
        <f t="shared" si="579"/>
        <v/>
      </c>
      <c r="EV92" s="84"/>
      <c r="EW92" s="85" t="str">
        <f t="shared" si="476"/>
        <v/>
      </c>
      <c r="EX92" s="85" t="str">
        <f t="shared" si="580"/>
        <v/>
      </c>
      <c r="EY92" s="84"/>
      <c r="EZ92" s="85" t="str">
        <f t="shared" si="477"/>
        <v/>
      </c>
      <c r="FA92" s="85" t="str">
        <f t="shared" si="581"/>
        <v/>
      </c>
      <c r="FB92" s="84"/>
      <c r="FC92" s="85" t="str">
        <f t="shared" si="478"/>
        <v/>
      </c>
      <c r="FD92" s="85" t="str">
        <f t="shared" si="582"/>
        <v/>
      </c>
      <c r="FE92" s="84"/>
      <c r="FF92" s="85" t="str">
        <f t="shared" si="479"/>
        <v/>
      </c>
      <c r="FG92" s="85" t="str">
        <f t="shared" si="583"/>
        <v/>
      </c>
      <c r="FH92" s="84"/>
      <c r="FI92" s="85" t="str">
        <f t="shared" si="480"/>
        <v/>
      </c>
      <c r="FJ92" s="85" t="str">
        <f t="shared" si="584"/>
        <v/>
      </c>
      <c r="FK92" s="84"/>
      <c r="FL92" s="85" t="str">
        <f t="shared" si="481"/>
        <v/>
      </c>
      <c r="FM92" s="85" t="str">
        <f t="shared" si="585"/>
        <v/>
      </c>
      <c r="FN92" s="84"/>
      <c r="FO92" s="85" t="str">
        <f t="shared" si="482"/>
        <v/>
      </c>
      <c r="FP92" s="85" t="str">
        <f t="shared" si="586"/>
        <v/>
      </c>
      <c r="FQ92" s="84"/>
      <c r="FR92" s="85" t="str">
        <f t="shared" si="483"/>
        <v/>
      </c>
      <c r="FS92" s="85" t="str">
        <f t="shared" si="587"/>
        <v/>
      </c>
      <c r="FT92" s="84"/>
      <c r="FU92" s="85" t="str">
        <f t="shared" si="484"/>
        <v/>
      </c>
      <c r="FV92" s="85" t="str">
        <f t="shared" si="588"/>
        <v/>
      </c>
      <c r="FW92" s="90"/>
      <c r="FX92" s="85" t="str">
        <f t="shared" si="485"/>
        <v/>
      </c>
      <c r="FY92" s="85" t="str">
        <f t="shared" si="589"/>
        <v/>
      </c>
      <c r="FZ92" s="84"/>
      <c r="GA92" s="85" t="str">
        <f t="shared" si="486"/>
        <v/>
      </c>
      <c r="GB92" s="85" t="str">
        <f t="shared" si="590"/>
        <v/>
      </c>
      <c r="GC92" s="84"/>
      <c r="GD92" s="85" t="str">
        <f t="shared" si="487"/>
        <v/>
      </c>
      <c r="GE92" s="85" t="str">
        <f t="shared" si="591"/>
        <v/>
      </c>
      <c r="GF92" s="84"/>
      <c r="GG92" s="85" t="str">
        <f t="shared" si="488"/>
        <v/>
      </c>
      <c r="GH92" s="85" t="str">
        <f t="shared" si="592"/>
        <v/>
      </c>
      <c r="GI92" s="84"/>
      <c r="GJ92" s="85" t="str">
        <f t="shared" si="489"/>
        <v/>
      </c>
      <c r="GK92" s="85" t="str">
        <f t="shared" si="593"/>
        <v/>
      </c>
      <c r="GL92" s="84"/>
      <c r="GM92" s="85" t="str">
        <f t="shared" si="490"/>
        <v/>
      </c>
      <c r="GN92" s="85" t="str">
        <f t="shared" si="594"/>
        <v/>
      </c>
      <c r="GO92" s="84"/>
      <c r="GP92" s="85" t="str">
        <f t="shared" si="491"/>
        <v/>
      </c>
      <c r="GQ92" s="85" t="str">
        <f t="shared" si="595"/>
        <v/>
      </c>
      <c r="GR92" s="84"/>
      <c r="GS92" s="85" t="str">
        <f t="shared" si="492"/>
        <v/>
      </c>
      <c r="GT92" s="85" t="str">
        <f t="shared" si="596"/>
        <v/>
      </c>
      <c r="GU92" s="84"/>
      <c r="GV92" s="85" t="str">
        <f t="shared" si="493"/>
        <v/>
      </c>
      <c r="GW92" s="85" t="str">
        <f t="shared" si="597"/>
        <v/>
      </c>
      <c r="GX92" s="84"/>
      <c r="GY92" s="85" t="str">
        <f t="shared" si="494"/>
        <v/>
      </c>
      <c r="GZ92" s="85" t="str">
        <f t="shared" si="598"/>
        <v/>
      </c>
      <c r="HA92" s="84"/>
      <c r="HB92" s="85" t="str">
        <f t="shared" si="495"/>
        <v/>
      </c>
      <c r="HC92" s="85" t="str">
        <f t="shared" si="599"/>
        <v/>
      </c>
      <c r="HD92" s="84"/>
      <c r="HE92" s="85" t="str">
        <f t="shared" si="496"/>
        <v/>
      </c>
      <c r="HF92" s="85" t="str">
        <f t="shared" si="600"/>
        <v/>
      </c>
      <c r="HG92" s="84"/>
      <c r="HH92" s="85" t="str">
        <f t="shared" si="497"/>
        <v/>
      </c>
      <c r="HI92" s="85" t="str">
        <f t="shared" si="601"/>
        <v/>
      </c>
      <c r="HJ92" s="84"/>
      <c r="HK92" s="85" t="str">
        <f t="shared" si="498"/>
        <v/>
      </c>
      <c r="HL92" s="85" t="str">
        <f t="shared" si="602"/>
        <v/>
      </c>
      <c r="HM92" s="84"/>
      <c r="HN92" s="85" t="str">
        <f t="shared" si="499"/>
        <v/>
      </c>
      <c r="HO92" s="85" t="str">
        <f t="shared" si="603"/>
        <v/>
      </c>
      <c r="HP92" s="84"/>
      <c r="HQ92" s="85" t="str">
        <f t="shared" si="500"/>
        <v/>
      </c>
      <c r="HR92" s="85" t="str">
        <f t="shared" si="604"/>
        <v/>
      </c>
      <c r="HS92" s="84"/>
      <c r="HT92" s="85" t="str">
        <f t="shared" si="501"/>
        <v/>
      </c>
      <c r="HU92" s="85" t="str">
        <f t="shared" si="605"/>
        <v/>
      </c>
      <c r="HV92" s="84"/>
      <c r="HW92" s="85" t="str">
        <f t="shared" si="502"/>
        <v/>
      </c>
      <c r="HX92" s="85" t="str">
        <f t="shared" si="606"/>
        <v/>
      </c>
      <c r="HY92" s="84"/>
      <c r="HZ92" s="85" t="str">
        <f t="shared" si="503"/>
        <v/>
      </c>
      <c r="IA92" s="85" t="str">
        <f t="shared" si="607"/>
        <v/>
      </c>
      <c r="IB92" s="84"/>
      <c r="IC92" s="85" t="str">
        <f t="shared" si="504"/>
        <v/>
      </c>
      <c r="ID92" s="85" t="str">
        <f t="shared" si="608"/>
        <v/>
      </c>
      <c r="IE92" s="84"/>
      <c r="IF92" s="85" t="str">
        <f t="shared" si="505"/>
        <v/>
      </c>
      <c r="IG92" s="85" t="str">
        <f t="shared" si="609"/>
        <v/>
      </c>
      <c r="IH92" s="84"/>
      <c r="II92" s="85" t="str">
        <f t="shared" si="506"/>
        <v/>
      </c>
      <c r="IJ92" s="85" t="str">
        <f t="shared" si="610"/>
        <v/>
      </c>
      <c r="IK92" s="84"/>
      <c r="IL92" s="85" t="str">
        <f t="shared" si="507"/>
        <v/>
      </c>
      <c r="IM92" s="85" t="str">
        <f t="shared" si="611"/>
        <v/>
      </c>
      <c r="IN92" s="84"/>
      <c r="IO92" s="85" t="str">
        <f t="shared" si="508"/>
        <v/>
      </c>
      <c r="IP92" s="85" t="str">
        <f t="shared" si="612"/>
        <v/>
      </c>
      <c r="IQ92" s="84"/>
      <c r="IR92" s="85" t="str">
        <f t="shared" si="509"/>
        <v/>
      </c>
      <c r="IS92" s="85" t="str">
        <f t="shared" si="613"/>
        <v/>
      </c>
      <c r="IT92" s="84"/>
      <c r="IU92" s="85" t="str">
        <f t="shared" si="510"/>
        <v/>
      </c>
      <c r="IV92" s="85" t="str">
        <f t="shared" si="614"/>
        <v/>
      </c>
      <c r="IW92" s="84"/>
      <c r="IX92" s="85" t="str">
        <f t="shared" si="511"/>
        <v/>
      </c>
      <c r="IY92" s="85" t="str">
        <f t="shared" si="615"/>
        <v/>
      </c>
      <c r="IZ92" s="84"/>
      <c r="JA92" s="85" t="str">
        <f t="shared" si="512"/>
        <v/>
      </c>
      <c r="JB92" s="85" t="str">
        <f t="shared" si="616"/>
        <v/>
      </c>
      <c r="JC92" s="84"/>
      <c r="JD92" s="85" t="str">
        <f t="shared" si="513"/>
        <v/>
      </c>
      <c r="JE92" s="85" t="str">
        <f t="shared" si="617"/>
        <v/>
      </c>
      <c r="JF92" s="84"/>
      <c r="JG92" s="85" t="str">
        <f t="shared" si="514"/>
        <v/>
      </c>
      <c r="JH92" s="85" t="str">
        <f t="shared" si="618"/>
        <v/>
      </c>
      <c r="JI92" s="84"/>
      <c r="JJ92" s="85" t="str">
        <f t="shared" si="515"/>
        <v/>
      </c>
      <c r="JK92" s="85" t="str">
        <f t="shared" si="619"/>
        <v/>
      </c>
      <c r="JL92" s="84"/>
      <c r="JM92" s="85" t="str">
        <f t="shared" si="516"/>
        <v/>
      </c>
      <c r="JN92" s="85" t="str">
        <f t="shared" si="620"/>
        <v/>
      </c>
      <c r="JO92" s="84"/>
      <c r="JP92" s="85" t="str">
        <f t="shared" si="517"/>
        <v/>
      </c>
      <c r="JQ92" s="85" t="str">
        <f t="shared" si="621"/>
        <v/>
      </c>
      <c r="JR92" s="84"/>
      <c r="JS92" s="85" t="str">
        <f t="shared" si="518"/>
        <v/>
      </c>
      <c r="JT92" s="85" t="str">
        <f t="shared" si="622"/>
        <v/>
      </c>
      <c r="JU92" s="84"/>
      <c r="JV92" s="85" t="str">
        <f t="shared" si="519"/>
        <v/>
      </c>
      <c r="JW92" s="85" t="str">
        <f t="shared" si="623"/>
        <v/>
      </c>
      <c r="JX92" s="84"/>
      <c r="JY92" s="85" t="str">
        <f t="shared" si="520"/>
        <v/>
      </c>
      <c r="JZ92" s="85" t="str">
        <f t="shared" si="624"/>
        <v/>
      </c>
      <c r="KA92" s="84"/>
      <c r="KB92" s="85" t="str">
        <f t="shared" si="521"/>
        <v/>
      </c>
      <c r="KC92" s="85" t="str">
        <f t="shared" si="625"/>
        <v/>
      </c>
      <c r="KD92" s="84"/>
      <c r="KE92" s="85" t="str">
        <f t="shared" si="522"/>
        <v/>
      </c>
      <c r="KF92" s="85" t="str">
        <f t="shared" si="626"/>
        <v/>
      </c>
      <c r="KG92" s="84"/>
      <c r="KH92" s="85" t="str">
        <f t="shared" si="523"/>
        <v/>
      </c>
      <c r="KI92" s="85" t="str">
        <f t="shared" si="627"/>
        <v/>
      </c>
      <c r="KJ92" s="84"/>
      <c r="KK92" s="85" t="str">
        <f t="shared" si="524"/>
        <v/>
      </c>
      <c r="KL92" s="85" t="str">
        <f t="shared" si="628"/>
        <v/>
      </c>
      <c r="KM92" s="84"/>
      <c r="KN92" s="85" t="str">
        <f t="shared" si="525"/>
        <v/>
      </c>
      <c r="KO92" s="85" t="str">
        <f t="shared" si="629"/>
        <v/>
      </c>
      <c r="KP92" s="84"/>
      <c r="KQ92" s="85" t="str">
        <f t="shared" si="526"/>
        <v/>
      </c>
      <c r="KR92" s="85" t="str">
        <f t="shared" si="630"/>
        <v/>
      </c>
      <c r="KS92" s="84"/>
      <c r="KT92" s="85" t="str">
        <f t="shared" si="527"/>
        <v/>
      </c>
      <c r="KU92" s="85" t="str">
        <f t="shared" si="631"/>
        <v/>
      </c>
      <c r="KV92" s="84"/>
      <c r="KW92" s="85" t="str">
        <f t="shared" si="528"/>
        <v/>
      </c>
      <c r="KX92" s="85" t="str">
        <f t="shared" si="632"/>
        <v/>
      </c>
      <c r="KY92" s="90"/>
      <c r="KZ92" s="85" t="str">
        <f t="shared" si="529"/>
        <v/>
      </c>
      <c r="LA92" s="85" t="str">
        <f t="shared" si="633"/>
        <v/>
      </c>
      <c r="LB92" s="50" t="str">
        <f t="shared" si="648"/>
        <v/>
      </c>
      <c r="LC92" s="57" t="str">
        <f t="shared" si="634"/>
        <v/>
      </c>
      <c r="LD92" s="50" t="str">
        <f t="shared" si="635"/>
        <v/>
      </c>
      <c r="LE92" s="57" t="str">
        <f t="shared" si="636"/>
        <v/>
      </c>
      <c r="LF92" s="50" t="str">
        <f t="shared" si="637"/>
        <v/>
      </c>
      <c r="LG92" s="57" t="str">
        <f t="shared" si="638"/>
        <v/>
      </c>
      <c r="LH92" s="58" t="str">
        <f t="shared" si="649"/>
        <v/>
      </c>
      <c r="LI92" s="58" t="str">
        <f t="shared" si="650"/>
        <v/>
      </c>
      <c r="LJ92" s="58" t="str">
        <f t="shared" si="651"/>
        <v/>
      </c>
      <c r="LK92" s="58" t="str">
        <f t="shared" si="639"/>
        <v/>
      </c>
      <c r="LL92" s="60" t="str">
        <f t="shared" si="640"/>
        <v/>
      </c>
      <c r="LM92" s="55"/>
      <c r="LN92" s="61" t="str">
        <f t="shared" si="653"/>
        <v/>
      </c>
      <c r="LO92" s="61" t="str">
        <f t="shared" si="652"/>
        <v/>
      </c>
      <c r="LP92" s="55"/>
      <c r="LQ92" s="55"/>
      <c r="LR92" s="55"/>
    </row>
    <row r="93" spans="1:348" s="12" customFormat="1">
      <c r="A93" s="50">
        <f t="shared" si="642"/>
        <v>0</v>
      </c>
      <c r="B93" s="50">
        <f t="shared" si="643"/>
        <v>0</v>
      </c>
      <c r="C93" s="77"/>
      <c r="D93" s="75"/>
      <c r="E93" s="63"/>
      <c r="F93" s="63"/>
      <c r="G93" s="63"/>
      <c r="H93" s="63"/>
      <c r="I93" s="63"/>
      <c r="J93" s="63"/>
      <c r="K93" s="63"/>
      <c r="L93" s="63"/>
      <c r="M93" s="54" t="s">
        <v>35</v>
      </c>
      <c r="N93" s="84"/>
      <c r="O93" s="85" t="str">
        <f t="shared" si="431"/>
        <v/>
      </c>
      <c r="P93" s="85" t="str">
        <f t="shared" si="534"/>
        <v/>
      </c>
      <c r="Q93" s="84"/>
      <c r="R93" s="85" t="str">
        <f t="shared" si="432"/>
        <v/>
      </c>
      <c r="S93" s="85" t="str">
        <f t="shared" si="535"/>
        <v/>
      </c>
      <c r="T93" s="84"/>
      <c r="U93" s="85" t="str">
        <f t="shared" si="433"/>
        <v/>
      </c>
      <c r="V93" s="85" t="str">
        <f t="shared" si="536"/>
        <v/>
      </c>
      <c r="W93" s="84"/>
      <c r="X93" s="85" t="str">
        <f t="shared" si="434"/>
        <v/>
      </c>
      <c r="Y93" s="85" t="str">
        <f t="shared" si="537"/>
        <v/>
      </c>
      <c r="Z93" s="84"/>
      <c r="AA93" s="85" t="str">
        <f t="shared" si="435"/>
        <v/>
      </c>
      <c r="AB93" s="85" t="str">
        <f t="shared" si="538"/>
        <v/>
      </c>
      <c r="AC93" s="84"/>
      <c r="AD93" s="85" t="str">
        <f t="shared" si="436"/>
        <v/>
      </c>
      <c r="AE93" s="85" t="str">
        <f t="shared" si="539"/>
        <v/>
      </c>
      <c r="AF93" s="84"/>
      <c r="AG93" s="85" t="str">
        <f t="shared" si="437"/>
        <v/>
      </c>
      <c r="AH93" s="85" t="str">
        <f t="shared" si="540"/>
        <v/>
      </c>
      <c r="AI93" s="84"/>
      <c r="AJ93" s="85" t="str">
        <f t="shared" si="438"/>
        <v/>
      </c>
      <c r="AK93" s="85" t="str">
        <f t="shared" si="541"/>
        <v/>
      </c>
      <c r="AL93" s="84"/>
      <c r="AM93" s="85" t="str">
        <f t="shared" si="439"/>
        <v/>
      </c>
      <c r="AN93" s="85" t="str">
        <f t="shared" si="542"/>
        <v/>
      </c>
      <c r="AO93" s="84"/>
      <c r="AP93" s="85" t="str">
        <f t="shared" si="440"/>
        <v/>
      </c>
      <c r="AQ93" s="85" t="str">
        <f t="shared" si="543"/>
        <v/>
      </c>
      <c r="AR93" s="84"/>
      <c r="AS93" s="85" t="str">
        <f t="shared" si="441"/>
        <v/>
      </c>
      <c r="AT93" s="85" t="str">
        <f t="shared" si="544"/>
        <v/>
      </c>
      <c r="AU93" s="84"/>
      <c r="AV93" s="85" t="str">
        <f t="shared" si="442"/>
        <v/>
      </c>
      <c r="AW93" s="85" t="str">
        <f t="shared" si="545"/>
        <v/>
      </c>
      <c r="AX93" s="84"/>
      <c r="AY93" s="85" t="str">
        <f t="shared" si="443"/>
        <v/>
      </c>
      <c r="AZ93" s="85" t="str">
        <f t="shared" si="546"/>
        <v/>
      </c>
      <c r="BA93" s="84"/>
      <c r="BB93" s="85" t="str">
        <f t="shared" si="444"/>
        <v/>
      </c>
      <c r="BC93" s="85" t="str">
        <f t="shared" si="547"/>
        <v/>
      </c>
      <c r="BD93" s="84"/>
      <c r="BE93" s="85" t="str">
        <f t="shared" si="445"/>
        <v/>
      </c>
      <c r="BF93" s="85" t="str">
        <f t="shared" si="548"/>
        <v/>
      </c>
      <c r="BG93" s="84"/>
      <c r="BH93" s="85" t="str">
        <f t="shared" si="446"/>
        <v/>
      </c>
      <c r="BI93" s="85" t="str">
        <f t="shared" si="549"/>
        <v/>
      </c>
      <c r="BJ93" s="84"/>
      <c r="BK93" s="85" t="str">
        <f t="shared" si="447"/>
        <v/>
      </c>
      <c r="BL93" s="85" t="str">
        <f t="shared" si="550"/>
        <v/>
      </c>
      <c r="BM93" s="84"/>
      <c r="BN93" s="85" t="str">
        <f t="shared" si="448"/>
        <v/>
      </c>
      <c r="BO93" s="85" t="str">
        <f t="shared" si="551"/>
        <v/>
      </c>
      <c r="BP93" s="87"/>
      <c r="BQ93" s="85" t="str">
        <f t="shared" si="449"/>
        <v/>
      </c>
      <c r="BR93" s="85" t="str">
        <f t="shared" si="552"/>
        <v/>
      </c>
      <c r="BS93" s="84"/>
      <c r="BT93" s="85" t="str">
        <f t="shared" si="450"/>
        <v/>
      </c>
      <c r="BU93" s="85" t="str">
        <f t="shared" si="553"/>
        <v/>
      </c>
      <c r="BV93" s="84"/>
      <c r="BW93" s="85" t="str">
        <f t="shared" si="451"/>
        <v/>
      </c>
      <c r="BX93" s="85" t="str">
        <f t="shared" si="554"/>
        <v/>
      </c>
      <c r="BY93" s="84"/>
      <c r="BZ93" s="85" t="str">
        <f t="shared" si="452"/>
        <v/>
      </c>
      <c r="CA93" s="85" t="str">
        <f t="shared" si="555"/>
        <v/>
      </c>
      <c r="CB93" s="84"/>
      <c r="CC93" s="85" t="str">
        <f t="shared" si="453"/>
        <v/>
      </c>
      <c r="CD93" s="85" t="str">
        <f t="shared" si="556"/>
        <v/>
      </c>
      <c r="CE93" s="84"/>
      <c r="CF93" s="85" t="str">
        <f t="shared" si="454"/>
        <v/>
      </c>
      <c r="CG93" s="85" t="str">
        <f t="shared" si="557"/>
        <v/>
      </c>
      <c r="CH93" s="84"/>
      <c r="CI93" s="85" t="str">
        <f t="shared" si="455"/>
        <v/>
      </c>
      <c r="CJ93" s="85" t="str">
        <f t="shared" si="558"/>
        <v/>
      </c>
      <c r="CK93" s="84"/>
      <c r="CL93" s="85" t="str">
        <f t="shared" si="456"/>
        <v/>
      </c>
      <c r="CM93" s="85" t="str">
        <f t="shared" si="559"/>
        <v/>
      </c>
      <c r="CN93" s="84"/>
      <c r="CO93" s="85" t="str">
        <f t="shared" si="457"/>
        <v/>
      </c>
      <c r="CP93" s="85" t="str">
        <f t="shared" si="560"/>
        <v/>
      </c>
      <c r="CQ93" s="84"/>
      <c r="CR93" s="85" t="str">
        <f t="shared" si="458"/>
        <v/>
      </c>
      <c r="CS93" s="85" t="str">
        <f t="shared" si="561"/>
        <v/>
      </c>
      <c r="CT93" s="84"/>
      <c r="CU93" s="85" t="str">
        <f t="shared" si="459"/>
        <v/>
      </c>
      <c r="CV93" s="85" t="str">
        <f t="shared" si="562"/>
        <v/>
      </c>
      <c r="CW93" s="84"/>
      <c r="CX93" s="85" t="str">
        <f t="shared" si="460"/>
        <v/>
      </c>
      <c r="CY93" s="85" t="str">
        <f t="shared" si="563"/>
        <v/>
      </c>
      <c r="CZ93" s="84"/>
      <c r="DA93" s="85" t="str">
        <f t="shared" si="461"/>
        <v/>
      </c>
      <c r="DB93" s="85" t="str">
        <f t="shared" si="564"/>
        <v/>
      </c>
      <c r="DC93" s="84"/>
      <c r="DD93" s="85" t="str">
        <f t="shared" si="462"/>
        <v/>
      </c>
      <c r="DE93" s="85" t="str">
        <f t="shared" si="565"/>
        <v/>
      </c>
      <c r="DF93" s="84"/>
      <c r="DG93" s="85"/>
      <c r="DH93" s="85" t="str">
        <f t="shared" si="566"/>
        <v/>
      </c>
      <c r="DI93" s="84"/>
      <c r="DJ93" s="85" t="str">
        <f t="shared" si="463"/>
        <v/>
      </c>
      <c r="DK93" s="85" t="str">
        <f t="shared" si="567"/>
        <v/>
      </c>
      <c r="DL93" s="84"/>
      <c r="DM93" s="85" t="str">
        <f t="shared" si="464"/>
        <v/>
      </c>
      <c r="DN93" s="85" t="str">
        <f t="shared" si="568"/>
        <v/>
      </c>
      <c r="DO93" s="84"/>
      <c r="DP93" s="85" t="str">
        <f t="shared" si="465"/>
        <v/>
      </c>
      <c r="DQ93" s="85" t="str">
        <f t="shared" si="569"/>
        <v/>
      </c>
      <c r="DR93" s="84"/>
      <c r="DS93" s="85" t="str">
        <f t="shared" si="466"/>
        <v/>
      </c>
      <c r="DT93" s="85" t="str">
        <f t="shared" si="570"/>
        <v/>
      </c>
      <c r="DU93" s="84"/>
      <c r="DV93" s="85" t="str">
        <f t="shared" si="467"/>
        <v/>
      </c>
      <c r="DW93" s="85" t="str">
        <f t="shared" si="571"/>
        <v/>
      </c>
      <c r="DX93" s="84"/>
      <c r="DY93" s="85" t="str">
        <f t="shared" si="468"/>
        <v/>
      </c>
      <c r="DZ93" s="85" t="str">
        <f t="shared" si="572"/>
        <v/>
      </c>
      <c r="EA93" s="84"/>
      <c r="EB93" s="85" t="str">
        <f t="shared" si="469"/>
        <v/>
      </c>
      <c r="EC93" s="85" t="str">
        <f t="shared" si="573"/>
        <v/>
      </c>
      <c r="ED93" s="84"/>
      <c r="EE93" s="85" t="str">
        <f t="shared" si="470"/>
        <v/>
      </c>
      <c r="EF93" s="85" t="str">
        <f t="shared" si="574"/>
        <v/>
      </c>
      <c r="EG93" s="84"/>
      <c r="EH93" s="85" t="str">
        <f t="shared" si="471"/>
        <v/>
      </c>
      <c r="EI93" s="85" t="str">
        <f t="shared" si="575"/>
        <v/>
      </c>
      <c r="EJ93" s="84"/>
      <c r="EK93" s="85" t="str">
        <f t="shared" si="472"/>
        <v/>
      </c>
      <c r="EL93" s="85" t="str">
        <f t="shared" si="576"/>
        <v/>
      </c>
      <c r="EM93" s="84"/>
      <c r="EN93" s="85" t="str">
        <f t="shared" si="473"/>
        <v/>
      </c>
      <c r="EO93" s="85" t="str">
        <f t="shared" si="577"/>
        <v/>
      </c>
      <c r="EP93" s="84"/>
      <c r="EQ93" s="85" t="str">
        <f t="shared" si="474"/>
        <v/>
      </c>
      <c r="ER93" s="85" t="str">
        <f t="shared" si="578"/>
        <v/>
      </c>
      <c r="ES93" s="87"/>
      <c r="ET93" s="85" t="str">
        <f t="shared" si="475"/>
        <v/>
      </c>
      <c r="EU93" s="85" t="str">
        <f t="shared" si="579"/>
        <v/>
      </c>
      <c r="EV93" s="84"/>
      <c r="EW93" s="85" t="str">
        <f t="shared" si="476"/>
        <v/>
      </c>
      <c r="EX93" s="85" t="str">
        <f t="shared" si="580"/>
        <v/>
      </c>
      <c r="EY93" s="84"/>
      <c r="EZ93" s="85" t="str">
        <f t="shared" si="477"/>
        <v/>
      </c>
      <c r="FA93" s="85" t="str">
        <f t="shared" si="581"/>
        <v/>
      </c>
      <c r="FB93" s="84"/>
      <c r="FC93" s="85" t="str">
        <f t="shared" si="478"/>
        <v/>
      </c>
      <c r="FD93" s="85" t="str">
        <f t="shared" si="582"/>
        <v/>
      </c>
      <c r="FE93" s="84"/>
      <c r="FF93" s="85" t="str">
        <f t="shared" si="479"/>
        <v/>
      </c>
      <c r="FG93" s="85" t="str">
        <f t="shared" si="583"/>
        <v/>
      </c>
      <c r="FH93" s="84"/>
      <c r="FI93" s="85" t="str">
        <f t="shared" si="480"/>
        <v/>
      </c>
      <c r="FJ93" s="85" t="str">
        <f t="shared" si="584"/>
        <v/>
      </c>
      <c r="FK93" s="84"/>
      <c r="FL93" s="85" t="str">
        <f t="shared" si="481"/>
        <v/>
      </c>
      <c r="FM93" s="85" t="str">
        <f t="shared" si="585"/>
        <v/>
      </c>
      <c r="FN93" s="84"/>
      <c r="FO93" s="85" t="str">
        <f t="shared" si="482"/>
        <v/>
      </c>
      <c r="FP93" s="85" t="str">
        <f t="shared" si="586"/>
        <v/>
      </c>
      <c r="FQ93" s="84"/>
      <c r="FR93" s="85" t="str">
        <f t="shared" si="483"/>
        <v/>
      </c>
      <c r="FS93" s="85" t="str">
        <f t="shared" si="587"/>
        <v/>
      </c>
      <c r="FT93" s="84"/>
      <c r="FU93" s="85" t="str">
        <f t="shared" si="484"/>
        <v/>
      </c>
      <c r="FV93" s="85" t="str">
        <f t="shared" si="588"/>
        <v/>
      </c>
      <c r="FW93" s="90"/>
      <c r="FX93" s="85" t="str">
        <f t="shared" si="485"/>
        <v/>
      </c>
      <c r="FY93" s="85" t="str">
        <f t="shared" si="589"/>
        <v/>
      </c>
      <c r="FZ93" s="84"/>
      <c r="GA93" s="85" t="str">
        <f t="shared" si="486"/>
        <v/>
      </c>
      <c r="GB93" s="85" t="str">
        <f t="shared" si="590"/>
        <v/>
      </c>
      <c r="GC93" s="84"/>
      <c r="GD93" s="85" t="str">
        <f t="shared" si="487"/>
        <v/>
      </c>
      <c r="GE93" s="85" t="str">
        <f t="shared" si="591"/>
        <v/>
      </c>
      <c r="GF93" s="84"/>
      <c r="GG93" s="85" t="str">
        <f t="shared" si="488"/>
        <v/>
      </c>
      <c r="GH93" s="85" t="str">
        <f t="shared" si="592"/>
        <v/>
      </c>
      <c r="GI93" s="84"/>
      <c r="GJ93" s="85" t="str">
        <f t="shared" si="489"/>
        <v/>
      </c>
      <c r="GK93" s="85" t="str">
        <f t="shared" si="593"/>
        <v/>
      </c>
      <c r="GL93" s="84"/>
      <c r="GM93" s="85" t="str">
        <f t="shared" si="490"/>
        <v/>
      </c>
      <c r="GN93" s="85" t="str">
        <f t="shared" si="594"/>
        <v/>
      </c>
      <c r="GO93" s="84"/>
      <c r="GP93" s="85" t="str">
        <f t="shared" si="491"/>
        <v/>
      </c>
      <c r="GQ93" s="85" t="str">
        <f t="shared" si="595"/>
        <v/>
      </c>
      <c r="GR93" s="84"/>
      <c r="GS93" s="85" t="str">
        <f t="shared" si="492"/>
        <v/>
      </c>
      <c r="GT93" s="85" t="str">
        <f t="shared" si="596"/>
        <v/>
      </c>
      <c r="GU93" s="84"/>
      <c r="GV93" s="85" t="str">
        <f t="shared" si="493"/>
        <v/>
      </c>
      <c r="GW93" s="85" t="str">
        <f t="shared" si="597"/>
        <v/>
      </c>
      <c r="GX93" s="84"/>
      <c r="GY93" s="85" t="str">
        <f t="shared" si="494"/>
        <v/>
      </c>
      <c r="GZ93" s="85" t="str">
        <f t="shared" si="598"/>
        <v/>
      </c>
      <c r="HA93" s="84"/>
      <c r="HB93" s="85" t="str">
        <f t="shared" si="495"/>
        <v/>
      </c>
      <c r="HC93" s="85" t="str">
        <f t="shared" si="599"/>
        <v/>
      </c>
      <c r="HD93" s="84"/>
      <c r="HE93" s="85" t="str">
        <f t="shared" si="496"/>
        <v/>
      </c>
      <c r="HF93" s="85" t="str">
        <f t="shared" si="600"/>
        <v/>
      </c>
      <c r="HG93" s="84"/>
      <c r="HH93" s="85" t="str">
        <f t="shared" si="497"/>
        <v/>
      </c>
      <c r="HI93" s="85" t="str">
        <f t="shared" si="601"/>
        <v/>
      </c>
      <c r="HJ93" s="84"/>
      <c r="HK93" s="85" t="str">
        <f t="shared" si="498"/>
        <v/>
      </c>
      <c r="HL93" s="85" t="str">
        <f t="shared" si="602"/>
        <v/>
      </c>
      <c r="HM93" s="84"/>
      <c r="HN93" s="85" t="str">
        <f t="shared" si="499"/>
        <v/>
      </c>
      <c r="HO93" s="85" t="str">
        <f t="shared" si="603"/>
        <v/>
      </c>
      <c r="HP93" s="84"/>
      <c r="HQ93" s="85" t="str">
        <f t="shared" si="500"/>
        <v/>
      </c>
      <c r="HR93" s="85" t="str">
        <f t="shared" si="604"/>
        <v/>
      </c>
      <c r="HS93" s="84"/>
      <c r="HT93" s="85" t="str">
        <f t="shared" si="501"/>
        <v/>
      </c>
      <c r="HU93" s="85" t="str">
        <f t="shared" si="605"/>
        <v/>
      </c>
      <c r="HV93" s="84"/>
      <c r="HW93" s="85" t="str">
        <f t="shared" si="502"/>
        <v/>
      </c>
      <c r="HX93" s="85" t="str">
        <f t="shared" si="606"/>
        <v/>
      </c>
      <c r="HY93" s="84"/>
      <c r="HZ93" s="85" t="str">
        <f t="shared" si="503"/>
        <v/>
      </c>
      <c r="IA93" s="85" t="str">
        <f t="shared" si="607"/>
        <v/>
      </c>
      <c r="IB93" s="84"/>
      <c r="IC93" s="85" t="str">
        <f t="shared" si="504"/>
        <v/>
      </c>
      <c r="ID93" s="85" t="str">
        <f t="shared" si="608"/>
        <v/>
      </c>
      <c r="IE93" s="84"/>
      <c r="IF93" s="85" t="str">
        <f t="shared" si="505"/>
        <v/>
      </c>
      <c r="IG93" s="85" t="str">
        <f t="shared" si="609"/>
        <v/>
      </c>
      <c r="IH93" s="84"/>
      <c r="II93" s="85" t="str">
        <f t="shared" si="506"/>
        <v/>
      </c>
      <c r="IJ93" s="85" t="str">
        <f t="shared" si="610"/>
        <v/>
      </c>
      <c r="IK93" s="84"/>
      <c r="IL93" s="85" t="str">
        <f t="shared" si="507"/>
        <v/>
      </c>
      <c r="IM93" s="85" t="str">
        <f t="shared" si="611"/>
        <v/>
      </c>
      <c r="IN93" s="84"/>
      <c r="IO93" s="85" t="str">
        <f t="shared" si="508"/>
        <v/>
      </c>
      <c r="IP93" s="85" t="str">
        <f t="shared" si="612"/>
        <v/>
      </c>
      <c r="IQ93" s="84"/>
      <c r="IR93" s="85" t="str">
        <f t="shared" si="509"/>
        <v/>
      </c>
      <c r="IS93" s="85" t="str">
        <f t="shared" si="613"/>
        <v/>
      </c>
      <c r="IT93" s="84"/>
      <c r="IU93" s="85" t="str">
        <f t="shared" si="510"/>
        <v/>
      </c>
      <c r="IV93" s="85" t="str">
        <f t="shared" si="614"/>
        <v/>
      </c>
      <c r="IW93" s="84"/>
      <c r="IX93" s="85" t="str">
        <f t="shared" si="511"/>
        <v/>
      </c>
      <c r="IY93" s="85" t="str">
        <f t="shared" si="615"/>
        <v/>
      </c>
      <c r="IZ93" s="84"/>
      <c r="JA93" s="85" t="str">
        <f t="shared" si="512"/>
        <v/>
      </c>
      <c r="JB93" s="85" t="str">
        <f t="shared" si="616"/>
        <v/>
      </c>
      <c r="JC93" s="84"/>
      <c r="JD93" s="85" t="str">
        <f t="shared" si="513"/>
        <v/>
      </c>
      <c r="JE93" s="85" t="str">
        <f t="shared" si="617"/>
        <v/>
      </c>
      <c r="JF93" s="84"/>
      <c r="JG93" s="85" t="str">
        <f t="shared" si="514"/>
        <v/>
      </c>
      <c r="JH93" s="85" t="str">
        <f t="shared" si="618"/>
        <v/>
      </c>
      <c r="JI93" s="84"/>
      <c r="JJ93" s="85" t="str">
        <f t="shared" si="515"/>
        <v/>
      </c>
      <c r="JK93" s="85" t="str">
        <f t="shared" si="619"/>
        <v/>
      </c>
      <c r="JL93" s="84"/>
      <c r="JM93" s="85" t="str">
        <f t="shared" si="516"/>
        <v/>
      </c>
      <c r="JN93" s="85" t="str">
        <f t="shared" si="620"/>
        <v/>
      </c>
      <c r="JO93" s="84"/>
      <c r="JP93" s="85" t="str">
        <f t="shared" si="517"/>
        <v/>
      </c>
      <c r="JQ93" s="85" t="str">
        <f t="shared" si="621"/>
        <v/>
      </c>
      <c r="JR93" s="84"/>
      <c r="JS93" s="85" t="str">
        <f t="shared" si="518"/>
        <v/>
      </c>
      <c r="JT93" s="85" t="str">
        <f t="shared" si="622"/>
        <v/>
      </c>
      <c r="JU93" s="84"/>
      <c r="JV93" s="85" t="str">
        <f t="shared" si="519"/>
        <v/>
      </c>
      <c r="JW93" s="85" t="str">
        <f t="shared" si="623"/>
        <v/>
      </c>
      <c r="JX93" s="84"/>
      <c r="JY93" s="85" t="str">
        <f t="shared" si="520"/>
        <v/>
      </c>
      <c r="JZ93" s="85" t="str">
        <f t="shared" si="624"/>
        <v/>
      </c>
      <c r="KA93" s="84"/>
      <c r="KB93" s="85" t="str">
        <f t="shared" si="521"/>
        <v/>
      </c>
      <c r="KC93" s="85" t="str">
        <f t="shared" si="625"/>
        <v/>
      </c>
      <c r="KD93" s="84"/>
      <c r="KE93" s="85" t="str">
        <f t="shared" si="522"/>
        <v/>
      </c>
      <c r="KF93" s="85" t="str">
        <f t="shared" si="626"/>
        <v/>
      </c>
      <c r="KG93" s="84"/>
      <c r="KH93" s="85" t="str">
        <f t="shared" si="523"/>
        <v/>
      </c>
      <c r="KI93" s="85" t="str">
        <f t="shared" si="627"/>
        <v/>
      </c>
      <c r="KJ93" s="84"/>
      <c r="KK93" s="85" t="str">
        <f t="shared" si="524"/>
        <v/>
      </c>
      <c r="KL93" s="85" t="str">
        <f t="shared" si="628"/>
        <v/>
      </c>
      <c r="KM93" s="84"/>
      <c r="KN93" s="85" t="str">
        <f t="shared" si="525"/>
        <v/>
      </c>
      <c r="KO93" s="85" t="str">
        <f t="shared" si="629"/>
        <v/>
      </c>
      <c r="KP93" s="84"/>
      <c r="KQ93" s="85" t="str">
        <f t="shared" si="526"/>
        <v/>
      </c>
      <c r="KR93" s="85" t="str">
        <f t="shared" si="630"/>
        <v/>
      </c>
      <c r="KS93" s="84"/>
      <c r="KT93" s="85" t="str">
        <f t="shared" si="527"/>
        <v/>
      </c>
      <c r="KU93" s="85" t="str">
        <f t="shared" si="631"/>
        <v/>
      </c>
      <c r="KV93" s="84"/>
      <c r="KW93" s="85" t="str">
        <f t="shared" si="528"/>
        <v/>
      </c>
      <c r="KX93" s="85" t="str">
        <f t="shared" si="632"/>
        <v/>
      </c>
      <c r="KY93" s="90"/>
      <c r="KZ93" s="85" t="str">
        <f t="shared" si="529"/>
        <v/>
      </c>
      <c r="LA93" s="85" t="str">
        <f t="shared" si="633"/>
        <v/>
      </c>
      <c r="LB93" s="50" t="str">
        <f t="shared" si="648"/>
        <v/>
      </c>
      <c r="LC93" s="57" t="str">
        <f t="shared" si="634"/>
        <v/>
      </c>
      <c r="LD93" s="50" t="str">
        <f t="shared" si="635"/>
        <v/>
      </c>
      <c r="LE93" s="57" t="str">
        <f t="shared" si="636"/>
        <v/>
      </c>
      <c r="LF93" s="50" t="str">
        <f t="shared" si="637"/>
        <v/>
      </c>
      <c r="LG93" s="57" t="str">
        <f t="shared" si="638"/>
        <v/>
      </c>
      <c r="LH93" s="58" t="str">
        <f t="shared" si="649"/>
        <v/>
      </c>
      <c r="LI93" s="58" t="str">
        <f t="shared" si="650"/>
        <v/>
      </c>
      <c r="LJ93" s="58" t="str">
        <f t="shared" si="651"/>
        <v/>
      </c>
      <c r="LK93" s="58" t="str">
        <f t="shared" si="639"/>
        <v/>
      </c>
      <c r="LL93" s="60" t="str">
        <f t="shared" si="640"/>
        <v/>
      </c>
      <c r="LM93" s="55"/>
      <c r="LN93" s="61" t="str">
        <f t="shared" si="653"/>
        <v/>
      </c>
      <c r="LO93" s="61" t="str">
        <f t="shared" si="652"/>
        <v/>
      </c>
      <c r="LP93" s="55"/>
      <c r="LQ93" s="55"/>
      <c r="LR93" s="55"/>
      <c r="LS93" s="63"/>
      <c r="LT93" s="63"/>
      <c r="LU93" s="63"/>
      <c r="LV93" s="63"/>
      <c r="LW93" s="63"/>
      <c r="LX93" s="63"/>
      <c r="LY93" s="63"/>
      <c r="LZ93" s="63"/>
      <c r="MA93" s="63"/>
      <c r="MB93" s="63"/>
      <c r="MC93" s="63"/>
      <c r="MD93" s="63"/>
      <c r="ME93" s="63"/>
      <c r="MF93" s="63"/>
      <c r="MG93" s="63"/>
      <c r="MH93" s="63"/>
      <c r="MI93" s="63"/>
      <c r="MJ93" s="63"/>
    </row>
    <row r="94" spans="1:348">
      <c r="A94" s="50">
        <f t="shared" si="642"/>
        <v>0</v>
      </c>
      <c r="B94" s="50">
        <f t="shared" si="643"/>
        <v>0</v>
      </c>
      <c r="C94" s="77"/>
      <c r="D94" s="75"/>
      <c r="E94" s="63"/>
      <c r="F94" s="63"/>
      <c r="G94" s="63"/>
      <c r="H94" s="63"/>
      <c r="I94" s="63"/>
      <c r="J94" s="63"/>
      <c r="K94" s="63"/>
      <c r="L94" s="63"/>
      <c r="M94" s="54" t="s">
        <v>35</v>
      </c>
      <c r="N94" s="84"/>
      <c r="O94" s="85" t="str">
        <f t="shared" si="431"/>
        <v/>
      </c>
      <c r="P94" s="85" t="str">
        <f t="shared" si="534"/>
        <v/>
      </c>
      <c r="Q94" s="84"/>
      <c r="R94" s="85" t="str">
        <f t="shared" si="432"/>
        <v/>
      </c>
      <c r="S94" s="85" t="str">
        <f t="shared" si="535"/>
        <v/>
      </c>
      <c r="T94" s="84"/>
      <c r="U94" s="85" t="str">
        <f t="shared" si="433"/>
        <v/>
      </c>
      <c r="V94" s="85" t="str">
        <f t="shared" si="536"/>
        <v/>
      </c>
      <c r="W94" s="84"/>
      <c r="X94" s="85" t="str">
        <f t="shared" si="434"/>
        <v/>
      </c>
      <c r="Y94" s="85" t="str">
        <f t="shared" si="537"/>
        <v/>
      </c>
      <c r="Z94" s="84"/>
      <c r="AA94" s="85" t="str">
        <f t="shared" si="435"/>
        <v/>
      </c>
      <c r="AB94" s="85" t="str">
        <f t="shared" si="538"/>
        <v/>
      </c>
      <c r="AC94" s="84"/>
      <c r="AD94" s="85" t="str">
        <f t="shared" si="436"/>
        <v/>
      </c>
      <c r="AE94" s="85" t="str">
        <f t="shared" si="539"/>
        <v/>
      </c>
      <c r="AF94" s="84"/>
      <c r="AG94" s="85" t="str">
        <f t="shared" si="437"/>
        <v/>
      </c>
      <c r="AH94" s="85" t="str">
        <f t="shared" si="540"/>
        <v/>
      </c>
      <c r="AI94" s="84"/>
      <c r="AJ94" s="85" t="str">
        <f t="shared" si="438"/>
        <v/>
      </c>
      <c r="AK94" s="85" t="str">
        <f t="shared" si="541"/>
        <v/>
      </c>
      <c r="AL94" s="84"/>
      <c r="AM94" s="85" t="str">
        <f t="shared" si="439"/>
        <v/>
      </c>
      <c r="AN94" s="85" t="str">
        <f t="shared" si="542"/>
        <v/>
      </c>
      <c r="AO94" s="84"/>
      <c r="AP94" s="85" t="str">
        <f t="shared" si="440"/>
        <v/>
      </c>
      <c r="AQ94" s="85" t="str">
        <f t="shared" si="543"/>
        <v/>
      </c>
      <c r="AR94" s="84"/>
      <c r="AS94" s="85" t="str">
        <f t="shared" si="441"/>
        <v/>
      </c>
      <c r="AT94" s="85" t="str">
        <f t="shared" si="544"/>
        <v/>
      </c>
      <c r="AU94" s="84"/>
      <c r="AV94" s="85" t="str">
        <f t="shared" si="442"/>
        <v/>
      </c>
      <c r="AW94" s="85" t="str">
        <f t="shared" si="545"/>
        <v/>
      </c>
      <c r="AX94" s="84"/>
      <c r="AY94" s="85" t="str">
        <f t="shared" si="443"/>
        <v/>
      </c>
      <c r="AZ94" s="85" t="str">
        <f t="shared" si="546"/>
        <v/>
      </c>
      <c r="BA94" s="84"/>
      <c r="BB94" s="85" t="str">
        <f t="shared" si="444"/>
        <v/>
      </c>
      <c r="BC94" s="85" t="str">
        <f t="shared" si="547"/>
        <v/>
      </c>
      <c r="BD94" s="84"/>
      <c r="BE94" s="85" t="str">
        <f t="shared" si="445"/>
        <v/>
      </c>
      <c r="BF94" s="85" t="str">
        <f t="shared" si="548"/>
        <v/>
      </c>
      <c r="BG94" s="84"/>
      <c r="BH94" s="85" t="str">
        <f t="shared" si="446"/>
        <v/>
      </c>
      <c r="BI94" s="85" t="str">
        <f t="shared" si="549"/>
        <v/>
      </c>
      <c r="BJ94" s="84"/>
      <c r="BK94" s="85" t="str">
        <f t="shared" si="447"/>
        <v/>
      </c>
      <c r="BL94" s="85" t="str">
        <f t="shared" si="550"/>
        <v/>
      </c>
      <c r="BM94" s="84"/>
      <c r="BN94" s="85" t="str">
        <f t="shared" si="448"/>
        <v/>
      </c>
      <c r="BO94" s="85" t="str">
        <f t="shared" si="551"/>
        <v/>
      </c>
      <c r="BP94" s="87"/>
      <c r="BQ94" s="85" t="str">
        <f t="shared" si="449"/>
        <v/>
      </c>
      <c r="BR94" s="85" t="str">
        <f t="shared" si="552"/>
        <v/>
      </c>
      <c r="BS94" s="84"/>
      <c r="BT94" s="85" t="str">
        <f t="shared" si="450"/>
        <v/>
      </c>
      <c r="BU94" s="85" t="str">
        <f t="shared" si="553"/>
        <v/>
      </c>
      <c r="BV94" s="84"/>
      <c r="BW94" s="85" t="str">
        <f t="shared" si="451"/>
        <v/>
      </c>
      <c r="BX94" s="85" t="str">
        <f t="shared" si="554"/>
        <v/>
      </c>
      <c r="BY94" s="84"/>
      <c r="BZ94" s="85" t="str">
        <f t="shared" si="452"/>
        <v/>
      </c>
      <c r="CA94" s="85" t="str">
        <f t="shared" si="555"/>
        <v/>
      </c>
      <c r="CB94" s="84"/>
      <c r="CC94" s="85" t="str">
        <f t="shared" si="453"/>
        <v/>
      </c>
      <c r="CD94" s="85" t="str">
        <f t="shared" si="556"/>
        <v/>
      </c>
      <c r="CE94" s="84"/>
      <c r="CF94" s="85" t="str">
        <f t="shared" si="454"/>
        <v/>
      </c>
      <c r="CG94" s="85" t="str">
        <f t="shared" si="557"/>
        <v/>
      </c>
      <c r="CH94" s="84"/>
      <c r="CI94" s="85" t="str">
        <f t="shared" si="455"/>
        <v/>
      </c>
      <c r="CJ94" s="85" t="str">
        <f t="shared" si="558"/>
        <v/>
      </c>
      <c r="CK94" s="84"/>
      <c r="CL94" s="85" t="str">
        <f t="shared" si="456"/>
        <v/>
      </c>
      <c r="CM94" s="85" t="str">
        <f t="shared" si="559"/>
        <v/>
      </c>
      <c r="CN94" s="84"/>
      <c r="CO94" s="85" t="str">
        <f t="shared" si="457"/>
        <v/>
      </c>
      <c r="CP94" s="85" t="str">
        <f t="shared" si="560"/>
        <v/>
      </c>
      <c r="CQ94" s="84"/>
      <c r="CR94" s="85" t="str">
        <f t="shared" si="458"/>
        <v/>
      </c>
      <c r="CS94" s="85" t="str">
        <f t="shared" si="561"/>
        <v/>
      </c>
      <c r="CT94" s="84"/>
      <c r="CU94" s="85" t="str">
        <f t="shared" si="459"/>
        <v/>
      </c>
      <c r="CV94" s="85" t="str">
        <f t="shared" si="562"/>
        <v/>
      </c>
      <c r="CW94" s="84"/>
      <c r="CX94" s="85" t="str">
        <f t="shared" si="460"/>
        <v/>
      </c>
      <c r="CY94" s="85" t="str">
        <f t="shared" si="563"/>
        <v/>
      </c>
      <c r="CZ94" s="84"/>
      <c r="DA94" s="85" t="str">
        <f t="shared" si="461"/>
        <v/>
      </c>
      <c r="DB94" s="85" t="str">
        <f t="shared" si="564"/>
        <v/>
      </c>
      <c r="DC94" s="84"/>
      <c r="DD94" s="85" t="str">
        <f t="shared" si="462"/>
        <v/>
      </c>
      <c r="DE94" s="85" t="str">
        <f t="shared" si="565"/>
        <v/>
      </c>
      <c r="DF94" s="84"/>
      <c r="DG94" s="85"/>
      <c r="DH94" s="85" t="str">
        <f t="shared" si="566"/>
        <v/>
      </c>
      <c r="DI94" s="84"/>
      <c r="DJ94" s="85" t="str">
        <f t="shared" si="463"/>
        <v/>
      </c>
      <c r="DK94" s="85" t="str">
        <f t="shared" si="567"/>
        <v/>
      </c>
      <c r="DL94" s="84"/>
      <c r="DM94" s="85" t="str">
        <f t="shared" si="464"/>
        <v/>
      </c>
      <c r="DN94" s="85" t="str">
        <f t="shared" si="568"/>
        <v/>
      </c>
      <c r="DO94" s="84"/>
      <c r="DP94" s="85" t="str">
        <f t="shared" si="465"/>
        <v/>
      </c>
      <c r="DQ94" s="85" t="str">
        <f t="shared" si="569"/>
        <v/>
      </c>
      <c r="DR94" s="84"/>
      <c r="DS94" s="85" t="str">
        <f t="shared" si="466"/>
        <v/>
      </c>
      <c r="DT94" s="85" t="str">
        <f t="shared" si="570"/>
        <v/>
      </c>
      <c r="DU94" s="84"/>
      <c r="DV94" s="85" t="str">
        <f t="shared" si="467"/>
        <v/>
      </c>
      <c r="DW94" s="85" t="str">
        <f t="shared" si="571"/>
        <v/>
      </c>
      <c r="DX94" s="84"/>
      <c r="DY94" s="85" t="str">
        <f t="shared" si="468"/>
        <v/>
      </c>
      <c r="DZ94" s="85" t="str">
        <f t="shared" si="572"/>
        <v/>
      </c>
      <c r="EA94" s="84"/>
      <c r="EB94" s="85" t="str">
        <f t="shared" si="469"/>
        <v/>
      </c>
      <c r="EC94" s="85" t="str">
        <f t="shared" si="573"/>
        <v/>
      </c>
      <c r="ED94" s="84"/>
      <c r="EE94" s="85" t="str">
        <f t="shared" si="470"/>
        <v/>
      </c>
      <c r="EF94" s="85" t="str">
        <f t="shared" si="574"/>
        <v/>
      </c>
      <c r="EG94" s="84"/>
      <c r="EH94" s="85" t="str">
        <f t="shared" si="471"/>
        <v/>
      </c>
      <c r="EI94" s="85" t="str">
        <f t="shared" si="575"/>
        <v/>
      </c>
      <c r="EJ94" s="84"/>
      <c r="EK94" s="85" t="str">
        <f t="shared" si="472"/>
        <v/>
      </c>
      <c r="EL94" s="85" t="str">
        <f t="shared" si="576"/>
        <v/>
      </c>
      <c r="EM94" s="84"/>
      <c r="EN94" s="85" t="str">
        <f t="shared" si="473"/>
        <v/>
      </c>
      <c r="EO94" s="85" t="str">
        <f t="shared" si="577"/>
        <v/>
      </c>
      <c r="EP94" s="84"/>
      <c r="EQ94" s="85" t="str">
        <f t="shared" si="474"/>
        <v/>
      </c>
      <c r="ER94" s="85" t="str">
        <f t="shared" si="578"/>
        <v/>
      </c>
      <c r="ES94" s="87"/>
      <c r="ET94" s="85" t="str">
        <f t="shared" si="475"/>
        <v/>
      </c>
      <c r="EU94" s="85" t="str">
        <f t="shared" si="579"/>
        <v/>
      </c>
      <c r="EV94" s="84"/>
      <c r="EW94" s="85" t="str">
        <f t="shared" si="476"/>
        <v/>
      </c>
      <c r="EX94" s="85" t="str">
        <f t="shared" si="580"/>
        <v/>
      </c>
      <c r="EY94" s="84"/>
      <c r="EZ94" s="85" t="str">
        <f t="shared" si="477"/>
        <v/>
      </c>
      <c r="FA94" s="85" t="str">
        <f t="shared" si="581"/>
        <v/>
      </c>
      <c r="FB94" s="84"/>
      <c r="FC94" s="85" t="str">
        <f t="shared" si="478"/>
        <v/>
      </c>
      <c r="FD94" s="85" t="str">
        <f t="shared" si="582"/>
        <v/>
      </c>
      <c r="FE94" s="84"/>
      <c r="FF94" s="85" t="str">
        <f t="shared" si="479"/>
        <v/>
      </c>
      <c r="FG94" s="85" t="str">
        <f t="shared" si="583"/>
        <v/>
      </c>
      <c r="FH94" s="84"/>
      <c r="FI94" s="85" t="str">
        <f t="shared" si="480"/>
        <v/>
      </c>
      <c r="FJ94" s="85" t="str">
        <f t="shared" si="584"/>
        <v/>
      </c>
      <c r="FK94" s="84"/>
      <c r="FL94" s="85" t="str">
        <f t="shared" si="481"/>
        <v/>
      </c>
      <c r="FM94" s="85" t="str">
        <f t="shared" si="585"/>
        <v/>
      </c>
      <c r="FN94" s="84"/>
      <c r="FO94" s="85" t="str">
        <f t="shared" si="482"/>
        <v/>
      </c>
      <c r="FP94" s="85" t="str">
        <f t="shared" si="586"/>
        <v/>
      </c>
      <c r="FQ94" s="84"/>
      <c r="FR94" s="85" t="str">
        <f t="shared" si="483"/>
        <v/>
      </c>
      <c r="FS94" s="85" t="str">
        <f t="shared" si="587"/>
        <v/>
      </c>
      <c r="FT94" s="84"/>
      <c r="FU94" s="85" t="str">
        <f t="shared" si="484"/>
        <v/>
      </c>
      <c r="FV94" s="85" t="str">
        <f t="shared" si="588"/>
        <v/>
      </c>
      <c r="FW94" s="90"/>
      <c r="FX94" s="85" t="str">
        <f t="shared" si="485"/>
        <v/>
      </c>
      <c r="FY94" s="85" t="str">
        <f t="shared" si="589"/>
        <v/>
      </c>
      <c r="FZ94" s="84"/>
      <c r="GA94" s="85" t="str">
        <f t="shared" si="486"/>
        <v/>
      </c>
      <c r="GB94" s="85" t="str">
        <f t="shared" si="590"/>
        <v/>
      </c>
      <c r="GC94" s="84"/>
      <c r="GD94" s="85" t="str">
        <f t="shared" si="487"/>
        <v/>
      </c>
      <c r="GE94" s="85" t="str">
        <f t="shared" si="591"/>
        <v/>
      </c>
      <c r="GF94" s="84"/>
      <c r="GG94" s="85" t="str">
        <f t="shared" si="488"/>
        <v/>
      </c>
      <c r="GH94" s="85" t="str">
        <f t="shared" si="592"/>
        <v/>
      </c>
      <c r="GI94" s="84"/>
      <c r="GJ94" s="85" t="str">
        <f t="shared" si="489"/>
        <v/>
      </c>
      <c r="GK94" s="85" t="str">
        <f t="shared" si="593"/>
        <v/>
      </c>
      <c r="GL94" s="84"/>
      <c r="GM94" s="85" t="str">
        <f t="shared" si="490"/>
        <v/>
      </c>
      <c r="GN94" s="85" t="str">
        <f t="shared" si="594"/>
        <v/>
      </c>
      <c r="GO94" s="84"/>
      <c r="GP94" s="85" t="str">
        <f t="shared" si="491"/>
        <v/>
      </c>
      <c r="GQ94" s="85" t="str">
        <f t="shared" si="595"/>
        <v/>
      </c>
      <c r="GR94" s="84"/>
      <c r="GS94" s="85" t="str">
        <f t="shared" si="492"/>
        <v/>
      </c>
      <c r="GT94" s="85" t="str">
        <f t="shared" si="596"/>
        <v/>
      </c>
      <c r="GU94" s="84"/>
      <c r="GV94" s="85" t="str">
        <f t="shared" si="493"/>
        <v/>
      </c>
      <c r="GW94" s="85" t="str">
        <f t="shared" si="597"/>
        <v/>
      </c>
      <c r="GX94" s="84"/>
      <c r="GY94" s="85" t="str">
        <f t="shared" si="494"/>
        <v/>
      </c>
      <c r="GZ94" s="85" t="str">
        <f t="shared" si="598"/>
        <v/>
      </c>
      <c r="HA94" s="84"/>
      <c r="HB94" s="85" t="str">
        <f t="shared" si="495"/>
        <v/>
      </c>
      <c r="HC94" s="85" t="str">
        <f t="shared" si="599"/>
        <v/>
      </c>
      <c r="HD94" s="84"/>
      <c r="HE94" s="85" t="str">
        <f t="shared" si="496"/>
        <v/>
      </c>
      <c r="HF94" s="85" t="str">
        <f t="shared" si="600"/>
        <v/>
      </c>
      <c r="HG94" s="84"/>
      <c r="HH94" s="85" t="str">
        <f t="shared" si="497"/>
        <v/>
      </c>
      <c r="HI94" s="85" t="str">
        <f t="shared" si="601"/>
        <v/>
      </c>
      <c r="HJ94" s="84"/>
      <c r="HK94" s="85" t="str">
        <f t="shared" si="498"/>
        <v/>
      </c>
      <c r="HL94" s="85" t="str">
        <f t="shared" si="602"/>
        <v/>
      </c>
      <c r="HM94" s="84"/>
      <c r="HN94" s="85" t="str">
        <f t="shared" si="499"/>
        <v/>
      </c>
      <c r="HO94" s="85" t="str">
        <f t="shared" si="603"/>
        <v/>
      </c>
      <c r="HP94" s="84"/>
      <c r="HQ94" s="85" t="str">
        <f t="shared" si="500"/>
        <v/>
      </c>
      <c r="HR94" s="85" t="str">
        <f t="shared" si="604"/>
        <v/>
      </c>
      <c r="HS94" s="84"/>
      <c r="HT94" s="85" t="str">
        <f t="shared" si="501"/>
        <v/>
      </c>
      <c r="HU94" s="85" t="str">
        <f t="shared" si="605"/>
        <v/>
      </c>
      <c r="HV94" s="84"/>
      <c r="HW94" s="85" t="str">
        <f t="shared" si="502"/>
        <v/>
      </c>
      <c r="HX94" s="85" t="str">
        <f t="shared" si="606"/>
        <v/>
      </c>
      <c r="HY94" s="84"/>
      <c r="HZ94" s="85" t="str">
        <f t="shared" si="503"/>
        <v/>
      </c>
      <c r="IA94" s="85" t="str">
        <f t="shared" si="607"/>
        <v/>
      </c>
      <c r="IB94" s="84"/>
      <c r="IC94" s="85" t="str">
        <f t="shared" si="504"/>
        <v/>
      </c>
      <c r="ID94" s="85" t="str">
        <f t="shared" si="608"/>
        <v/>
      </c>
      <c r="IE94" s="84"/>
      <c r="IF94" s="85" t="str">
        <f t="shared" si="505"/>
        <v/>
      </c>
      <c r="IG94" s="85" t="str">
        <f t="shared" si="609"/>
        <v/>
      </c>
      <c r="IH94" s="84"/>
      <c r="II94" s="85" t="str">
        <f t="shared" si="506"/>
        <v/>
      </c>
      <c r="IJ94" s="85" t="str">
        <f t="shared" si="610"/>
        <v/>
      </c>
      <c r="IK94" s="84"/>
      <c r="IL94" s="85" t="str">
        <f t="shared" si="507"/>
        <v/>
      </c>
      <c r="IM94" s="85" t="str">
        <f t="shared" si="611"/>
        <v/>
      </c>
      <c r="IN94" s="84"/>
      <c r="IO94" s="85" t="str">
        <f t="shared" si="508"/>
        <v/>
      </c>
      <c r="IP94" s="85" t="str">
        <f t="shared" si="612"/>
        <v/>
      </c>
      <c r="IQ94" s="84"/>
      <c r="IR94" s="85" t="str">
        <f t="shared" si="509"/>
        <v/>
      </c>
      <c r="IS94" s="85" t="str">
        <f t="shared" si="613"/>
        <v/>
      </c>
      <c r="IT94" s="84"/>
      <c r="IU94" s="85" t="str">
        <f t="shared" si="510"/>
        <v/>
      </c>
      <c r="IV94" s="85" t="str">
        <f t="shared" si="614"/>
        <v/>
      </c>
      <c r="IW94" s="84"/>
      <c r="IX94" s="85" t="str">
        <f t="shared" si="511"/>
        <v/>
      </c>
      <c r="IY94" s="85" t="str">
        <f t="shared" si="615"/>
        <v/>
      </c>
      <c r="IZ94" s="84"/>
      <c r="JA94" s="85" t="str">
        <f t="shared" si="512"/>
        <v/>
      </c>
      <c r="JB94" s="85" t="str">
        <f t="shared" si="616"/>
        <v/>
      </c>
      <c r="JC94" s="84"/>
      <c r="JD94" s="85" t="str">
        <f t="shared" si="513"/>
        <v/>
      </c>
      <c r="JE94" s="85" t="str">
        <f t="shared" si="617"/>
        <v/>
      </c>
      <c r="JF94" s="84"/>
      <c r="JG94" s="85" t="str">
        <f t="shared" si="514"/>
        <v/>
      </c>
      <c r="JH94" s="85" t="str">
        <f t="shared" si="618"/>
        <v/>
      </c>
      <c r="JI94" s="84"/>
      <c r="JJ94" s="85" t="str">
        <f t="shared" si="515"/>
        <v/>
      </c>
      <c r="JK94" s="85" t="str">
        <f t="shared" si="619"/>
        <v/>
      </c>
      <c r="JL94" s="84"/>
      <c r="JM94" s="85" t="str">
        <f t="shared" si="516"/>
        <v/>
      </c>
      <c r="JN94" s="85" t="str">
        <f t="shared" si="620"/>
        <v/>
      </c>
      <c r="JO94" s="84"/>
      <c r="JP94" s="85" t="str">
        <f t="shared" si="517"/>
        <v/>
      </c>
      <c r="JQ94" s="85" t="str">
        <f t="shared" si="621"/>
        <v/>
      </c>
      <c r="JR94" s="84"/>
      <c r="JS94" s="85" t="str">
        <f t="shared" si="518"/>
        <v/>
      </c>
      <c r="JT94" s="85" t="str">
        <f t="shared" si="622"/>
        <v/>
      </c>
      <c r="JU94" s="84"/>
      <c r="JV94" s="85" t="str">
        <f t="shared" si="519"/>
        <v/>
      </c>
      <c r="JW94" s="85" t="str">
        <f t="shared" si="623"/>
        <v/>
      </c>
      <c r="JX94" s="84"/>
      <c r="JY94" s="85" t="str">
        <f t="shared" si="520"/>
        <v/>
      </c>
      <c r="JZ94" s="85" t="str">
        <f t="shared" si="624"/>
        <v/>
      </c>
      <c r="KA94" s="84"/>
      <c r="KB94" s="85" t="str">
        <f t="shared" si="521"/>
        <v/>
      </c>
      <c r="KC94" s="85" t="str">
        <f t="shared" si="625"/>
        <v/>
      </c>
      <c r="KD94" s="84"/>
      <c r="KE94" s="85" t="str">
        <f t="shared" si="522"/>
        <v/>
      </c>
      <c r="KF94" s="85" t="str">
        <f t="shared" si="626"/>
        <v/>
      </c>
      <c r="KG94" s="84"/>
      <c r="KH94" s="85" t="str">
        <f t="shared" si="523"/>
        <v/>
      </c>
      <c r="KI94" s="85" t="str">
        <f t="shared" si="627"/>
        <v/>
      </c>
      <c r="KJ94" s="84"/>
      <c r="KK94" s="85" t="str">
        <f t="shared" si="524"/>
        <v/>
      </c>
      <c r="KL94" s="85" t="str">
        <f t="shared" si="628"/>
        <v/>
      </c>
      <c r="KM94" s="84"/>
      <c r="KN94" s="85" t="str">
        <f t="shared" si="525"/>
        <v/>
      </c>
      <c r="KO94" s="85" t="str">
        <f t="shared" si="629"/>
        <v/>
      </c>
      <c r="KP94" s="84"/>
      <c r="KQ94" s="85" t="str">
        <f t="shared" si="526"/>
        <v/>
      </c>
      <c r="KR94" s="85" t="str">
        <f t="shared" si="630"/>
        <v/>
      </c>
      <c r="KS94" s="84"/>
      <c r="KT94" s="85" t="str">
        <f t="shared" si="527"/>
        <v/>
      </c>
      <c r="KU94" s="85" t="str">
        <f t="shared" si="631"/>
        <v/>
      </c>
      <c r="KV94" s="84"/>
      <c r="KW94" s="85" t="str">
        <f t="shared" si="528"/>
        <v/>
      </c>
      <c r="KX94" s="85" t="str">
        <f t="shared" si="632"/>
        <v/>
      </c>
      <c r="KY94" s="90"/>
      <c r="KZ94" s="85" t="str">
        <f t="shared" si="529"/>
        <v/>
      </c>
      <c r="LA94" s="85" t="str">
        <f t="shared" si="633"/>
        <v/>
      </c>
      <c r="LB94" s="50" t="str">
        <f t="shared" si="648"/>
        <v/>
      </c>
      <c r="LC94" s="57" t="str">
        <f t="shared" si="634"/>
        <v/>
      </c>
      <c r="LD94" s="50" t="str">
        <f t="shared" si="635"/>
        <v/>
      </c>
      <c r="LE94" s="57" t="str">
        <f t="shared" si="636"/>
        <v/>
      </c>
      <c r="LF94" s="50" t="str">
        <f t="shared" si="637"/>
        <v/>
      </c>
      <c r="LG94" s="57" t="str">
        <f t="shared" si="638"/>
        <v/>
      </c>
      <c r="LH94" s="58" t="str">
        <f t="shared" si="649"/>
        <v/>
      </c>
      <c r="LI94" s="58" t="str">
        <f t="shared" si="650"/>
        <v/>
      </c>
      <c r="LJ94" s="58" t="str">
        <f t="shared" si="651"/>
        <v/>
      </c>
      <c r="LK94" s="58" t="str">
        <f t="shared" si="639"/>
        <v/>
      </c>
      <c r="LL94" s="60" t="str">
        <f t="shared" si="640"/>
        <v/>
      </c>
      <c r="LM94" s="55"/>
      <c r="LN94" s="61" t="str">
        <f t="shared" si="653"/>
        <v/>
      </c>
      <c r="LO94" s="61" t="str">
        <f t="shared" si="652"/>
        <v/>
      </c>
      <c r="LP94" s="55"/>
      <c r="LQ94" s="55"/>
      <c r="LR94" s="55"/>
      <c r="LS94" s="63"/>
      <c r="LT94" s="63"/>
      <c r="LU94" s="63"/>
      <c r="LV94" s="63"/>
      <c r="LW94" s="63"/>
      <c r="LX94" s="63"/>
      <c r="LY94" s="63"/>
      <c r="LZ94" s="63"/>
      <c r="MA94" s="63"/>
      <c r="MB94" s="63"/>
      <c r="MC94" s="63"/>
      <c r="MD94" s="63"/>
      <c r="ME94" s="63"/>
      <c r="MF94" s="63"/>
      <c r="MG94" s="63"/>
      <c r="MH94" s="63"/>
      <c r="MI94" s="63"/>
      <c r="MJ94" s="63"/>
    </row>
    <row r="95" spans="1:348">
      <c r="A95" s="50">
        <f t="shared" si="642"/>
        <v>0</v>
      </c>
      <c r="B95" s="50">
        <f t="shared" si="643"/>
        <v>0</v>
      </c>
      <c r="C95" s="77"/>
      <c r="D95" s="75"/>
      <c r="E95" s="63"/>
      <c r="F95" s="63"/>
      <c r="G95" s="63"/>
      <c r="H95" s="63"/>
      <c r="I95" s="63"/>
      <c r="J95" s="63"/>
      <c r="K95" s="63"/>
      <c r="L95" s="63"/>
      <c r="M95" s="54" t="s">
        <v>35</v>
      </c>
      <c r="N95" s="84"/>
      <c r="O95" s="85" t="str">
        <f t="shared" si="431"/>
        <v/>
      </c>
      <c r="P95" s="85" t="str">
        <f t="shared" si="534"/>
        <v/>
      </c>
      <c r="Q95" s="84"/>
      <c r="R95" s="85" t="str">
        <f t="shared" si="432"/>
        <v/>
      </c>
      <c r="S95" s="85" t="str">
        <f t="shared" si="535"/>
        <v/>
      </c>
      <c r="T95" s="84"/>
      <c r="U95" s="85" t="str">
        <f t="shared" si="433"/>
        <v/>
      </c>
      <c r="V95" s="85" t="str">
        <f t="shared" si="536"/>
        <v/>
      </c>
      <c r="W95" s="84"/>
      <c r="X95" s="85" t="str">
        <f t="shared" si="434"/>
        <v/>
      </c>
      <c r="Y95" s="85" t="str">
        <f t="shared" si="537"/>
        <v/>
      </c>
      <c r="Z95" s="84"/>
      <c r="AA95" s="85" t="str">
        <f t="shared" si="435"/>
        <v/>
      </c>
      <c r="AB95" s="85" t="str">
        <f t="shared" si="538"/>
        <v/>
      </c>
      <c r="AC95" s="84"/>
      <c r="AD95" s="85" t="str">
        <f t="shared" si="436"/>
        <v/>
      </c>
      <c r="AE95" s="85" t="str">
        <f t="shared" si="539"/>
        <v/>
      </c>
      <c r="AF95" s="84"/>
      <c r="AG95" s="85" t="str">
        <f t="shared" si="437"/>
        <v/>
      </c>
      <c r="AH95" s="85" t="str">
        <f t="shared" si="540"/>
        <v/>
      </c>
      <c r="AI95" s="84"/>
      <c r="AJ95" s="85" t="str">
        <f t="shared" si="438"/>
        <v/>
      </c>
      <c r="AK95" s="85" t="str">
        <f t="shared" si="541"/>
        <v/>
      </c>
      <c r="AL95" s="84"/>
      <c r="AM95" s="85" t="str">
        <f t="shared" si="439"/>
        <v/>
      </c>
      <c r="AN95" s="85" t="str">
        <f t="shared" si="542"/>
        <v/>
      </c>
      <c r="AO95" s="84"/>
      <c r="AP95" s="85" t="str">
        <f t="shared" si="440"/>
        <v/>
      </c>
      <c r="AQ95" s="85" t="str">
        <f t="shared" si="543"/>
        <v/>
      </c>
      <c r="AR95" s="84"/>
      <c r="AS95" s="85" t="str">
        <f t="shared" si="441"/>
        <v/>
      </c>
      <c r="AT95" s="85" t="str">
        <f t="shared" si="544"/>
        <v/>
      </c>
      <c r="AU95" s="84"/>
      <c r="AV95" s="85" t="str">
        <f t="shared" si="442"/>
        <v/>
      </c>
      <c r="AW95" s="85" t="str">
        <f t="shared" si="545"/>
        <v/>
      </c>
      <c r="AX95" s="84"/>
      <c r="AY95" s="85" t="str">
        <f t="shared" si="443"/>
        <v/>
      </c>
      <c r="AZ95" s="85" t="str">
        <f t="shared" si="546"/>
        <v/>
      </c>
      <c r="BA95" s="84"/>
      <c r="BB95" s="85" t="str">
        <f t="shared" si="444"/>
        <v/>
      </c>
      <c r="BC95" s="85" t="str">
        <f t="shared" si="547"/>
        <v/>
      </c>
      <c r="BD95" s="84"/>
      <c r="BE95" s="85" t="str">
        <f t="shared" si="445"/>
        <v/>
      </c>
      <c r="BF95" s="85" t="str">
        <f t="shared" si="548"/>
        <v/>
      </c>
      <c r="BG95" s="84"/>
      <c r="BH95" s="85" t="str">
        <f t="shared" si="446"/>
        <v/>
      </c>
      <c r="BI95" s="85" t="str">
        <f t="shared" si="549"/>
        <v/>
      </c>
      <c r="BJ95" s="84"/>
      <c r="BK95" s="85" t="str">
        <f t="shared" si="447"/>
        <v/>
      </c>
      <c r="BL95" s="85" t="str">
        <f t="shared" si="550"/>
        <v/>
      </c>
      <c r="BM95" s="84"/>
      <c r="BN95" s="85" t="str">
        <f t="shared" si="448"/>
        <v/>
      </c>
      <c r="BO95" s="85" t="str">
        <f t="shared" si="551"/>
        <v/>
      </c>
      <c r="BP95" s="87"/>
      <c r="BQ95" s="85" t="str">
        <f t="shared" si="449"/>
        <v/>
      </c>
      <c r="BR95" s="85" t="str">
        <f t="shared" si="552"/>
        <v/>
      </c>
      <c r="BS95" s="84"/>
      <c r="BT95" s="85" t="str">
        <f t="shared" si="450"/>
        <v/>
      </c>
      <c r="BU95" s="85" t="str">
        <f t="shared" si="553"/>
        <v/>
      </c>
      <c r="BV95" s="84"/>
      <c r="BW95" s="85" t="str">
        <f t="shared" si="451"/>
        <v/>
      </c>
      <c r="BX95" s="85" t="str">
        <f t="shared" si="554"/>
        <v/>
      </c>
      <c r="BY95" s="84"/>
      <c r="BZ95" s="85" t="str">
        <f t="shared" si="452"/>
        <v/>
      </c>
      <c r="CA95" s="85" t="str">
        <f t="shared" si="555"/>
        <v/>
      </c>
      <c r="CB95" s="84"/>
      <c r="CC95" s="85" t="str">
        <f t="shared" si="453"/>
        <v/>
      </c>
      <c r="CD95" s="85" t="str">
        <f t="shared" si="556"/>
        <v/>
      </c>
      <c r="CE95" s="84"/>
      <c r="CF95" s="85" t="str">
        <f t="shared" si="454"/>
        <v/>
      </c>
      <c r="CG95" s="85" t="str">
        <f t="shared" si="557"/>
        <v/>
      </c>
      <c r="CH95" s="84"/>
      <c r="CI95" s="85" t="str">
        <f t="shared" si="455"/>
        <v/>
      </c>
      <c r="CJ95" s="85" t="str">
        <f t="shared" si="558"/>
        <v/>
      </c>
      <c r="CK95" s="84"/>
      <c r="CL95" s="85" t="str">
        <f t="shared" si="456"/>
        <v/>
      </c>
      <c r="CM95" s="85" t="str">
        <f t="shared" si="559"/>
        <v/>
      </c>
      <c r="CN95" s="84"/>
      <c r="CO95" s="85" t="str">
        <f t="shared" si="457"/>
        <v/>
      </c>
      <c r="CP95" s="85" t="str">
        <f t="shared" si="560"/>
        <v/>
      </c>
      <c r="CQ95" s="84"/>
      <c r="CR95" s="85" t="str">
        <f t="shared" si="458"/>
        <v/>
      </c>
      <c r="CS95" s="85" t="str">
        <f t="shared" si="561"/>
        <v/>
      </c>
      <c r="CT95" s="84"/>
      <c r="CU95" s="85" t="str">
        <f t="shared" si="459"/>
        <v/>
      </c>
      <c r="CV95" s="85" t="str">
        <f t="shared" si="562"/>
        <v/>
      </c>
      <c r="CW95" s="84"/>
      <c r="CX95" s="85" t="str">
        <f t="shared" si="460"/>
        <v/>
      </c>
      <c r="CY95" s="85" t="str">
        <f t="shared" si="563"/>
        <v/>
      </c>
      <c r="CZ95" s="84"/>
      <c r="DA95" s="85" t="str">
        <f t="shared" si="461"/>
        <v/>
      </c>
      <c r="DB95" s="85" t="str">
        <f t="shared" si="564"/>
        <v/>
      </c>
      <c r="DC95" s="84"/>
      <c r="DD95" s="85" t="str">
        <f t="shared" si="462"/>
        <v/>
      </c>
      <c r="DE95" s="85" t="str">
        <f t="shared" si="565"/>
        <v/>
      </c>
      <c r="DF95" s="84"/>
      <c r="DG95" s="85"/>
      <c r="DH95" s="85" t="str">
        <f t="shared" si="566"/>
        <v/>
      </c>
      <c r="DI95" s="84"/>
      <c r="DJ95" s="85" t="str">
        <f t="shared" si="463"/>
        <v/>
      </c>
      <c r="DK95" s="85" t="str">
        <f t="shared" si="567"/>
        <v/>
      </c>
      <c r="DL95" s="84"/>
      <c r="DM95" s="85" t="str">
        <f t="shared" si="464"/>
        <v/>
      </c>
      <c r="DN95" s="85" t="str">
        <f t="shared" si="568"/>
        <v/>
      </c>
      <c r="DO95" s="84"/>
      <c r="DP95" s="85" t="str">
        <f t="shared" si="465"/>
        <v/>
      </c>
      <c r="DQ95" s="85" t="str">
        <f t="shared" si="569"/>
        <v/>
      </c>
      <c r="DR95" s="84"/>
      <c r="DS95" s="85" t="str">
        <f t="shared" si="466"/>
        <v/>
      </c>
      <c r="DT95" s="85" t="str">
        <f t="shared" si="570"/>
        <v/>
      </c>
      <c r="DU95" s="84"/>
      <c r="DV95" s="85" t="str">
        <f t="shared" si="467"/>
        <v/>
      </c>
      <c r="DW95" s="85" t="str">
        <f t="shared" si="571"/>
        <v/>
      </c>
      <c r="DX95" s="84"/>
      <c r="DY95" s="85" t="str">
        <f t="shared" si="468"/>
        <v/>
      </c>
      <c r="DZ95" s="85" t="str">
        <f t="shared" si="572"/>
        <v/>
      </c>
      <c r="EA95" s="84"/>
      <c r="EB95" s="85" t="str">
        <f t="shared" si="469"/>
        <v/>
      </c>
      <c r="EC95" s="85" t="str">
        <f t="shared" si="573"/>
        <v/>
      </c>
      <c r="ED95" s="84"/>
      <c r="EE95" s="85" t="str">
        <f t="shared" si="470"/>
        <v/>
      </c>
      <c r="EF95" s="85" t="str">
        <f t="shared" si="574"/>
        <v/>
      </c>
      <c r="EG95" s="84"/>
      <c r="EH95" s="85" t="str">
        <f t="shared" si="471"/>
        <v/>
      </c>
      <c r="EI95" s="85" t="str">
        <f t="shared" si="575"/>
        <v/>
      </c>
      <c r="EJ95" s="84"/>
      <c r="EK95" s="85" t="str">
        <f t="shared" si="472"/>
        <v/>
      </c>
      <c r="EL95" s="85" t="str">
        <f t="shared" si="576"/>
        <v/>
      </c>
      <c r="EM95" s="84"/>
      <c r="EN95" s="85" t="str">
        <f t="shared" si="473"/>
        <v/>
      </c>
      <c r="EO95" s="85" t="str">
        <f t="shared" si="577"/>
        <v/>
      </c>
      <c r="EP95" s="84"/>
      <c r="EQ95" s="85" t="str">
        <f t="shared" si="474"/>
        <v/>
      </c>
      <c r="ER95" s="85" t="str">
        <f t="shared" si="578"/>
        <v/>
      </c>
      <c r="ES95" s="87"/>
      <c r="ET95" s="85" t="str">
        <f t="shared" si="475"/>
        <v/>
      </c>
      <c r="EU95" s="85" t="str">
        <f t="shared" si="579"/>
        <v/>
      </c>
      <c r="EV95" s="84"/>
      <c r="EW95" s="85" t="str">
        <f t="shared" si="476"/>
        <v/>
      </c>
      <c r="EX95" s="85" t="str">
        <f t="shared" si="580"/>
        <v/>
      </c>
      <c r="EY95" s="84"/>
      <c r="EZ95" s="85" t="str">
        <f t="shared" si="477"/>
        <v/>
      </c>
      <c r="FA95" s="85" t="str">
        <f t="shared" si="581"/>
        <v/>
      </c>
      <c r="FB95" s="84"/>
      <c r="FC95" s="85" t="str">
        <f t="shared" si="478"/>
        <v/>
      </c>
      <c r="FD95" s="85" t="str">
        <f t="shared" si="582"/>
        <v/>
      </c>
      <c r="FE95" s="84"/>
      <c r="FF95" s="85" t="str">
        <f t="shared" si="479"/>
        <v/>
      </c>
      <c r="FG95" s="85" t="str">
        <f t="shared" si="583"/>
        <v/>
      </c>
      <c r="FH95" s="84"/>
      <c r="FI95" s="85" t="str">
        <f t="shared" si="480"/>
        <v/>
      </c>
      <c r="FJ95" s="85" t="str">
        <f t="shared" si="584"/>
        <v/>
      </c>
      <c r="FK95" s="84"/>
      <c r="FL95" s="85" t="str">
        <f t="shared" si="481"/>
        <v/>
      </c>
      <c r="FM95" s="85" t="str">
        <f t="shared" si="585"/>
        <v/>
      </c>
      <c r="FN95" s="84"/>
      <c r="FO95" s="85" t="str">
        <f t="shared" si="482"/>
        <v/>
      </c>
      <c r="FP95" s="85" t="str">
        <f t="shared" si="586"/>
        <v/>
      </c>
      <c r="FQ95" s="84"/>
      <c r="FR95" s="85" t="str">
        <f t="shared" si="483"/>
        <v/>
      </c>
      <c r="FS95" s="85" t="str">
        <f t="shared" si="587"/>
        <v/>
      </c>
      <c r="FT95" s="84"/>
      <c r="FU95" s="85" t="str">
        <f t="shared" si="484"/>
        <v/>
      </c>
      <c r="FV95" s="85" t="str">
        <f t="shared" si="588"/>
        <v/>
      </c>
      <c r="FW95" s="90"/>
      <c r="FX95" s="85" t="str">
        <f t="shared" si="485"/>
        <v/>
      </c>
      <c r="FY95" s="85" t="str">
        <f t="shared" si="589"/>
        <v/>
      </c>
      <c r="FZ95" s="84"/>
      <c r="GA95" s="85" t="str">
        <f t="shared" si="486"/>
        <v/>
      </c>
      <c r="GB95" s="85" t="str">
        <f t="shared" si="590"/>
        <v/>
      </c>
      <c r="GC95" s="84"/>
      <c r="GD95" s="85" t="str">
        <f t="shared" si="487"/>
        <v/>
      </c>
      <c r="GE95" s="85" t="str">
        <f t="shared" si="591"/>
        <v/>
      </c>
      <c r="GF95" s="84"/>
      <c r="GG95" s="85" t="str">
        <f t="shared" si="488"/>
        <v/>
      </c>
      <c r="GH95" s="85" t="str">
        <f t="shared" si="592"/>
        <v/>
      </c>
      <c r="GI95" s="84"/>
      <c r="GJ95" s="85" t="str">
        <f t="shared" si="489"/>
        <v/>
      </c>
      <c r="GK95" s="85" t="str">
        <f t="shared" si="593"/>
        <v/>
      </c>
      <c r="GL95" s="84"/>
      <c r="GM95" s="85" t="str">
        <f t="shared" si="490"/>
        <v/>
      </c>
      <c r="GN95" s="85" t="str">
        <f t="shared" si="594"/>
        <v/>
      </c>
      <c r="GO95" s="84"/>
      <c r="GP95" s="85" t="str">
        <f t="shared" si="491"/>
        <v/>
      </c>
      <c r="GQ95" s="85" t="str">
        <f t="shared" si="595"/>
        <v/>
      </c>
      <c r="GR95" s="84"/>
      <c r="GS95" s="85" t="str">
        <f t="shared" si="492"/>
        <v/>
      </c>
      <c r="GT95" s="85" t="str">
        <f t="shared" si="596"/>
        <v/>
      </c>
      <c r="GU95" s="84"/>
      <c r="GV95" s="85" t="str">
        <f t="shared" si="493"/>
        <v/>
      </c>
      <c r="GW95" s="85" t="str">
        <f t="shared" si="597"/>
        <v/>
      </c>
      <c r="GX95" s="84"/>
      <c r="GY95" s="85" t="str">
        <f t="shared" si="494"/>
        <v/>
      </c>
      <c r="GZ95" s="85" t="str">
        <f t="shared" si="598"/>
        <v/>
      </c>
      <c r="HA95" s="84"/>
      <c r="HB95" s="85" t="str">
        <f t="shared" si="495"/>
        <v/>
      </c>
      <c r="HC95" s="85" t="str">
        <f t="shared" si="599"/>
        <v/>
      </c>
      <c r="HD95" s="84"/>
      <c r="HE95" s="85" t="str">
        <f t="shared" si="496"/>
        <v/>
      </c>
      <c r="HF95" s="85" t="str">
        <f t="shared" si="600"/>
        <v/>
      </c>
      <c r="HG95" s="84"/>
      <c r="HH95" s="85" t="str">
        <f t="shared" si="497"/>
        <v/>
      </c>
      <c r="HI95" s="85" t="str">
        <f t="shared" si="601"/>
        <v/>
      </c>
      <c r="HJ95" s="84"/>
      <c r="HK95" s="85" t="str">
        <f t="shared" si="498"/>
        <v/>
      </c>
      <c r="HL95" s="85" t="str">
        <f t="shared" si="602"/>
        <v/>
      </c>
      <c r="HM95" s="84"/>
      <c r="HN95" s="85" t="str">
        <f t="shared" si="499"/>
        <v/>
      </c>
      <c r="HO95" s="85" t="str">
        <f t="shared" si="603"/>
        <v/>
      </c>
      <c r="HP95" s="84"/>
      <c r="HQ95" s="85" t="str">
        <f t="shared" si="500"/>
        <v/>
      </c>
      <c r="HR95" s="85" t="str">
        <f t="shared" si="604"/>
        <v/>
      </c>
      <c r="HS95" s="84"/>
      <c r="HT95" s="85" t="str">
        <f t="shared" si="501"/>
        <v/>
      </c>
      <c r="HU95" s="85" t="str">
        <f t="shared" si="605"/>
        <v/>
      </c>
      <c r="HV95" s="84"/>
      <c r="HW95" s="85" t="str">
        <f t="shared" si="502"/>
        <v/>
      </c>
      <c r="HX95" s="85" t="str">
        <f t="shared" si="606"/>
        <v/>
      </c>
      <c r="HY95" s="84"/>
      <c r="HZ95" s="85" t="str">
        <f t="shared" si="503"/>
        <v/>
      </c>
      <c r="IA95" s="85" t="str">
        <f t="shared" si="607"/>
        <v/>
      </c>
      <c r="IB95" s="84"/>
      <c r="IC95" s="85" t="str">
        <f t="shared" si="504"/>
        <v/>
      </c>
      <c r="ID95" s="85" t="str">
        <f t="shared" si="608"/>
        <v/>
      </c>
      <c r="IE95" s="84"/>
      <c r="IF95" s="85" t="str">
        <f t="shared" si="505"/>
        <v/>
      </c>
      <c r="IG95" s="85" t="str">
        <f t="shared" si="609"/>
        <v/>
      </c>
      <c r="IH95" s="84"/>
      <c r="II95" s="85" t="str">
        <f t="shared" si="506"/>
        <v/>
      </c>
      <c r="IJ95" s="85" t="str">
        <f t="shared" si="610"/>
        <v/>
      </c>
      <c r="IK95" s="84"/>
      <c r="IL95" s="85" t="str">
        <f t="shared" si="507"/>
        <v/>
      </c>
      <c r="IM95" s="85" t="str">
        <f t="shared" si="611"/>
        <v/>
      </c>
      <c r="IN95" s="84"/>
      <c r="IO95" s="85" t="str">
        <f t="shared" si="508"/>
        <v/>
      </c>
      <c r="IP95" s="85" t="str">
        <f t="shared" si="612"/>
        <v/>
      </c>
      <c r="IQ95" s="84"/>
      <c r="IR95" s="85" t="str">
        <f t="shared" si="509"/>
        <v/>
      </c>
      <c r="IS95" s="85" t="str">
        <f t="shared" si="613"/>
        <v/>
      </c>
      <c r="IT95" s="84"/>
      <c r="IU95" s="85" t="str">
        <f t="shared" si="510"/>
        <v/>
      </c>
      <c r="IV95" s="85" t="str">
        <f t="shared" si="614"/>
        <v/>
      </c>
      <c r="IW95" s="84"/>
      <c r="IX95" s="85" t="str">
        <f t="shared" si="511"/>
        <v/>
      </c>
      <c r="IY95" s="85" t="str">
        <f t="shared" si="615"/>
        <v/>
      </c>
      <c r="IZ95" s="84"/>
      <c r="JA95" s="85" t="str">
        <f t="shared" si="512"/>
        <v/>
      </c>
      <c r="JB95" s="85" t="str">
        <f t="shared" si="616"/>
        <v/>
      </c>
      <c r="JC95" s="84"/>
      <c r="JD95" s="85" t="str">
        <f t="shared" si="513"/>
        <v/>
      </c>
      <c r="JE95" s="85" t="str">
        <f t="shared" si="617"/>
        <v/>
      </c>
      <c r="JF95" s="84"/>
      <c r="JG95" s="85" t="str">
        <f t="shared" si="514"/>
        <v/>
      </c>
      <c r="JH95" s="85" t="str">
        <f t="shared" si="618"/>
        <v/>
      </c>
      <c r="JI95" s="84"/>
      <c r="JJ95" s="85" t="str">
        <f t="shared" si="515"/>
        <v/>
      </c>
      <c r="JK95" s="85" t="str">
        <f t="shared" si="619"/>
        <v/>
      </c>
      <c r="JL95" s="84"/>
      <c r="JM95" s="85" t="str">
        <f t="shared" si="516"/>
        <v/>
      </c>
      <c r="JN95" s="85" t="str">
        <f t="shared" si="620"/>
        <v/>
      </c>
      <c r="JO95" s="84"/>
      <c r="JP95" s="85" t="str">
        <f t="shared" si="517"/>
        <v/>
      </c>
      <c r="JQ95" s="85" t="str">
        <f t="shared" si="621"/>
        <v/>
      </c>
      <c r="JR95" s="84"/>
      <c r="JS95" s="85" t="str">
        <f t="shared" si="518"/>
        <v/>
      </c>
      <c r="JT95" s="85" t="str">
        <f t="shared" si="622"/>
        <v/>
      </c>
      <c r="JU95" s="84"/>
      <c r="JV95" s="85" t="str">
        <f t="shared" si="519"/>
        <v/>
      </c>
      <c r="JW95" s="85" t="str">
        <f t="shared" si="623"/>
        <v/>
      </c>
      <c r="JX95" s="84"/>
      <c r="JY95" s="85" t="str">
        <f t="shared" si="520"/>
        <v/>
      </c>
      <c r="JZ95" s="85" t="str">
        <f t="shared" si="624"/>
        <v/>
      </c>
      <c r="KA95" s="84"/>
      <c r="KB95" s="85" t="str">
        <f t="shared" si="521"/>
        <v/>
      </c>
      <c r="KC95" s="85" t="str">
        <f t="shared" si="625"/>
        <v/>
      </c>
      <c r="KD95" s="84"/>
      <c r="KE95" s="85" t="str">
        <f t="shared" si="522"/>
        <v/>
      </c>
      <c r="KF95" s="85" t="str">
        <f t="shared" si="626"/>
        <v/>
      </c>
      <c r="KG95" s="84"/>
      <c r="KH95" s="85" t="str">
        <f t="shared" si="523"/>
        <v/>
      </c>
      <c r="KI95" s="85" t="str">
        <f t="shared" si="627"/>
        <v/>
      </c>
      <c r="KJ95" s="84"/>
      <c r="KK95" s="85" t="str">
        <f t="shared" si="524"/>
        <v/>
      </c>
      <c r="KL95" s="85" t="str">
        <f t="shared" si="628"/>
        <v/>
      </c>
      <c r="KM95" s="84"/>
      <c r="KN95" s="85" t="str">
        <f t="shared" si="525"/>
        <v/>
      </c>
      <c r="KO95" s="85" t="str">
        <f t="shared" si="629"/>
        <v/>
      </c>
      <c r="KP95" s="84"/>
      <c r="KQ95" s="85" t="str">
        <f t="shared" si="526"/>
        <v/>
      </c>
      <c r="KR95" s="85" t="str">
        <f t="shared" si="630"/>
        <v/>
      </c>
      <c r="KS95" s="84"/>
      <c r="KT95" s="85" t="str">
        <f t="shared" si="527"/>
        <v/>
      </c>
      <c r="KU95" s="85" t="str">
        <f t="shared" si="631"/>
        <v/>
      </c>
      <c r="KV95" s="84"/>
      <c r="KW95" s="85" t="str">
        <f t="shared" si="528"/>
        <v/>
      </c>
      <c r="KX95" s="85" t="str">
        <f t="shared" si="632"/>
        <v/>
      </c>
      <c r="KY95" s="90"/>
      <c r="KZ95" s="85" t="str">
        <f t="shared" si="529"/>
        <v/>
      </c>
      <c r="LA95" s="85" t="str">
        <f t="shared" si="633"/>
        <v/>
      </c>
      <c r="LB95" s="50" t="str">
        <f t="shared" ref="LB95:LB98" si="654">IFERROR(AVERAGE($N95,$Q95,$T95,$W95,$Z95,$AC95,$AF95,$AI95,$AL95,$AO95,$AR95,$AU95,$AX95,$BA95,$BD95,$BG95,$BJ95,$BM95,$BP95,$BS95,$BV95,$BY95,$CB95,$CE95,$CH95,$CK95,$CN95,$CQ95,$CT95,$CW95,$CZ95,$DC95,$DF95,$DI95,$DL95,$DO95,$DR95,$DU95,$DX95,$EA95,$ED95,$EG95,$EJ95,$EM95,$EP95,$ES95,$EV95,$EY95,$FB95,$FE95,$FH95,$FK95,$FN95,$FQ95,$FT95,$FW95,$FZ95,$GC95,$GF95,$GI95,$GL95,$GO95,$GR95,$GU95,$GX95,$HA95,$HD95,$HG95,$HJ95,$HM95,$HP95,$HS95,$HV95,$HY95,$IB95,$IE95,$IH95, $IK95, $IN95,$IQ95,$IT95,$IW95,$IZ95,$JC95,$JF95,$JI95,$JL95,$JO95,$JR95,$JU95,$JX95,$KA95,$KD95,$KG95,$KJ95,$KJ95,$KM95,$KP95,$KS95,$KV95,$KY95),"")</f>
        <v/>
      </c>
      <c r="LC95" s="57" t="str">
        <f t="shared" si="634"/>
        <v/>
      </c>
      <c r="LD95" s="50" t="str">
        <f t="shared" si="635"/>
        <v/>
      </c>
      <c r="LE95" s="57" t="str">
        <f t="shared" si="636"/>
        <v/>
      </c>
      <c r="LF95" s="50" t="str">
        <f t="shared" si="637"/>
        <v/>
      </c>
      <c r="LG95" s="57" t="str">
        <f t="shared" si="638"/>
        <v/>
      </c>
      <c r="LH95" s="58" t="str">
        <f t="shared" ref="LH95:LH98" si="655">IFERROR((((LB95-LB$105)/LB$107)*25+25),"")</f>
        <v/>
      </c>
      <c r="LI95" s="58" t="str">
        <f t="shared" ref="LI95:LI98" si="656">IFERROR((((LD95-LD$105)/LD$107)*25+25),"")</f>
        <v/>
      </c>
      <c r="LJ95" s="58" t="str">
        <f t="shared" ref="LJ95:LJ98" si="657">IFERROR((((LF95-LF$105)/LF$107)*25+25),"")</f>
        <v/>
      </c>
      <c r="LK95" s="58" t="str">
        <f t="shared" si="639"/>
        <v/>
      </c>
      <c r="LL95" s="60" t="str">
        <f t="shared" si="640"/>
        <v/>
      </c>
      <c r="LM95" s="55"/>
      <c r="LN95" s="61" t="str">
        <f t="shared" si="653"/>
        <v/>
      </c>
      <c r="LO95" s="61" t="str">
        <f t="shared" si="646"/>
        <v/>
      </c>
      <c r="LP95" s="55"/>
      <c r="LQ95" s="55"/>
      <c r="LR95" s="55"/>
      <c r="LS95" s="63"/>
      <c r="LT95" s="63"/>
      <c r="LU95" s="63"/>
      <c r="LV95" s="63"/>
      <c r="LW95" s="63"/>
      <c r="LX95" s="63"/>
      <c r="LY95" s="63"/>
      <c r="LZ95" s="63"/>
      <c r="MA95" s="63"/>
      <c r="MB95" s="63"/>
      <c r="MC95" s="63"/>
      <c r="MD95" s="63"/>
      <c r="ME95" s="63"/>
      <c r="MF95" s="63"/>
      <c r="MG95" s="63"/>
      <c r="MH95" s="63"/>
      <c r="MI95" s="63"/>
      <c r="MJ95" s="63"/>
    </row>
    <row r="96" spans="1:348">
      <c r="A96" s="50">
        <f t="shared" si="642"/>
        <v>0</v>
      </c>
      <c r="B96" s="50">
        <f t="shared" si="643"/>
        <v>0</v>
      </c>
      <c r="C96" s="77"/>
      <c r="D96" s="75"/>
      <c r="E96" s="63"/>
      <c r="F96" s="63"/>
      <c r="G96" s="63"/>
      <c r="H96" s="63"/>
      <c r="I96" s="63"/>
      <c r="J96" s="63"/>
      <c r="K96" s="63"/>
      <c r="L96" s="63"/>
      <c r="M96" s="54" t="s">
        <v>35</v>
      </c>
      <c r="N96" s="84"/>
      <c r="O96" s="85" t="str">
        <f t="shared" si="431"/>
        <v/>
      </c>
      <c r="P96" s="85" t="str">
        <f t="shared" si="534"/>
        <v/>
      </c>
      <c r="Q96" s="84"/>
      <c r="R96" s="85" t="str">
        <f t="shared" si="432"/>
        <v/>
      </c>
      <c r="S96" s="85" t="str">
        <f t="shared" si="535"/>
        <v/>
      </c>
      <c r="T96" s="84"/>
      <c r="U96" s="85" t="str">
        <f t="shared" si="433"/>
        <v/>
      </c>
      <c r="V96" s="85" t="str">
        <f t="shared" si="536"/>
        <v/>
      </c>
      <c r="W96" s="84"/>
      <c r="X96" s="85" t="str">
        <f t="shared" si="434"/>
        <v/>
      </c>
      <c r="Y96" s="85" t="str">
        <f t="shared" si="537"/>
        <v/>
      </c>
      <c r="Z96" s="84"/>
      <c r="AA96" s="85" t="str">
        <f t="shared" si="435"/>
        <v/>
      </c>
      <c r="AB96" s="85" t="str">
        <f t="shared" si="538"/>
        <v/>
      </c>
      <c r="AC96" s="84"/>
      <c r="AD96" s="85" t="str">
        <f t="shared" si="436"/>
        <v/>
      </c>
      <c r="AE96" s="85" t="str">
        <f t="shared" si="539"/>
        <v/>
      </c>
      <c r="AF96" s="84"/>
      <c r="AG96" s="85" t="str">
        <f t="shared" si="437"/>
        <v/>
      </c>
      <c r="AH96" s="85" t="str">
        <f t="shared" si="540"/>
        <v/>
      </c>
      <c r="AI96" s="84"/>
      <c r="AJ96" s="85" t="str">
        <f t="shared" si="438"/>
        <v/>
      </c>
      <c r="AK96" s="85" t="str">
        <f t="shared" si="541"/>
        <v/>
      </c>
      <c r="AL96" s="84"/>
      <c r="AM96" s="85" t="str">
        <f t="shared" si="439"/>
        <v/>
      </c>
      <c r="AN96" s="85" t="str">
        <f t="shared" si="542"/>
        <v/>
      </c>
      <c r="AO96" s="84"/>
      <c r="AP96" s="85" t="str">
        <f t="shared" si="440"/>
        <v/>
      </c>
      <c r="AQ96" s="85" t="str">
        <f t="shared" si="543"/>
        <v/>
      </c>
      <c r="AR96" s="84"/>
      <c r="AS96" s="85" t="str">
        <f t="shared" si="441"/>
        <v/>
      </c>
      <c r="AT96" s="85" t="str">
        <f t="shared" si="544"/>
        <v/>
      </c>
      <c r="AU96" s="84"/>
      <c r="AV96" s="85" t="str">
        <f t="shared" si="442"/>
        <v/>
      </c>
      <c r="AW96" s="85" t="str">
        <f t="shared" si="545"/>
        <v/>
      </c>
      <c r="AX96" s="84"/>
      <c r="AY96" s="85" t="str">
        <f t="shared" si="443"/>
        <v/>
      </c>
      <c r="AZ96" s="85" t="str">
        <f t="shared" si="546"/>
        <v/>
      </c>
      <c r="BA96" s="84"/>
      <c r="BB96" s="85" t="str">
        <f t="shared" si="444"/>
        <v/>
      </c>
      <c r="BC96" s="85" t="str">
        <f t="shared" si="547"/>
        <v/>
      </c>
      <c r="BD96" s="84"/>
      <c r="BE96" s="85" t="str">
        <f t="shared" si="445"/>
        <v/>
      </c>
      <c r="BF96" s="85" t="str">
        <f t="shared" si="548"/>
        <v/>
      </c>
      <c r="BG96" s="84"/>
      <c r="BH96" s="85" t="str">
        <f t="shared" si="446"/>
        <v/>
      </c>
      <c r="BI96" s="85" t="str">
        <f t="shared" si="549"/>
        <v/>
      </c>
      <c r="BJ96" s="84"/>
      <c r="BK96" s="85" t="str">
        <f t="shared" si="447"/>
        <v/>
      </c>
      <c r="BL96" s="85" t="str">
        <f t="shared" si="550"/>
        <v/>
      </c>
      <c r="BM96" s="84"/>
      <c r="BN96" s="85" t="str">
        <f t="shared" si="448"/>
        <v/>
      </c>
      <c r="BO96" s="85" t="str">
        <f t="shared" si="551"/>
        <v/>
      </c>
      <c r="BP96" s="87"/>
      <c r="BQ96" s="85" t="str">
        <f t="shared" si="449"/>
        <v/>
      </c>
      <c r="BR96" s="85" t="str">
        <f t="shared" si="552"/>
        <v/>
      </c>
      <c r="BS96" s="84"/>
      <c r="BT96" s="85" t="str">
        <f t="shared" si="450"/>
        <v/>
      </c>
      <c r="BU96" s="85" t="str">
        <f t="shared" si="553"/>
        <v/>
      </c>
      <c r="BV96" s="84"/>
      <c r="BW96" s="85" t="str">
        <f t="shared" si="451"/>
        <v/>
      </c>
      <c r="BX96" s="85" t="str">
        <f t="shared" si="554"/>
        <v/>
      </c>
      <c r="BY96" s="84"/>
      <c r="BZ96" s="85" t="str">
        <f t="shared" si="452"/>
        <v/>
      </c>
      <c r="CA96" s="85" t="str">
        <f t="shared" si="555"/>
        <v/>
      </c>
      <c r="CB96" s="84"/>
      <c r="CC96" s="85" t="str">
        <f t="shared" si="453"/>
        <v/>
      </c>
      <c r="CD96" s="85" t="str">
        <f t="shared" si="556"/>
        <v/>
      </c>
      <c r="CE96" s="84"/>
      <c r="CF96" s="85" t="str">
        <f t="shared" si="454"/>
        <v/>
      </c>
      <c r="CG96" s="85" t="str">
        <f t="shared" si="557"/>
        <v/>
      </c>
      <c r="CH96" s="84"/>
      <c r="CI96" s="85" t="str">
        <f t="shared" si="455"/>
        <v/>
      </c>
      <c r="CJ96" s="85" t="str">
        <f t="shared" si="558"/>
        <v/>
      </c>
      <c r="CK96" s="84"/>
      <c r="CL96" s="85" t="str">
        <f t="shared" si="456"/>
        <v/>
      </c>
      <c r="CM96" s="85" t="str">
        <f t="shared" si="559"/>
        <v/>
      </c>
      <c r="CN96" s="84"/>
      <c r="CO96" s="85" t="str">
        <f t="shared" si="457"/>
        <v/>
      </c>
      <c r="CP96" s="85" t="str">
        <f t="shared" si="560"/>
        <v/>
      </c>
      <c r="CQ96" s="84"/>
      <c r="CR96" s="85" t="str">
        <f t="shared" si="458"/>
        <v/>
      </c>
      <c r="CS96" s="85" t="str">
        <f t="shared" si="561"/>
        <v/>
      </c>
      <c r="CT96" s="84"/>
      <c r="CU96" s="85" t="str">
        <f t="shared" si="459"/>
        <v/>
      </c>
      <c r="CV96" s="85" t="str">
        <f t="shared" si="562"/>
        <v/>
      </c>
      <c r="CW96" s="84"/>
      <c r="CX96" s="85" t="str">
        <f t="shared" si="460"/>
        <v/>
      </c>
      <c r="CY96" s="85" t="str">
        <f t="shared" si="563"/>
        <v/>
      </c>
      <c r="CZ96" s="84"/>
      <c r="DA96" s="85" t="str">
        <f t="shared" si="461"/>
        <v/>
      </c>
      <c r="DB96" s="85" t="str">
        <f t="shared" si="564"/>
        <v/>
      </c>
      <c r="DC96" s="84"/>
      <c r="DD96" s="85" t="str">
        <f t="shared" si="462"/>
        <v/>
      </c>
      <c r="DE96" s="85" t="str">
        <f t="shared" si="565"/>
        <v/>
      </c>
      <c r="DF96" s="84"/>
      <c r="DG96" s="85"/>
      <c r="DH96" s="85" t="str">
        <f t="shared" si="566"/>
        <v/>
      </c>
      <c r="DI96" s="84"/>
      <c r="DJ96" s="85" t="str">
        <f t="shared" si="463"/>
        <v/>
      </c>
      <c r="DK96" s="85" t="str">
        <f t="shared" si="567"/>
        <v/>
      </c>
      <c r="DL96" s="84"/>
      <c r="DM96" s="85" t="str">
        <f t="shared" si="464"/>
        <v/>
      </c>
      <c r="DN96" s="85" t="str">
        <f t="shared" si="568"/>
        <v/>
      </c>
      <c r="DO96" s="84"/>
      <c r="DP96" s="85" t="str">
        <f t="shared" si="465"/>
        <v/>
      </c>
      <c r="DQ96" s="85" t="str">
        <f t="shared" si="569"/>
        <v/>
      </c>
      <c r="DR96" s="84"/>
      <c r="DS96" s="85" t="str">
        <f t="shared" si="466"/>
        <v/>
      </c>
      <c r="DT96" s="85" t="str">
        <f t="shared" si="570"/>
        <v/>
      </c>
      <c r="DU96" s="84"/>
      <c r="DV96" s="85" t="str">
        <f t="shared" si="467"/>
        <v/>
      </c>
      <c r="DW96" s="85" t="str">
        <f t="shared" si="571"/>
        <v/>
      </c>
      <c r="DX96" s="84"/>
      <c r="DY96" s="85" t="str">
        <f t="shared" si="468"/>
        <v/>
      </c>
      <c r="DZ96" s="85" t="str">
        <f t="shared" si="572"/>
        <v/>
      </c>
      <c r="EA96" s="84"/>
      <c r="EB96" s="85" t="str">
        <f t="shared" si="469"/>
        <v/>
      </c>
      <c r="EC96" s="85" t="str">
        <f t="shared" si="573"/>
        <v/>
      </c>
      <c r="ED96" s="84"/>
      <c r="EE96" s="85" t="str">
        <f t="shared" si="470"/>
        <v/>
      </c>
      <c r="EF96" s="85" t="str">
        <f t="shared" si="574"/>
        <v/>
      </c>
      <c r="EG96" s="84"/>
      <c r="EH96" s="85" t="str">
        <f t="shared" si="471"/>
        <v/>
      </c>
      <c r="EI96" s="85" t="str">
        <f t="shared" si="575"/>
        <v/>
      </c>
      <c r="EJ96" s="84"/>
      <c r="EK96" s="85" t="str">
        <f t="shared" si="472"/>
        <v/>
      </c>
      <c r="EL96" s="85" t="str">
        <f t="shared" si="576"/>
        <v/>
      </c>
      <c r="EM96" s="84"/>
      <c r="EN96" s="85" t="str">
        <f t="shared" si="473"/>
        <v/>
      </c>
      <c r="EO96" s="85" t="str">
        <f t="shared" si="577"/>
        <v/>
      </c>
      <c r="EP96" s="84"/>
      <c r="EQ96" s="85" t="str">
        <f t="shared" si="474"/>
        <v/>
      </c>
      <c r="ER96" s="85" t="str">
        <f t="shared" si="578"/>
        <v/>
      </c>
      <c r="ES96" s="87"/>
      <c r="ET96" s="85" t="str">
        <f t="shared" si="475"/>
        <v/>
      </c>
      <c r="EU96" s="85" t="str">
        <f t="shared" si="579"/>
        <v/>
      </c>
      <c r="EV96" s="84"/>
      <c r="EW96" s="85" t="str">
        <f t="shared" si="476"/>
        <v/>
      </c>
      <c r="EX96" s="85" t="str">
        <f t="shared" si="580"/>
        <v/>
      </c>
      <c r="EY96" s="84"/>
      <c r="EZ96" s="85" t="str">
        <f t="shared" si="477"/>
        <v/>
      </c>
      <c r="FA96" s="85" t="str">
        <f t="shared" si="581"/>
        <v/>
      </c>
      <c r="FB96" s="84"/>
      <c r="FC96" s="85" t="str">
        <f t="shared" si="478"/>
        <v/>
      </c>
      <c r="FD96" s="85" t="str">
        <f t="shared" si="582"/>
        <v/>
      </c>
      <c r="FE96" s="84"/>
      <c r="FF96" s="85" t="str">
        <f t="shared" si="479"/>
        <v/>
      </c>
      <c r="FG96" s="85" t="str">
        <f t="shared" si="583"/>
        <v/>
      </c>
      <c r="FH96" s="84"/>
      <c r="FI96" s="85" t="str">
        <f t="shared" si="480"/>
        <v/>
      </c>
      <c r="FJ96" s="85" t="str">
        <f t="shared" si="584"/>
        <v/>
      </c>
      <c r="FK96" s="84"/>
      <c r="FL96" s="85" t="str">
        <f t="shared" si="481"/>
        <v/>
      </c>
      <c r="FM96" s="85" t="str">
        <f t="shared" si="585"/>
        <v/>
      </c>
      <c r="FN96" s="84"/>
      <c r="FO96" s="85" t="str">
        <f t="shared" si="482"/>
        <v/>
      </c>
      <c r="FP96" s="85" t="str">
        <f t="shared" si="586"/>
        <v/>
      </c>
      <c r="FQ96" s="84"/>
      <c r="FR96" s="85" t="str">
        <f t="shared" si="483"/>
        <v/>
      </c>
      <c r="FS96" s="85" t="str">
        <f t="shared" si="587"/>
        <v/>
      </c>
      <c r="FT96" s="84"/>
      <c r="FU96" s="85" t="str">
        <f t="shared" si="484"/>
        <v/>
      </c>
      <c r="FV96" s="85" t="str">
        <f t="shared" si="588"/>
        <v/>
      </c>
      <c r="FW96" s="90"/>
      <c r="FX96" s="85" t="str">
        <f t="shared" si="485"/>
        <v/>
      </c>
      <c r="FY96" s="85" t="str">
        <f t="shared" si="589"/>
        <v/>
      </c>
      <c r="FZ96" s="84"/>
      <c r="GA96" s="85" t="str">
        <f t="shared" si="486"/>
        <v/>
      </c>
      <c r="GB96" s="85" t="str">
        <f t="shared" si="590"/>
        <v/>
      </c>
      <c r="GC96" s="84"/>
      <c r="GD96" s="85" t="str">
        <f t="shared" si="487"/>
        <v/>
      </c>
      <c r="GE96" s="85" t="str">
        <f t="shared" si="591"/>
        <v/>
      </c>
      <c r="GF96" s="84"/>
      <c r="GG96" s="85" t="str">
        <f t="shared" si="488"/>
        <v/>
      </c>
      <c r="GH96" s="85" t="str">
        <f t="shared" si="592"/>
        <v/>
      </c>
      <c r="GI96" s="84"/>
      <c r="GJ96" s="85" t="str">
        <f t="shared" si="489"/>
        <v/>
      </c>
      <c r="GK96" s="85" t="str">
        <f t="shared" si="593"/>
        <v/>
      </c>
      <c r="GL96" s="84"/>
      <c r="GM96" s="85" t="str">
        <f t="shared" si="490"/>
        <v/>
      </c>
      <c r="GN96" s="85" t="str">
        <f t="shared" si="594"/>
        <v/>
      </c>
      <c r="GO96" s="84"/>
      <c r="GP96" s="85" t="str">
        <f t="shared" si="491"/>
        <v/>
      </c>
      <c r="GQ96" s="85" t="str">
        <f t="shared" si="595"/>
        <v/>
      </c>
      <c r="GR96" s="84"/>
      <c r="GS96" s="85" t="str">
        <f t="shared" si="492"/>
        <v/>
      </c>
      <c r="GT96" s="85" t="str">
        <f t="shared" si="596"/>
        <v/>
      </c>
      <c r="GU96" s="84"/>
      <c r="GV96" s="85" t="str">
        <f t="shared" si="493"/>
        <v/>
      </c>
      <c r="GW96" s="85" t="str">
        <f t="shared" si="597"/>
        <v/>
      </c>
      <c r="GX96" s="84"/>
      <c r="GY96" s="85" t="str">
        <f t="shared" si="494"/>
        <v/>
      </c>
      <c r="GZ96" s="85" t="str">
        <f t="shared" si="598"/>
        <v/>
      </c>
      <c r="HA96" s="84"/>
      <c r="HB96" s="85" t="str">
        <f t="shared" si="495"/>
        <v/>
      </c>
      <c r="HC96" s="85" t="str">
        <f t="shared" si="599"/>
        <v/>
      </c>
      <c r="HD96" s="84"/>
      <c r="HE96" s="85" t="str">
        <f t="shared" si="496"/>
        <v/>
      </c>
      <c r="HF96" s="85" t="str">
        <f t="shared" si="600"/>
        <v/>
      </c>
      <c r="HG96" s="84"/>
      <c r="HH96" s="85" t="str">
        <f t="shared" si="497"/>
        <v/>
      </c>
      <c r="HI96" s="85" t="str">
        <f t="shared" si="601"/>
        <v/>
      </c>
      <c r="HJ96" s="84"/>
      <c r="HK96" s="85" t="str">
        <f t="shared" si="498"/>
        <v/>
      </c>
      <c r="HL96" s="85" t="str">
        <f t="shared" si="602"/>
        <v/>
      </c>
      <c r="HM96" s="84"/>
      <c r="HN96" s="85" t="str">
        <f t="shared" si="499"/>
        <v/>
      </c>
      <c r="HO96" s="85" t="str">
        <f t="shared" si="603"/>
        <v/>
      </c>
      <c r="HP96" s="84"/>
      <c r="HQ96" s="85" t="str">
        <f t="shared" si="500"/>
        <v/>
      </c>
      <c r="HR96" s="85" t="str">
        <f t="shared" si="604"/>
        <v/>
      </c>
      <c r="HS96" s="84"/>
      <c r="HT96" s="85" t="str">
        <f t="shared" si="501"/>
        <v/>
      </c>
      <c r="HU96" s="85" t="str">
        <f t="shared" si="605"/>
        <v/>
      </c>
      <c r="HV96" s="84"/>
      <c r="HW96" s="85" t="str">
        <f t="shared" si="502"/>
        <v/>
      </c>
      <c r="HX96" s="85" t="str">
        <f t="shared" si="606"/>
        <v/>
      </c>
      <c r="HY96" s="84"/>
      <c r="HZ96" s="85" t="str">
        <f t="shared" si="503"/>
        <v/>
      </c>
      <c r="IA96" s="85" t="str">
        <f t="shared" si="607"/>
        <v/>
      </c>
      <c r="IB96" s="84"/>
      <c r="IC96" s="85" t="str">
        <f t="shared" si="504"/>
        <v/>
      </c>
      <c r="ID96" s="85" t="str">
        <f t="shared" si="608"/>
        <v/>
      </c>
      <c r="IE96" s="84"/>
      <c r="IF96" s="85" t="str">
        <f t="shared" si="505"/>
        <v/>
      </c>
      <c r="IG96" s="85" t="str">
        <f t="shared" si="609"/>
        <v/>
      </c>
      <c r="IH96" s="84"/>
      <c r="II96" s="85" t="str">
        <f t="shared" si="506"/>
        <v/>
      </c>
      <c r="IJ96" s="85" t="str">
        <f t="shared" si="610"/>
        <v/>
      </c>
      <c r="IK96" s="84"/>
      <c r="IL96" s="85" t="str">
        <f t="shared" si="507"/>
        <v/>
      </c>
      <c r="IM96" s="85" t="str">
        <f t="shared" si="611"/>
        <v/>
      </c>
      <c r="IN96" s="84"/>
      <c r="IO96" s="85" t="str">
        <f t="shared" si="508"/>
        <v/>
      </c>
      <c r="IP96" s="85" t="str">
        <f t="shared" si="612"/>
        <v/>
      </c>
      <c r="IQ96" s="84"/>
      <c r="IR96" s="85" t="str">
        <f t="shared" si="509"/>
        <v/>
      </c>
      <c r="IS96" s="85" t="str">
        <f t="shared" si="613"/>
        <v/>
      </c>
      <c r="IT96" s="84"/>
      <c r="IU96" s="85" t="str">
        <f t="shared" si="510"/>
        <v/>
      </c>
      <c r="IV96" s="85" t="str">
        <f t="shared" si="614"/>
        <v/>
      </c>
      <c r="IW96" s="84"/>
      <c r="IX96" s="85" t="str">
        <f t="shared" si="511"/>
        <v/>
      </c>
      <c r="IY96" s="85" t="str">
        <f t="shared" si="615"/>
        <v/>
      </c>
      <c r="IZ96" s="84"/>
      <c r="JA96" s="85" t="str">
        <f t="shared" si="512"/>
        <v/>
      </c>
      <c r="JB96" s="85" t="str">
        <f t="shared" si="616"/>
        <v/>
      </c>
      <c r="JC96" s="84"/>
      <c r="JD96" s="85" t="str">
        <f t="shared" si="513"/>
        <v/>
      </c>
      <c r="JE96" s="85" t="str">
        <f t="shared" si="617"/>
        <v/>
      </c>
      <c r="JF96" s="84"/>
      <c r="JG96" s="85" t="str">
        <f t="shared" si="514"/>
        <v/>
      </c>
      <c r="JH96" s="85" t="str">
        <f t="shared" si="618"/>
        <v/>
      </c>
      <c r="JI96" s="84"/>
      <c r="JJ96" s="85" t="str">
        <f t="shared" si="515"/>
        <v/>
      </c>
      <c r="JK96" s="85" t="str">
        <f t="shared" si="619"/>
        <v/>
      </c>
      <c r="JL96" s="84"/>
      <c r="JM96" s="85" t="str">
        <f t="shared" si="516"/>
        <v/>
      </c>
      <c r="JN96" s="85" t="str">
        <f t="shared" si="620"/>
        <v/>
      </c>
      <c r="JO96" s="84"/>
      <c r="JP96" s="85" t="str">
        <f t="shared" si="517"/>
        <v/>
      </c>
      <c r="JQ96" s="85" t="str">
        <f t="shared" si="621"/>
        <v/>
      </c>
      <c r="JR96" s="84"/>
      <c r="JS96" s="85" t="str">
        <f t="shared" si="518"/>
        <v/>
      </c>
      <c r="JT96" s="85" t="str">
        <f t="shared" si="622"/>
        <v/>
      </c>
      <c r="JU96" s="84"/>
      <c r="JV96" s="85" t="str">
        <f t="shared" si="519"/>
        <v/>
      </c>
      <c r="JW96" s="85" t="str">
        <f t="shared" si="623"/>
        <v/>
      </c>
      <c r="JX96" s="84"/>
      <c r="JY96" s="85" t="str">
        <f t="shared" si="520"/>
        <v/>
      </c>
      <c r="JZ96" s="85" t="str">
        <f t="shared" si="624"/>
        <v/>
      </c>
      <c r="KA96" s="84"/>
      <c r="KB96" s="85" t="str">
        <f t="shared" si="521"/>
        <v/>
      </c>
      <c r="KC96" s="85" t="str">
        <f t="shared" si="625"/>
        <v/>
      </c>
      <c r="KD96" s="84"/>
      <c r="KE96" s="85" t="str">
        <f t="shared" si="522"/>
        <v/>
      </c>
      <c r="KF96" s="85" t="str">
        <f t="shared" si="626"/>
        <v/>
      </c>
      <c r="KG96" s="84"/>
      <c r="KH96" s="85" t="str">
        <f t="shared" si="523"/>
        <v/>
      </c>
      <c r="KI96" s="85" t="str">
        <f t="shared" si="627"/>
        <v/>
      </c>
      <c r="KJ96" s="84"/>
      <c r="KK96" s="85" t="str">
        <f t="shared" si="524"/>
        <v/>
      </c>
      <c r="KL96" s="85" t="str">
        <f t="shared" si="628"/>
        <v/>
      </c>
      <c r="KM96" s="84"/>
      <c r="KN96" s="85" t="str">
        <f t="shared" si="525"/>
        <v/>
      </c>
      <c r="KO96" s="85" t="str">
        <f t="shared" si="629"/>
        <v/>
      </c>
      <c r="KP96" s="84"/>
      <c r="KQ96" s="85" t="str">
        <f t="shared" si="526"/>
        <v/>
      </c>
      <c r="KR96" s="85" t="str">
        <f t="shared" si="630"/>
        <v/>
      </c>
      <c r="KS96" s="84"/>
      <c r="KT96" s="85" t="str">
        <f t="shared" si="527"/>
        <v/>
      </c>
      <c r="KU96" s="85" t="str">
        <f t="shared" si="631"/>
        <v/>
      </c>
      <c r="KV96" s="84"/>
      <c r="KW96" s="85" t="str">
        <f t="shared" si="528"/>
        <v/>
      </c>
      <c r="KX96" s="85" t="str">
        <f t="shared" si="632"/>
        <v/>
      </c>
      <c r="KY96" s="90"/>
      <c r="KZ96" s="85" t="str">
        <f t="shared" si="529"/>
        <v/>
      </c>
      <c r="LA96" s="85" t="str">
        <f t="shared" si="633"/>
        <v/>
      </c>
      <c r="LB96" s="50" t="str">
        <f t="shared" si="654"/>
        <v/>
      </c>
      <c r="LC96" s="57" t="str">
        <f t="shared" si="634"/>
        <v/>
      </c>
      <c r="LD96" s="50" t="str">
        <f t="shared" si="635"/>
        <v/>
      </c>
      <c r="LE96" s="57" t="str">
        <f t="shared" si="636"/>
        <v/>
      </c>
      <c r="LF96" s="50" t="str">
        <f t="shared" si="637"/>
        <v/>
      </c>
      <c r="LG96" s="57" t="str">
        <f t="shared" si="638"/>
        <v/>
      </c>
      <c r="LH96" s="58" t="str">
        <f t="shared" si="655"/>
        <v/>
      </c>
      <c r="LI96" s="58" t="str">
        <f t="shared" si="656"/>
        <v/>
      </c>
      <c r="LJ96" s="58" t="str">
        <f t="shared" si="657"/>
        <v/>
      </c>
      <c r="LK96" s="58" t="str">
        <f t="shared" si="639"/>
        <v/>
      </c>
      <c r="LL96" s="60" t="str">
        <f t="shared" si="640"/>
        <v/>
      </c>
      <c r="LM96" s="55"/>
      <c r="LN96" s="61" t="str">
        <f t="shared" si="653"/>
        <v/>
      </c>
      <c r="LO96" s="61" t="str">
        <f t="shared" si="646"/>
        <v/>
      </c>
      <c r="LP96" s="55"/>
      <c r="LQ96" s="55"/>
      <c r="LR96" s="55"/>
      <c r="LS96" s="63"/>
      <c r="LT96" s="63"/>
      <c r="LU96" s="63"/>
      <c r="LV96" s="63"/>
      <c r="LW96" s="63"/>
      <c r="LX96" s="63"/>
      <c r="LY96" s="63"/>
      <c r="LZ96" s="63"/>
      <c r="MA96" s="63"/>
      <c r="MB96" s="63"/>
      <c r="MC96" s="63"/>
      <c r="MD96" s="63"/>
      <c r="ME96" s="63"/>
      <c r="MF96" s="63"/>
      <c r="MG96" s="63"/>
      <c r="MH96" s="63"/>
      <c r="MI96" s="63"/>
      <c r="MJ96" s="63"/>
    </row>
    <row r="97" spans="1:348">
      <c r="A97" s="50">
        <f t="shared" si="642"/>
        <v>0</v>
      </c>
      <c r="B97" s="50">
        <f t="shared" si="643"/>
        <v>0</v>
      </c>
      <c r="C97" s="77"/>
      <c r="D97" s="75"/>
      <c r="E97" s="63"/>
      <c r="F97" s="63"/>
      <c r="G97" s="63"/>
      <c r="H97" s="63"/>
      <c r="I97" s="63"/>
      <c r="J97" s="63"/>
      <c r="K97" s="63"/>
      <c r="L97" s="63"/>
      <c r="M97" s="54" t="s">
        <v>35</v>
      </c>
      <c r="N97" s="84"/>
      <c r="O97" s="85" t="str">
        <f t="shared" si="431"/>
        <v/>
      </c>
      <c r="P97" s="85" t="str">
        <f t="shared" si="534"/>
        <v/>
      </c>
      <c r="Q97" s="84"/>
      <c r="R97" s="85" t="str">
        <f t="shared" si="432"/>
        <v/>
      </c>
      <c r="S97" s="85" t="str">
        <f t="shared" si="535"/>
        <v/>
      </c>
      <c r="T97" s="84"/>
      <c r="U97" s="85" t="str">
        <f t="shared" si="433"/>
        <v/>
      </c>
      <c r="V97" s="85" t="str">
        <f t="shared" si="536"/>
        <v/>
      </c>
      <c r="W97" s="84"/>
      <c r="X97" s="85" t="str">
        <f t="shared" si="434"/>
        <v/>
      </c>
      <c r="Y97" s="85" t="str">
        <f t="shared" si="537"/>
        <v/>
      </c>
      <c r="Z97" s="84"/>
      <c r="AA97" s="85" t="str">
        <f t="shared" si="435"/>
        <v/>
      </c>
      <c r="AB97" s="85" t="str">
        <f t="shared" si="538"/>
        <v/>
      </c>
      <c r="AC97" s="84"/>
      <c r="AD97" s="85" t="str">
        <f t="shared" si="436"/>
        <v/>
      </c>
      <c r="AE97" s="85" t="str">
        <f t="shared" si="539"/>
        <v/>
      </c>
      <c r="AF97" s="84"/>
      <c r="AG97" s="85" t="str">
        <f t="shared" si="437"/>
        <v/>
      </c>
      <c r="AH97" s="85" t="str">
        <f t="shared" si="540"/>
        <v/>
      </c>
      <c r="AI97" s="84"/>
      <c r="AJ97" s="85" t="str">
        <f t="shared" si="438"/>
        <v/>
      </c>
      <c r="AK97" s="85" t="str">
        <f t="shared" si="541"/>
        <v/>
      </c>
      <c r="AL97" s="84"/>
      <c r="AM97" s="85" t="str">
        <f t="shared" si="439"/>
        <v/>
      </c>
      <c r="AN97" s="85" t="str">
        <f t="shared" si="542"/>
        <v/>
      </c>
      <c r="AO97" s="84"/>
      <c r="AP97" s="85" t="str">
        <f t="shared" si="440"/>
        <v/>
      </c>
      <c r="AQ97" s="85" t="str">
        <f t="shared" si="543"/>
        <v/>
      </c>
      <c r="AR97" s="84"/>
      <c r="AS97" s="85" t="str">
        <f t="shared" si="441"/>
        <v/>
      </c>
      <c r="AT97" s="85" t="str">
        <f t="shared" si="544"/>
        <v/>
      </c>
      <c r="AU97" s="84"/>
      <c r="AV97" s="85" t="str">
        <f t="shared" si="442"/>
        <v/>
      </c>
      <c r="AW97" s="85" t="str">
        <f t="shared" si="545"/>
        <v/>
      </c>
      <c r="AX97" s="84"/>
      <c r="AY97" s="85" t="str">
        <f t="shared" si="443"/>
        <v/>
      </c>
      <c r="AZ97" s="85" t="str">
        <f t="shared" si="546"/>
        <v/>
      </c>
      <c r="BA97" s="84"/>
      <c r="BB97" s="85" t="str">
        <f t="shared" si="444"/>
        <v/>
      </c>
      <c r="BC97" s="85" t="str">
        <f t="shared" si="547"/>
        <v/>
      </c>
      <c r="BD97" s="84"/>
      <c r="BE97" s="85" t="str">
        <f t="shared" si="445"/>
        <v/>
      </c>
      <c r="BF97" s="85" t="str">
        <f t="shared" si="548"/>
        <v/>
      </c>
      <c r="BG97" s="84"/>
      <c r="BH97" s="85" t="str">
        <f t="shared" si="446"/>
        <v/>
      </c>
      <c r="BI97" s="85" t="str">
        <f t="shared" si="549"/>
        <v/>
      </c>
      <c r="BJ97" s="84"/>
      <c r="BK97" s="85" t="str">
        <f t="shared" si="447"/>
        <v/>
      </c>
      <c r="BL97" s="85" t="str">
        <f t="shared" si="550"/>
        <v/>
      </c>
      <c r="BM97" s="84"/>
      <c r="BN97" s="85" t="str">
        <f t="shared" si="448"/>
        <v/>
      </c>
      <c r="BO97" s="85" t="str">
        <f t="shared" si="551"/>
        <v/>
      </c>
      <c r="BP97" s="87"/>
      <c r="BQ97" s="85" t="str">
        <f t="shared" si="449"/>
        <v/>
      </c>
      <c r="BR97" s="85" t="str">
        <f t="shared" si="552"/>
        <v/>
      </c>
      <c r="BS97" s="84"/>
      <c r="BT97" s="85" t="str">
        <f t="shared" si="450"/>
        <v/>
      </c>
      <c r="BU97" s="85" t="str">
        <f t="shared" si="553"/>
        <v/>
      </c>
      <c r="BV97" s="84"/>
      <c r="BW97" s="85" t="str">
        <f t="shared" si="451"/>
        <v/>
      </c>
      <c r="BX97" s="85" t="str">
        <f t="shared" si="554"/>
        <v/>
      </c>
      <c r="BY97" s="84"/>
      <c r="BZ97" s="85" t="str">
        <f t="shared" si="452"/>
        <v/>
      </c>
      <c r="CA97" s="85" t="str">
        <f t="shared" si="555"/>
        <v/>
      </c>
      <c r="CB97" s="84"/>
      <c r="CC97" s="85" t="str">
        <f t="shared" si="453"/>
        <v/>
      </c>
      <c r="CD97" s="85" t="str">
        <f t="shared" si="556"/>
        <v/>
      </c>
      <c r="CE97" s="84"/>
      <c r="CF97" s="85" t="str">
        <f t="shared" si="454"/>
        <v/>
      </c>
      <c r="CG97" s="85" t="str">
        <f t="shared" si="557"/>
        <v/>
      </c>
      <c r="CH97" s="84"/>
      <c r="CI97" s="85" t="str">
        <f t="shared" si="455"/>
        <v/>
      </c>
      <c r="CJ97" s="85" t="str">
        <f t="shared" si="558"/>
        <v/>
      </c>
      <c r="CK97" s="84"/>
      <c r="CL97" s="85" t="str">
        <f t="shared" si="456"/>
        <v/>
      </c>
      <c r="CM97" s="85" t="str">
        <f t="shared" si="559"/>
        <v/>
      </c>
      <c r="CN97" s="84"/>
      <c r="CO97" s="85" t="str">
        <f t="shared" si="457"/>
        <v/>
      </c>
      <c r="CP97" s="85" t="str">
        <f t="shared" si="560"/>
        <v/>
      </c>
      <c r="CQ97" s="84"/>
      <c r="CR97" s="85" t="str">
        <f t="shared" si="458"/>
        <v/>
      </c>
      <c r="CS97" s="85" t="str">
        <f t="shared" si="561"/>
        <v/>
      </c>
      <c r="CT97" s="84"/>
      <c r="CU97" s="85" t="str">
        <f t="shared" si="459"/>
        <v/>
      </c>
      <c r="CV97" s="85" t="str">
        <f t="shared" si="562"/>
        <v/>
      </c>
      <c r="CW97" s="84"/>
      <c r="CX97" s="85" t="str">
        <f t="shared" si="460"/>
        <v/>
      </c>
      <c r="CY97" s="85" t="str">
        <f t="shared" si="563"/>
        <v/>
      </c>
      <c r="CZ97" s="84"/>
      <c r="DA97" s="85" t="str">
        <f t="shared" si="461"/>
        <v/>
      </c>
      <c r="DB97" s="85" t="str">
        <f t="shared" si="564"/>
        <v/>
      </c>
      <c r="DC97" s="84"/>
      <c r="DD97" s="85" t="str">
        <f t="shared" si="462"/>
        <v/>
      </c>
      <c r="DE97" s="85" t="str">
        <f t="shared" si="565"/>
        <v/>
      </c>
      <c r="DF97" s="84"/>
      <c r="DG97" s="85"/>
      <c r="DH97" s="85" t="str">
        <f t="shared" si="566"/>
        <v/>
      </c>
      <c r="DI97" s="84"/>
      <c r="DJ97" s="85" t="str">
        <f t="shared" si="463"/>
        <v/>
      </c>
      <c r="DK97" s="85" t="str">
        <f t="shared" si="567"/>
        <v/>
      </c>
      <c r="DL97" s="84"/>
      <c r="DM97" s="85" t="str">
        <f t="shared" si="464"/>
        <v/>
      </c>
      <c r="DN97" s="85" t="str">
        <f t="shared" si="568"/>
        <v/>
      </c>
      <c r="DO97" s="84"/>
      <c r="DP97" s="85" t="str">
        <f t="shared" si="465"/>
        <v/>
      </c>
      <c r="DQ97" s="85" t="str">
        <f t="shared" si="569"/>
        <v/>
      </c>
      <c r="DR97" s="84"/>
      <c r="DS97" s="85" t="str">
        <f t="shared" si="466"/>
        <v/>
      </c>
      <c r="DT97" s="85" t="str">
        <f t="shared" si="570"/>
        <v/>
      </c>
      <c r="DU97" s="84"/>
      <c r="DV97" s="85" t="str">
        <f t="shared" si="467"/>
        <v/>
      </c>
      <c r="DW97" s="85" t="str">
        <f t="shared" si="571"/>
        <v/>
      </c>
      <c r="DX97" s="84"/>
      <c r="DY97" s="85" t="str">
        <f t="shared" si="468"/>
        <v/>
      </c>
      <c r="DZ97" s="85" t="str">
        <f t="shared" si="572"/>
        <v/>
      </c>
      <c r="EA97" s="84"/>
      <c r="EB97" s="85" t="str">
        <f t="shared" si="469"/>
        <v/>
      </c>
      <c r="EC97" s="85" t="str">
        <f t="shared" si="573"/>
        <v/>
      </c>
      <c r="ED97" s="84"/>
      <c r="EE97" s="85" t="str">
        <f t="shared" si="470"/>
        <v/>
      </c>
      <c r="EF97" s="85" t="str">
        <f t="shared" si="574"/>
        <v/>
      </c>
      <c r="EG97" s="84"/>
      <c r="EH97" s="85" t="str">
        <f t="shared" si="471"/>
        <v/>
      </c>
      <c r="EI97" s="85" t="str">
        <f t="shared" si="575"/>
        <v/>
      </c>
      <c r="EJ97" s="84"/>
      <c r="EK97" s="85" t="str">
        <f t="shared" si="472"/>
        <v/>
      </c>
      <c r="EL97" s="85" t="str">
        <f t="shared" si="576"/>
        <v/>
      </c>
      <c r="EM97" s="84"/>
      <c r="EN97" s="85" t="str">
        <f t="shared" si="473"/>
        <v/>
      </c>
      <c r="EO97" s="85" t="str">
        <f t="shared" si="577"/>
        <v/>
      </c>
      <c r="EP97" s="84"/>
      <c r="EQ97" s="85" t="str">
        <f t="shared" si="474"/>
        <v/>
      </c>
      <c r="ER97" s="85" t="str">
        <f t="shared" si="578"/>
        <v/>
      </c>
      <c r="ES97" s="87"/>
      <c r="ET97" s="85" t="str">
        <f t="shared" si="475"/>
        <v/>
      </c>
      <c r="EU97" s="85" t="str">
        <f t="shared" si="579"/>
        <v/>
      </c>
      <c r="EV97" s="84"/>
      <c r="EW97" s="85" t="str">
        <f t="shared" si="476"/>
        <v/>
      </c>
      <c r="EX97" s="85" t="str">
        <f t="shared" si="580"/>
        <v/>
      </c>
      <c r="EY97" s="84"/>
      <c r="EZ97" s="85" t="str">
        <f t="shared" si="477"/>
        <v/>
      </c>
      <c r="FA97" s="85" t="str">
        <f t="shared" si="581"/>
        <v/>
      </c>
      <c r="FB97" s="84"/>
      <c r="FC97" s="85" t="str">
        <f t="shared" si="478"/>
        <v/>
      </c>
      <c r="FD97" s="85" t="str">
        <f t="shared" si="582"/>
        <v/>
      </c>
      <c r="FE97" s="84"/>
      <c r="FF97" s="85" t="str">
        <f t="shared" si="479"/>
        <v/>
      </c>
      <c r="FG97" s="85" t="str">
        <f t="shared" si="583"/>
        <v/>
      </c>
      <c r="FH97" s="84"/>
      <c r="FI97" s="85" t="str">
        <f t="shared" si="480"/>
        <v/>
      </c>
      <c r="FJ97" s="85" t="str">
        <f t="shared" si="584"/>
        <v/>
      </c>
      <c r="FK97" s="84"/>
      <c r="FL97" s="85" t="str">
        <f t="shared" si="481"/>
        <v/>
      </c>
      <c r="FM97" s="85" t="str">
        <f t="shared" si="585"/>
        <v/>
      </c>
      <c r="FN97" s="84"/>
      <c r="FO97" s="85" t="str">
        <f t="shared" si="482"/>
        <v/>
      </c>
      <c r="FP97" s="85" t="str">
        <f t="shared" si="586"/>
        <v/>
      </c>
      <c r="FQ97" s="84"/>
      <c r="FR97" s="85" t="str">
        <f t="shared" si="483"/>
        <v/>
      </c>
      <c r="FS97" s="85" t="str">
        <f t="shared" si="587"/>
        <v/>
      </c>
      <c r="FT97" s="84"/>
      <c r="FU97" s="85" t="str">
        <f t="shared" si="484"/>
        <v/>
      </c>
      <c r="FV97" s="85" t="str">
        <f t="shared" si="588"/>
        <v/>
      </c>
      <c r="FW97" s="90"/>
      <c r="FX97" s="85" t="str">
        <f t="shared" si="485"/>
        <v/>
      </c>
      <c r="FY97" s="85" t="str">
        <f t="shared" si="589"/>
        <v/>
      </c>
      <c r="FZ97" s="84"/>
      <c r="GA97" s="85" t="str">
        <f t="shared" si="486"/>
        <v/>
      </c>
      <c r="GB97" s="85" t="str">
        <f t="shared" si="590"/>
        <v/>
      </c>
      <c r="GC97" s="84"/>
      <c r="GD97" s="85" t="str">
        <f t="shared" si="487"/>
        <v/>
      </c>
      <c r="GE97" s="85" t="str">
        <f t="shared" si="591"/>
        <v/>
      </c>
      <c r="GF97" s="84"/>
      <c r="GG97" s="85" t="str">
        <f t="shared" si="488"/>
        <v/>
      </c>
      <c r="GH97" s="85" t="str">
        <f t="shared" si="592"/>
        <v/>
      </c>
      <c r="GI97" s="84"/>
      <c r="GJ97" s="85" t="str">
        <f t="shared" si="489"/>
        <v/>
      </c>
      <c r="GK97" s="85" t="str">
        <f t="shared" si="593"/>
        <v/>
      </c>
      <c r="GL97" s="84"/>
      <c r="GM97" s="85" t="str">
        <f t="shared" si="490"/>
        <v/>
      </c>
      <c r="GN97" s="85" t="str">
        <f t="shared" si="594"/>
        <v/>
      </c>
      <c r="GO97" s="84"/>
      <c r="GP97" s="85" t="str">
        <f t="shared" si="491"/>
        <v/>
      </c>
      <c r="GQ97" s="85" t="str">
        <f t="shared" si="595"/>
        <v/>
      </c>
      <c r="GR97" s="84"/>
      <c r="GS97" s="85" t="str">
        <f t="shared" si="492"/>
        <v/>
      </c>
      <c r="GT97" s="85" t="str">
        <f t="shared" si="596"/>
        <v/>
      </c>
      <c r="GU97" s="84"/>
      <c r="GV97" s="85" t="str">
        <f t="shared" si="493"/>
        <v/>
      </c>
      <c r="GW97" s="85" t="str">
        <f t="shared" si="597"/>
        <v/>
      </c>
      <c r="GX97" s="84"/>
      <c r="GY97" s="85" t="str">
        <f t="shared" si="494"/>
        <v/>
      </c>
      <c r="GZ97" s="85" t="str">
        <f t="shared" si="598"/>
        <v/>
      </c>
      <c r="HA97" s="84"/>
      <c r="HB97" s="85" t="str">
        <f t="shared" si="495"/>
        <v/>
      </c>
      <c r="HC97" s="85" t="str">
        <f t="shared" si="599"/>
        <v/>
      </c>
      <c r="HD97" s="84"/>
      <c r="HE97" s="85" t="str">
        <f t="shared" si="496"/>
        <v/>
      </c>
      <c r="HF97" s="85" t="str">
        <f t="shared" si="600"/>
        <v/>
      </c>
      <c r="HG97" s="84"/>
      <c r="HH97" s="85" t="str">
        <f t="shared" si="497"/>
        <v/>
      </c>
      <c r="HI97" s="85" t="str">
        <f t="shared" si="601"/>
        <v/>
      </c>
      <c r="HJ97" s="84"/>
      <c r="HK97" s="85" t="str">
        <f t="shared" si="498"/>
        <v/>
      </c>
      <c r="HL97" s="85" t="str">
        <f t="shared" si="602"/>
        <v/>
      </c>
      <c r="HM97" s="84"/>
      <c r="HN97" s="85" t="str">
        <f t="shared" si="499"/>
        <v/>
      </c>
      <c r="HO97" s="85" t="str">
        <f t="shared" si="603"/>
        <v/>
      </c>
      <c r="HP97" s="84"/>
      <c r="HQ97" s="85" t="str">
        <f t="shared" si="500"/>
        <v/>
      </c>
      <c r="HR97" s="85" t="str">
        <f t="shared" si="604"/>
        <v/>
      </c>
      <c r="HS97" s="84"/>
      <c r="HT97" s="85" t="str">
        <f t="shared" si="501"/>
        <v/>
      </c>
      <c r="HU97" s="85" t="str">
        <f t="shared" si="605"/>
        <v/>
      </c>
      <c r="HV97" s="84"/>
      <c r="HW97" s="85" t="str">
        <f t="shared" si="502"/>
        <v/>
      </c>
      <c r="HX97" s="85" t="str">
        <f t="shared" si="606"/>
        <v/>
      </c>
      <c r="HY97" s="84"/>
      <c r="HZ97" s="85" t="str">
        <f t="shared" si="503"/>
        <v/>
      </c>
      <c r="IA97" s="85" t="str">
        <f t="shared" si="607"/>
        <v/>
      </c>
      <c r="IB97" s="84"/>
      <c r="IC97" s="85" t="str">
        <f t="shared" si="504"/>
        <v/>
      </c>
      <c r="ID97" s="85" t="str">
        <f t="shared" si="608"/>
        <v/>
      </c>
      <c r="IE97" s="84"/>
      <c r="IF97" s="85" t="str">
        <f t="shared" si="505"/>
        <v/>
      </c>
      <c r="IG97" s="85" t="str">
        <f t="shared" si="609"/>
        <v/>
      </c>
      <c r="IH97" s="84"/>
      <c r="II97" s="85" t="str">
        <f t="shared" si="506"/>
        <v/>
      </c>
      <c r="IJ97" s="85" t="str">
        <f t="shared" si="610"/>
        <v/>
      </c>
      <c r="IK97" s="84"/>
      <c r="IL97" s="85" t="str">
        <f t="shared" si="507"/>
        <v/>
      </c>
      <c r="IM97" s="85" t="str">
        <f t="shared" si="611"/>
        <v/>
      </c>
      <c r="IN97" s="84"/>
      <c r="IO97" s="85" t="str">
        <f t="shared" si="508"/>
        <v/>
      </c>
      <c r="IP97" s="85" t="str">
        <f t="shared" si="612"/>
        <v/>
      </c>
      <c r="IQ97" s="84"/>
      <c r="IR97" s="85" t="str">
        <f t="shared" si="509"/>
        <v/>
      </c>
      <c r="IS97" s="85" t="str">
        <f t="shared" si="613"/>
        <v/>
      </c>
      <c r="IT97" s="84"/>
      <c r="IU97" s="85" t="str">
        <f t="shared" si="510"/>
        <v/>
      </c>
      <c r="IV97" s="85" t="str">
        <f t="shared" si="614"/>
        <v/>
      </c>
      <c r="IW97" s="84"/>
      <c r="IX97" s="85" t="str">
        <f t="shared" si="511"/>
        <v/>
      </c>
      <c r="IY97" s="85" t="str">
        <f t="shared" si="615"/>
        <v/>
      </c>
      <c r="IZ97" s="84"/>
      <c r="JA97" s="85" t="str">
        <f t="shared" si="512"/>
        <v/>
      </c>
      <c r="JB97" s="85" t="str">
        <f t="shared" si="616"/>
        <v/>
      </c>
      <c r="JC97" s="84"/>
      <c r="JD97" s="85" t="str">
        <f t="shared" si="513"/>
        <v/>
      </c>
      <c r="JE97" s="85" t="str">
        <f t="shared" si="617"/>
        <v/>
      </c>
      <c r="JF97" s="84"/>
      <c r="JG97" s="85" t="str">
        <f t="shared" si="514"/>
        <v/>
      </c>
      <c r="JH97" s="85" t="str">
        <f t="shared" si="618"/>
        <v/>
      </c>
      <c r="JI97" s="84"/>
      <c r="JJ97" s="85" t="str">
        <f t="shared" si="515"/>
        <v/>
      </c>
      <c r="JK97" s="85" t="str">
        <f t="shared" si="619"/>
        <v/>
      </c>
      <c r="JL97" s="84"/>
      <c r="JM97" s="85" t="str">
        <f t="shared" si="516"/>
        <v/>
      </c>
      <c r="JN97" s="85" t="str">
        <f t="shared" si="620"/>
        <v/>
      </c>
      <c r="JO97" s="84"/>
      <c r="JP97" s="85" t="str">
        <f t="shared" si="517"/>
        <v/>
      </c>
      <c r="JQ97" s="85" t="str">
        <f t="shared" si="621"/>
        <v/>
      </c>
      <c r="JR97" s="84"/>
      <c r="JS97" s="85" t="str">
        <f t="shared" si="518"/>
        <v/>
      </c>
      <c r="JT97" s="85" t="str">
        <f t="shared" si="622"/>
        <v/>
      </c>
      <c r="JU97" s="84"/>
      <c r="JV97" s="85" t="str">
        <f t="shared" si="519"/>
        <v/>
      </c>
      <c r="JW97" s="85" t="str">
        <f t="shared" si="623"/>
        <v/>
      </c>
      <c r="JX97" s="84"/>
      <c r="JY97" s="85" t="str">
        <f t="shared" si="520"/>
        <v/>
      </c>
      <c r="JZ97" s="85" t="str">
        <f t="shared" si="624"/>
        <v/>
      </c>
      <c r="KA97" s="84"/>
      <c r="KB97" s="85" t="str">
        <f t="shared" si="521"/>
        <v/>
      </c>
      <c r="KC97" s="85" t="str">
        <f t="shared" si="625"/>
        <v/>
      </c>
      <c r="KD97" s="84"/>
      <c r="KE97" s="85" t="str">
        <f t="shared" si="522"/>
        <v/>
      </c>
      <c r="KF97" s="85" t="str">
        <f t="shared" si="626"/>
        <v/>
      </c>
      <c r="KG97" s="84"/>
      <c r="KH97" s="85" t="str">
        <f t="shared" si="523"/>
        <v/>
      </c>
      <c r="KI97" s="85" t="str">
        <f t="shared" si="627"/>
        <v/>
      </c>
      <c r="KJ97" s="84"/>
      <c r="KK97" s="85" t="str">
        <f t="shared" si="524"/>
        <v/>
      </c>
      <c r="KL97" s="85" t="str">
        <f t="shared" si="628"/>
        <v/>
      </c>
      <c r="KM97" s="84"/>
      <c r="KN97" s="85" t="str">
        <f t="shared" si="525"/>
        <v/>
      </c>
      <c r="KO97" s="85" t="str">
        <f t="shared" si="629"/>
        <v/>
      </c>
      <c r="KP97" s="84"/>
      <c r="KQ97" s="85" t="str">
        <f t="shared" si="526"/>
        <v/>
      </c>
      <c r="KR97" s="85" t="str">
        <f t="shared" si="630"/>
        <v/>
      </c>
      <c r="KS97" s="84"/>
      <c r="KT97" s="85" t="str">
        <f t="shared" si="527"/>
        <v/>
      </c>
      <c r="KU97" s="85" t="str">
        <f t="shared" si="631"/>
        <v/>
      </c>
      <c r="KV97" s="84"/>
      <c r="KW97" s="85" t="str">
        <f t="shared" si="528"/>
        <v/>
      </c>
      <c r="KX97" s="85" t="str">
        <f t="shared" si="632"/>
        <v/>
      </c>
      <c r="KY97" s="90"/>
      <c r="KZ97" s="85" t="str">
        <f t="shared" si="529"/>
        <v/>
      </c>
      <c r="LA97" s="85" t="str">
        <f t="shared" si="633"/>
        <v/>
      </c>
      <c r="LB97" s="50" t="str">
        <f t="shared" si="654"/>
        <v/>
      </c>
      <c r="LC97" s="57" t="str">
        <f t="shared" si="634"/>
        <v/>
      </c>
      <c r="LD97" s="50" t="str">
        <f t="shared" si="635"/>
        <v/>
      </c>
      <c r="LE97" s="57" t="str">
        <f t="shared" si="636"/>
        <v/>
      </c>
      <c r="LF97" s="50" t="str">
        <f t="shared" si="637"/>
        <v/>
      </c>
      <c r="LG97" s="57" t="str">
        <f t="shared" si="638"/>
        <v/>
      </c>
      <c r="LH97" s="58" t="str">
        <f t="shared" si="655"/>
        <v/>
      </c>
      <c r="LI97" s="58" t="str">
        <f t="shared" si="656"/>
        <v/>
      </c>
      <c r="LJ97" s="58" t="str">
        <f t="shared" si="657"/>
        <v/>
      </c>
      <c r="LK97" s="58" t="str">
        <f t="shared" si="639"/>
        <v/>
      </c>
      <c r="LL97" s="60" t="str">
        <f t="shared" si="640"/>
        <v/>
      </c>
      <c r="LM97" s="55"/>
      <c r="LN97" s="61" t="str">
        <f t="shared" si="653"/>
        <v/>
      </c>
      <c r="LO97" s="61" t="str">
        <f t="shared" si="646"/>
        <v/>
      </c>
      <c r="LP97" s="55"/>
      <c r="LQ97" s="55"/>
      <c r="LR97" s="55"/>
      <c r="LS97" s="63"/>
      <c r="LT97" s="63"/>
      <c r="LU97" s="63"/>
      <c r="LV97" s="63"/>
      <c r="LW97" s="63"/>
      <c r="LX97" s="63"/>
      <c r="LY97" s="63"/>
      <c r="LZ97" s="63"/>
      <c r="MA97" s="63"/>
      <c r="MB97" s="63"/>
      <c r="MC97" s="63"/>
      <c r="MD97" s="63"/>
      <c r="ME97" s="63"/>
      <c r="MF97" s="63"/>
      <c r="MG97" s="63"/>
      <c r="MH97" s="63"/>
      <c r="MI97" s="63"/>
      <c r="MJ97" s="63"/>
    </row>
    <row r="98" spans="1:348">
      <c r="A98" s="50">
        <f t="shared" si="642"/>
        <v>0</v>
      </c>
      <c r="B98" s="50">
        <f t="shared" si="643"/>
        <v>0</v>
      </c>
      <c r="C98" s="77"/>
      <c r="D98" s="75"/>
      <c r="E98" s="63"/>
      <c r="F98" s="63"/>
      <c r="G98" s="63"/>
      <c r="H98" s="63"/>
      <c r="I98" s="63"/>
      <c r="J98" s="63"/>
      <c r="K98" s="63"/>
      <c r="L98" s="63"/>
      <c r="M98" s="54" t="s">
        <v>35</v>
      </c>
      <c r="N98" s="84"/>
      <c r="O98" s="85" t="str">
        <f t="shared" si="431"/>
        <v/>
      </c>
      <c r="P98" s="85" t="str">
        <f t="shared" si="534"/>
        <v/>
      </c>
      <c r="Q98" s="84"/>
      <c r="R98" s="85" t="str">
        <f t="shared" si="432"/>
        <v/>
      </c>
      <c r="S98" s="85" t="str">
        <f t="shared" si="535"/>
        <v/>
      </c>
      <c r="T98" s="84"/>
      <c r="U98" s="85" t="str">
        <f t="shared" si="433"/>
        <v/>
      </c>
      <c r="V98" s="85" t="str">
        <f t="shared" si="536"/>
        <v/>
      </c>
      <c r="W98" s="84"/>
      <c r="X98" s="85" t="str">
        <f t="shared" si="434"/>
        <v/>
      </c>
      <c r="Y98" s="85" t="str">
        <f t="shared" si="537"/>
        <v/>
      </c>
      <c r="Z98" s="84"/>
      <c r="AA98" s="85" t="str">
        <f t="shared" si="435"/>
        <v/>
      </c>
      <c r="AB98" s="85" t="str">
        <f t="shared" si="538"/>
        <v/>
      </c>
      <c r="AC98" s="84"/>
      <c r="AD98" s="85" t="str">
        <f t="shared" si="436"/>
        <v/>
      </c>
      <c r="AE98" s="85" t="str">
        <f t="shared" si="539"/>
        <v/>
      </c>
      <c r="AF98" s="84"/>
      <c r="AG98" s="85" t="str">
        <f t="shared" si="437"/>
        <v/>
      </c>
      <c r="AH98" s="85" t="str">
        <f t="shared" si="540"/>
        <v/>
      </c>
      <c r="AI98" s="84"/>
      <c r="AJ98" s="85" t="str">
        <f t="shared" si="438"/>
        <v/>
      </c>
      <c r="AK98" s="85" t="str">
        <f t="shared" si="541"/>
        <v/>
      </c>
      <c r="AL98" s="84"/>
      <c r="AM98" s="85" t="str">
        <f t="shared" si="439"/>
        <v/>
      </c>
      <c r="AN98" s="85" t="str">
        <f t="shared" si="542"/>
        <v/>
      </c>
      <c r="AO98" s="84"/>
      <c r="AP98" s="85" t="str">
        <f t="shared" si="440"/>
        <v/>
      </c>
      <c r="AQ98" s="85" t="str">
        <f t="shared" si="543"/>
        <v/>
      </c>
      <c r="AR98" s="84"/>
      <c r="AS98" s="85" t="str">
        <f t="shared" si="441"/>
        <v/>
      </c>
      <c r="AT98" s="85" t="str">
        <f t="shared" si="544"/>
        <v/>
      </c>
      <c r="AU98" s="84"/>
      <c r="AV98" s="85" t="str">
        <f t="shared" si="442"/>
        <v/>
      </c>
      <c r="AW98" s="85" t="str">
        <f t="shared" si="545"/>
        <v/>
      </c>
      <c r="AX98" s="84"/>
      <c r="AY98" s="85" t="str">
        <f t="shared" si="443"/>
        <v/>
      </c>
      <c r="AZ98" s="85" t="str">
        <f t="shared" si="546"/>
        <v/>
      </c>
      <c r="BA98" s="84"/>
      <c r="BB98" s="85" t="str">
        <f t="shared" si="444"/>
        <v/>
      </c>
      <c r="BC98" s="85" t="str">
        <f t="shared" si="547"/>
        <v/>
      </c>
      <c r="BD98" s="84"/>
      <c r="BE98" s="85" t="str">
        <f t="shared" si="445"/>
        <v/>
      </c>
      <c r="BF98" s="85" t="str">
        <f t="shared" si="548"/>
        <v/>
      </c>
      <c r="BG98" s="84"/>
      <c r="BH98" s="85" t="str">
        <f t="shared" si="446"/>
        <v/>
      </c>
      <c r="BI98" s="85" t="str">
        <f t="shared" si="549"/>
        <v/>
      </c>
      <c r="BJ98" s="84"/>
      <c r="BK98" s="85" t="str">
        <f t="shared" si="447"/>
        <v/>
      </c>
      <c r="BL98" s="85" t="str">
        <f t="shared" si="550"/>
        <v/>
      </c>
      <c r="BM98" s="84"/>
      <c r="BN98" s="85" t="str">
        <f t="shared" si="448"/>
        <v/>
      </c>
      <c r="BO98" s="85" t="str">
        <f t="shared" si="551"/>
        <v/>
      </c>
      <c r="BP98" s="87"/>
      <c r="BQ98" s="85" t="str">
        <f t="shared" si="449"/>
        <v/>
      </c>
      <c r="BR98" s="85" t="str">
        <f t="shared" si="552"/>
        <v/>
      </c>
      <c r="BS98" s="84"/>
      <c r="BT98" s="85" t="str">
        <f t="shared" si="450"/>
        <v/>
      </c>
      <c r="BU98" s="85" t="str">
        <f t="shared" si="553"/>
        <v/>
      </c>
      <c r="BV98" s="84"/>
      <c r="BW98" s="85" t="str">
        <f t="shared" si="451"/>
        <v/>
      </c>
      <c r="BX98" s="85" t="str">
        <f t="shared" si="554"/>
        <v/>
      </c>
      <c r="BY98" s="84"/>
      <c r="BZ98" s="85" t="str">
        <f t="shared" si="452"/>
        <v/>
      </c>
      <c r="CA98" s="85" t="str">
        <f t="shared" si="555"/>
        <v/>
      </c>
      <c r="CB98" s="84"/>
      <c r="CC98" s="85" t="str">
        <f t="shared" si="453"/>
        <v/>
      </c>
      <c r="CD98" s="85" t="str">
        <f t="shared" si="556"/>
        <v/>
      </c>
      <c r="CE98" s="84"/>
      <c r="CF98" s="85" t="str">
        <f t="shared" si="454"/>
        <v/>
      </c>
      <c r="CG98" s="85" t="str">
        <f t="shared" si="557"/>
        <v/>
      </c>
      <c r="CH98" s="84"/>
      <c r="CI98" s="85" t="str">
        <f t="shared" si="455"/>
        <v/>
      </c>
      <c r="CJ98" s="85" t="str">
        <f t="shared" si="558"/>
        <v/>
      </c>
      <c r="CK98" s="84"/>
      <c r="CL98" s="85" t="str">
        <f t="shared" si="456"/>
        <v/>
      </c>
      <c r="CM98" s="85" t="str">
        <f t="shared" si="559"/>
        <v/>
      </c>
      <c r="CN98" s="84"/>
      <c r="CO98" s="85" t="str">
        <f t="shared" si="457"/>
        <v/>
      </c>
      <c r="CP98" s="85" t="str">
        <f t="shared" si="560"/>
        <v/>
      </c>
      <c r="CQ98" s="84"/>
      <c r="CR98" s="85" t="str">
        <f t="shared" si="458"/>
        <v/>
      </c>
      <c r="CS98" s="85" t="str">
        <f t="shared" si="561"/>
        <v/>
      </c>
      <c r="CT98" s="84"/>
      <c r="CU98" s="85" t="str">
        <f t="shared" si="459"/>
        <v/>
      </c>
      <c r="CV98" s="85" t="str">
        <f t="shared" si="562"/>
        <v/>
      </c>
      <c r="CW98" s="84"/>
      <c r="CX98" s="85" t="str">
        <f t="shared" si="460"/>
        <v/>
      </c>
      <c r="CY98" s="85" t="str">
        <f t="shared" si="563"/>
        <v/>
      </c>
      <c r="CZ98" s="84"/>
      <c r="DA98" s="85" t="str">
        <f t="shared" si="461"/>
        <v/>
      </c>
      <c r="DB98" s="85" t="str">
        <f t="shared" si="564"/>
        <v/>
      </c>
      <c r="DC98" s="84"/>
      <c r="DD98" s="85" t="str">
        <f t="shared" si="462"/>
        <v/>
      </c>
      <c r="DE98" s="85" t="str">
        <f t="shared" si="565"/>
        <v/>
      </c>
      <c r="DF98" s="84"/>
      <c r="DG98" s="85"/>
      <c r="DH98" s="85" t="str">
        <f t="shared" si="566"/>
        <v/>
      </c>
      <c r="DI98" s="84"/>
      <c r="DJ98" s="85" t="str">
        <f t="shared" si="463"/>
        <v/>
      </c>
      <c r="DK98" s="85" t="str">
        <f t="shared" si="567"/>
        <v/>
      </c>
      <c r="DL98" s="84"/>
      <c r="DM98" s="85" t="str">
        <f t="shared" si="464"/>
        <v/>
      </c>
      <c r="DN98" s="85" t="str">
        <f t="shared" si="568"/>
        <v/>
      </c>
      <c r="DO98" s="84"/>
      <c r="DP98" s="85" t="str">
        <f t="shared" si="465"/>
        <v/>
      </c>
      <c r="DQ98" s="85" t="str">
        <f t="shared" si="569"/>
        <v/>
      </c>
      <c r="DR98" s="84"/>
      <c r="DS98" s="85" t="str">
        <f t="shared" si="466"/>
        <v/>
      </c>
      <c r="DT98" s="85" t="str">
        <f t="shared" si="570"/>
        <v/>
      </c>
      <c r="DU98" s="84"/>
      <c r="DV98" s="85" t="str">
        <f t="shared" si="467"/>
        <v/>
      </c>
      <c r="DW98" s="85" t="str">
        <f t="shared" si="571"/>
        <v/>
      </c>
      <c r="DX98" s="84"/>
      <c r="DY98" s="85" t="str">
        <f t="shared" si="468"/>
        <v/>
      </c>
      <c r="DZ98" s="85" t="str">
        <f t="shared" si="572"/>
        <v/>
      </c>
      <c r="EA98" s="84"/>
      <c r="EB98" s="85" t="str">
        <f t="shared" si="469"/>
        <v/>
      </c>
      <c r="EC98" s="85" t="str">
        <f t="shared" si="573"/>
        <v/>
      </c>
      <c r="ED98" s="84"/>
      <c r="EE98" s="85" t="str">
        <f t="shared" si="470"/>
        <v/>
      </c>
      <c r="EF98" s="85" t="str">
        <f t="shared" si="574"/>
        <v/>
      </c>
      <c r="EG98" s="84"/>
      <c r="EH98" s="85" t="str">
        <f t="shared" si="471"/>
        <v/>
      </c>
      <c r="EI98" s="85" t="str">
        <f t="shared" si="575"/>
        <v/>
      </c>
      <c r="EJ98" s="84"/>
      <c r="EK98" s="85" t="str">
        <f t="shared" si="472"/>
        <v/>
      </c>
      <c r="EL98" s="85" t="str">
        <f t="shared" si="576"/>
        <v/>
      </c>
      <c r="EM98" s="84"/>
      <c r="EN98" s="85" t="str">
        <f t="shared" si="473"/>
        <v/>
      </c>
      <c r="EO98" s="85" t="str">
        <f t="shared" si="577"/>
        <v/>
      </c>
      <c r="EP98" s="84"/>
      <c r="EQ98" s="85" t="str">
        <f t="shared" si="474"/>
        <v/>
      </c>
      <c r="ER98" s="85" t="str">
        <f t="shared" si="578"/>
        <v/>
      </c>
      <c r="ES98" s="87"/>
      <c r="ET98" s="85" t="str">
        <f t="shared" si="475"/>
        <v/>
      </c>
      <c r="EU98" s="85" t="str">
        <f t="shared" si="579"/>
        <v/>
      </c>
      <c r="EV98" s="84"/>
      <c r="EW98" s="85" t="str">
        <f t="shared" si="476"/>
        <v/>
      </c>
      <c r="EX98" s="85" t="str">
        <f t="shared" si="580"/>
        <v/>
      </c>
      <c r="EY98" s="84"/>
      <c r="EZ98" s="85" t="str">
        <f t="shared" si="477"/>
        <v/>
      </c>
      <c r="FA98" s="85" t="str">
        <f t="shared" si="581"/>
        <v/>
      </c>
      <c r="FB98" s="84"/>
      <c r="FC98" s="85" t="str">
        <f t="shared" si="478"/>
        <v/>
      </c>
      <c r="FD98" s="85" t="str">
        <f t="shared" si="582"/>
        <v/>
      </c>
      <c r="FE98" s="84"/>
      <c r="FF98" s="85" t="str">
        <f t="shared" si="479"/>
        <v/>
      </c>
      <c r="FG98" s="85" t="str">
        <f t="shared" si="583"/>
        <v/>
      </c>
      <c r="FH98" s="84"/>
      <c r="FI98" s="85" t="str">
        <f t="shared" si="480"/>
        <v/>
      </c>
      <c r="FJ98" s="85" t="str">
        <f t="shared" si="584"/>
        <v/>
      </c>
      <c r="FK98" s="84"/>
      <c r="FL98" s="85" t="str">
        <f t="shared" si="481"/>
        <v/>
      </c>
      <c r="FM98" s="85" t="str">
        <f t="shared" si="585"/>
        <v/>
      </c>
      <c r="FN98" s="84"/>
      <c r="FO98" s="85" t="str">
        <f t="shared" si="482"/>
        <v/>
      </c>
      <c r="FP98" s="85" t="str">
        <f t="shared" si="586"/>
        <v/>
      </c>
      <c r="FQ98" s="84"/>
      <c r="FR98" s="85" t="str">
        <f t="shared" si="483"/>
        <v/>
      </c>
      <c r="FS98" s="85" t="str">
        <f t="shared" si="587"/>
        <v/>
      </c>
      <c r="FT98" s="84"/>
      <c r="FU98" s="85" t="str">
        <f t="shared" si="484"/>
        <v/>
      </c>
      <c r="FV98" s="85" t="str">
        <f t="shared" si="588"/>
        <v/>
      </c>
      <c r="FW98" s="90"/>
      <c r="FX98" s="85" t="str">
        <f t="shared" si="485"/>
        <v/>
      </c>
      <c r="FY98" s="85" t="str">
        <f t="shared" si="589"/>
        <v/>
      </c>
      <c r="FZ98" s="84"/>
      <c r="GA98" s="85" t="str">
        <f t="shared" si="486"/>
        <v/>
      </c>
      <c r="GB98" s="85" t="str">
        <f t="shared" si="590"/>
        <v/>
      </c>
      <c r="GC98" s="84"/>
      <c r="GD98" s="85" t="str">
        <f t="shared" si="487"/>
        <v/>
      </c>
      <c r="GE98" s="85" t="str">
        <f t="shared" si="591"/>
        <v/>
      </c>
      <c r="GF98" s="84"/>
      <c r="GG98" s="85" t="str">
        <f t="shared" si="488"/>
        <v/>
      </c>
      <c r="GH98" s="85" t="str">
        <f t="shared" si="592"/>
        <v/>
      </c>
      <c r="GI98" s="84"/>
      <c r="GJ98" s="85" t="str">
        <f t="shared" si="489"/>
        <v/>
      </c>
      <c r="GK98" s="85" t="str">
        <f t="shared" si="593"/>
        <v/>
      </c>
      <c r="GL98" s="84"/>
      <c r="GM98" s="85" t="str">
        <f t="shared" si="490"/>
        <v/>
      </c>
      <c r="GN98" s="85" t="str">
        <f t="shared" si="594"/>
        <v/>
      </c>
      <c r="GO98" s="84"/>
      <c r="GP98" s="85" t="str">
        <f t="shared" si="491"/>
        <v/>
      </c>
      <c r="GQ98" s="85" t="str">
        <f t="shared" si="595"/>
        <v/>
      </c>
      <c r="GR98" s="84"/>
      <c r="GS98" s="85" t="str">
        <f t="shared" si="492"/>
        <v/>
      </c>
      <c r="GT98" s="85" t="str">
        <f t="shared" si="596"/>
        <v/>
      </c>
      <c r="GU98" s="84"/>
      <c r="GV98" s="85" t="str">
        <f t="shared" si="493"/>
        <v/>
      </c>
      <c r="GW98" s="85" t="str">
        <f t="shared" si="597"/>
        <v/>
      </c>
      <c r="GX98" s="84"/>
      <c r="GY98" s="85" t="str">
        <f t="shared" si="494"/>
        <v/>
      </c>
      <c r="GZ98" s="85" t="str">
        <f t="shared" si="598"/>
        <v/>
      </c>
      <c r="HA98" s="84"/>
      <c r="HB98" s="85" t="str">
        <f t="shared" si="495"/>
        <v/>
      </c>
      <c r="HC98" s="85" t="str">
        <f t="shared" si="599"/>
        <v/>
      </c>
      <c r="HD98" s="84"/>
      <c r="HE98" s="85" t="str">
        <f t="shared" si="496"/>
        <v/>
      </c>
      <c r="HF98" s="85" t="str">
        <f t="shared" si="600"/>
        <v/>
      </c>
      <c r="HG98" s="84"/>
      <c r="HH98" s="85" t="str">
        <f t="shared" si="497"/>
        <v/>
      </c>
      <c r="HI98" s="85" t="str">
        <f t="shared" si="601"/>
        <v/>
      </c>
      <c r="HJ98" s="84"/>
      <c r="HK98" s="85" t="str">
        <f t="shared" si="498"/>
        <v/>
      </c>
      <c r="HL98" s="85" t="str">
        <f t="shared" si="602"/>
        <v/>
      </c>
      <c r="HM98" s="84"/>
      <c r="HN98" s="85" t="str">
        <f t="shared" si="499"/>
        <v/>
      </c>
      <c r="HO98" s="85" t="str">
        <f t="shared" si="603"/>
        <v/>
      </c>
      <c r="HP98" s="84"/>
      <c r="HQ98" s="85" t="str">
        <f t="shared" si="500"/>
        <v/>
      </c>
      <c r="HR98" s="85" t="str">
        <f t="shared" si="604"/>
        <v/>
      </c>
      <c r="HS98" s="84"/>
      <c r="HT98" s="85" t="str">
        <f t="shared" si="501"/>
        <v/>
      </c>
      <c r="HU98" s="85" t="str">
        <f t="shared" si="605"/>
        <v/>
      </c>
      <c r="HV98" s="84"/>
      <c r="HW98" s="85" t="str">
        <f t="shared" si="502"/>
        <v/>
      </c>
      <c r="HX98" s="85" t="str">
        <f t="shared" si="606"/>
        <v/>
      </c>
      <c r="HY98" s="84"/>
      <c r="HZ98" s="85" t="str">
        <f t="shared" si="503"/>
        <v/>
      </c>
      <c r="IA98" s="85" t="str">
        <f t="shared" si="607"/>
        <v/>
      </c>
      <c r="IB98" s="84"/>
      <c r="IC98" s="85" t="str">
        <f t="shared" si="504"/>
        <v/>
      </c>
      <c r="ID98" s="85" t="str">
        <f t="shared" si="608"/>
        <v/>
      </c>
      <c r="IE98" s="84"/>
      <c r="IF98" s="85" t="str">
        <f t="shared" si="505"/>
        <v/>
      </c>
      <c r="IG98" s="85" t="str">
        <f t="shared" si="609"/>
        <v/>
      </c>
      <c r="IH98" s="84"/>
      <c r="II98" s="85" t="str">
        <f t="shared" si="506"/>
        <v/>
      </c>
      <c r="IJ98" s="85" t="str">
        <f t="shared" si="610"/>
        <v/>
      </c>
      <c r="IK98" s="84"/>
      <c r="IL98" s="85" t="str">
        <f t="shared" si="507"/>
        <v/>
      </c>
      <c r="IM98" s="85" t="str">
        <f t="shared" si="611"/>
        <v/>
      </c>
      <c r="IN98" s="84"/>
      <c r="IO98" s="85" t="str">
        <f t="shared" si="508"/>
        <v/>
      </c>
      <c r="IP98" s="85" t="str">
        <f t="shared" si="612"/>
        <v/>
      </c>
      <c r="IQ98" s="84"/>
      <c r="IR98" s="85" t="str">
        <f t="shared" si="509"/>
        <v/>
      </c>
      <c r="IS98" s="85" t="str">
        <f t="shared" si="613"/>
        <v/>
      </c>
      <c r="IT98" s="84"/>
      <c r="IU98" s="85" t="str">
        <f t="shared" si="510"/>
        <v/>
      </c>
      <c r="IV98" s="85" t="str">
        <f t="shared" si="614"/>
        <v/>
      </c>
      <c r="IW98" s="84"/>
      <c r="IX98" s="85" t="str">
        <f t="shared" si="511"/>
        <v/>
      </c>
      <c r="IY98" s="85" t="str">
        <f t="shared" si="615"/>
        <v/>
      </c>
      <c r="IZ98" s="84"/>
      <c r="JA98" s="85" t="str">
        <f t="shared" si="512"/>
        <v/>
      </c>
      <c r="JB98" s="85" t="str">
        <f t="shared" si="616"/>
        <v/>
      </c>
      <c r="JC98" s="84"/>
      <c r="JD98" s="85" t="str">
        <f t="shared" si="513"/>
        <v/>
      </c>
      <c r="JE98" s="85" t="str">
        <f t="shared" si="617"/>
        <v/>
      </c>
      <c r="JF98" s="84"/>
      <c r="JG98" s="85" t="str">
        <f t="shared" si="514"/>
        <v/>
      </c>
      <c r="JH98" s="85" t="str">
        <f t="shared" si="618"/>
        <v/>
      </c>
      <c r="JI98" s="84"/>
      <c r="JJ98" s="85" t="str">
        <f t="shared" si="515"/>
        <v/>
      </c>
      <c r="JK98" s="85" t="str">
        <f t="shared" si="619"/>
        <v/>
      </c>
      <c r="JL98" s="84"/>
      <c r="JM98" s="85" t="str">
        <f t="shared" si="516"/>
        <v/>
      </c>
      <c r="JN98" s="85" t="str">
        <f t="shared" si="620"/>
        <v/>
      </c>
      <c r="JO98" s="84"/>
      <c r="JP98" s="85" t="str">
        <f t="shared" si="517"/>
        <v/>
      </c>
      <c r="JQ98" s="85" t="str">
        <f t="shared" si="621"/>
        <v/>
      </c>
      <c r="JR98" s="84"/>
      <c r="JS98" s="85" t="str">
        <f t="shared" si="518"/>
        <v/>
      </c>
      <c r="JT98" s="85" t="str">
        <f t="shared" si="622"/>
        <v/>
      </c>
      <c r="JU98" s="84"/>
      <c r="JV98" s="85" t="str">
        <f t="shared" si="519"/>
        <v/>
      </c>
      <c r="JW98" s="85" t="str">
        <f t="shared" si="623"/>
        <v/>
      </c>
      <c r="JX98" s="84"/>
      <c r="JY98" s="85" t="str">
        <f t="shared" si="520"/>
        <v/>
      </c>
      <c r="JZ98" s="85" t="str">
        <f t="shared" si="624"/>
        <v/>
      </c>
      <c r="KA98" s="84"/>
      <c r="KB98" s="85" t="str">
        <f t="shared" si="521"/>
        <v/>
      </c>
      <c r="KC98" s="85" t="str">
        <f t="shared" si="625"/>
        <v/>
      </c>
      <c r="KD98" s="84"/>
      <c r="KE98" s="85" t="str">
        <f t="shared" si="522"/>
        <v/>
      </c>
      <c r="KF98" s="85" t="str">
        <f t="shared" si="626"/>
        <v/>
      </c>
      <c r="KG98" s="84"/>
      <c r="KH98" s="85" t="str">
        <f t="shared" si="523"/>
        <v/>
      </c>
      <c r="KI98" s="85" t="str">
        <f t="shared" si="627"/>
        <v/>
      </c>
      <c r="KJ98" s="84"/>
      <c r="KK98" s="85" t="str">
        <f t="shared" si="524"/>
        <v/>
      </c>
      <c r="KL98" s="85" t="str">
        <f t="shared" si="628"/>
        <v/>
      </c>
      <c r="KM98" s="84"/>
      <c r="KN98" s="85" t="str">
        <f t="shared" si="525"/>
        <v/>
      </c>
      <c r="KO98" s="85" t="str">
        <f t="shared" si="629"/>
        <v/>
      </c>
      <c r="KP98" s="84"/>
      <c r="KQ98" s="85" t="str">
        <f t="shared" si="526"/>
        <v/>
      </c>
      <c r="KR98" s="85" t="str">
        <f t="shared" si="630"/>
        <v/>
      </c>
      <c r="KS98" s="84"/>
      <c r="KT98" s="85" t="str">
        <f t="shared" si="527"/>
        <v/>
      </c>
      <c r="KU98" s="85" t="str">
        <f t="shared" si="631"/>
        <v/>
      </c>
      <c r="KV98" s="84"/>
      <c r="KW98" s="85" t="str">
        <f t="shared" si="528"/>
        <v/>
      </c>
      <c r="KX98" s="85" t="str">
        <f t="shared" si="632"/>
        <v/>
      </c>
      <c r="KY98" s="90"/>
      <c r="KZ98" s="85" t="str">
        <f t="shared" si="529"/>
        <v/>
      </c>
      <c r="LA98" s="85" t="str">
        <f t="shared" si="633"/>
        <v/>
      </c>
      <c r="LB98" s="50" t="str">
        <f t="shared" si="654"/>
        <v/>
      </c>
      <c r="LC98" s="57" t="str">
        <f t="shared" si="634"/>
        <v/>
      </c>
      <c r="LD98" s="50" t="str">
        <f t="shared" si="635"/>
        <v/>
      </c>
      <c r="LE98" s="57" t="str">
        <f t="shared" si="636"/>
        <v/>
      </c>
      <c r="LF98" s="50" t="str">
        <f t="shared" si="637"/>
        <v/>
      </c>
      <c r="LG98" s="57" t="str">
        <f t="shared" si="638"/>
        <v/>
      </c>
      <c r="LH98" s="58" t="str">
        <f t="shared" si="655"/>
        <v/>
      </c>
      <c r="LI98" s="58" t="str">
        <f t="shared" si="656"/>
        <v/>
      </c>
      <c r="LJ98" s="58" t="str">
        <f t="shared" si="657"/>
        <v/>
      </c>
      <c r="LK98" s="58" t="str">
        <f t="shared" si="639"/>
        <v/>
      </c>
      <c r="LL98" s="60" t="str">
        <f t="shared" si="640"/>
        <v/>
      </c>
      <c r="LM98" s="55"/>
      <c r="LN98" s="61" t="str">
        <f t="shared" si="653"/>
        <v/>
      </c>
      <c r="LO98" s="61" t="str">
        <f t="shared" si="646"/>
        <v/>
      </c>
      <c r="LP98" s="55"/>
      <c r="LQ98" s="55"/>
      <c r="LR98" s="55"/>
      <c r="LS98" s="63"/>
      <c r="LT98" s="63"/>
      <c r="LU98" s="63"/>
      <c r="LV98" s="63"/>
      <c r="LW98" s="63"/>
      <c r="LX98" s="63"/>
      <c r="LY98" s="63"/>
      <c r="LZ98" s="63"/>
      <c r="MA98" s="63"/>
      <c r="MB98" s="63"/>
      <c r="MC98" s="63"/>
      <c r="MD98" s="63"/>
      <c r="ME98" s="63"/>
      <c r="MF98" s="63"/>
      <c r="MG98" s="63"/>
      <c r="MH98" s="63"/>
      <c r="MI98" s="63"/>
      <c r="MJ98" s="63"/>
    </row>
    <row r="99" spans="1:348">
      <c r="A99" s="50">
        <f t="shared" si="642"/>
        <v>0</v>
      </c>
      <c r="B99" s="50">
        <f t="shared" si="643"/>
        <v>0</v>
      </c>
      <c r="C99" s="77"/>
      <c r="D99" s="75"/>
      <c r="E99" s="63"/>
      <c r="F99" s="63"/>
      <c r="G99" s="63"/>
      <c r="H99" s="63"/>
      <c r="I99" s="63"/>
      <c r="J99" s="63"/>
      <c r="K99" s="63"/>
      <c r="L99" s="63"/>
      <c r="M99" s="54" t="s">
        <v>35</v>
      </c>
      <c r="N99" s="84"/>
      <c r="O99" s="85" t="str">
        <f t="shared" si="431"/>
        <v/>
      </c>
      <c r="P99" s="85" t="str">
        <f t="shared" si="534"/>
        <v/>
      </c>
      <c r="Q99" s="84"/>
      <c r="R99" s="85" t="str">
        <f t="shared" si="432"/>
        <v/>
      </c>
      <c r="S99" s="85" t="str">
        <f t="shared" si="535"/>
        <v/>
      </c>
      <c r="T99" s="84"/>
      <c r="U99" s="85" t="str">
        <f t="shared" si="433"/>
        <v/>
      </c>
      <c r="V99" s="85" t="str">
        <f t="shared" si="536"/>
        <v/>
      </c>
      <c r="W99" s="84"/>
      <c r="X99" s="85" t="str">
        <f t="shared" si="434"/>
        <v/>
      </c>
      <c r="Y99" s="85" t="str">
        <f t="shared" si="537"/>
        <v/>
      </c>
      <c r="Z99" s="84"/>
      <c r="AA99" s="85" t="str">
        <f t="shared" si="435"/>
        <v/>
      </c>
      <c r="AB99" s="85" t="str">
        <f t="shared" si="538"/>
        <v/>
      </c>
      <c r="AC99" s="84"/>
      <c r="AD99" s="85" t="str">
        <f t="shared" si="436"/>
        <v/>
      </c>
      <c r="AE99" s="85" t="str">
        <f t="shared" si="539"/>
        <v/>
      </c>
      <c r="AF99" s="84"/>
      <c r="AG99" s="85" t="str">
        <f t="shared" si="437"/>
        <v/>
      </c>
      <c r="AH99" s="85" t="str">
        <f t="shared" si="540"/>
        <v/>
      </c>
      <c r="AI99" s="84"/>
      <c r="AJ99" s="85" t="str">
        <f t="shared" si="438"/>
        <v/>
      </c>
      <c r="AK99" s="85" t="str">
        <f t="shared" si="541"/>
        <v/>
      </c>
      <c r="AL99" s="84"/>
      <c r="AM99" s="85" t="str">
        <f t="shared" si="439"/>
        <v/>
      </c>
      <c r="AN99" s="85" t="str">
        <f t="shared" si="542"/>
        <v/>
      </c>
      <c r="AO99" s="84"/>
      <c r="AP99" s="85" t="str">
        <f t="shared" si="440"/>
        <v/>
      </c>
      <c r="AQ99" s="85" t="str">
        <f t="shared" si="543"/>
        <v/>
      </c>
      <c r="AR99" s="84"/>
      <c r="AS99" s="85" t="str">
        <f t="shared" si="441"/>
        <v/>
      </c>
      <c r="AT99" s="85" t="str">
        <f t="shared" si="544"/>
        <v/>
      </c>
      <c r="AU99" s="84"/>
      <c r="AV99" s="85" t="str">
        <f t="shared" si="442"/>
        <v/>
      </c>
      <c r="AW99" s="85" t="str">
        <f t="shared" si="545"/>
        <v/>
      </c>
      <c r="AX99" s="84"/>
      <c r="AY99" s="85" t="str">
        <f t="shared" si="443"/>
        <v/>
      </c>
      <c r="AZ99" s="85" t="str">
        <f t="shared" si="546"/>
        <v/>
      </c>
      <c r="BA99" s="84"/>
      <c r="BB99" s="85" t="str">
        <f t="shared" si="444"/>
        <v/>
      </c>
      <c r="BC99" s="85" t="str">
        <f t="shared" si="547"/>
        <v/>
      </c>
      <c r="BD99" s="84"/>
      <c r="BE99" s="85" t="str">
        <f t="shared" si="445"/>
        <v/>
      </c>
      <c r="BF99" s="85" t="str">
        <f t="shared" si="548"/>
        <v/>
      </c>
      <c r="BG99" s="84"/>
      <c r="BH99" s="85" t="str">
        <f t="shared" si="446"/>
        <v/>
      </c>
      <c r="BI99" s="85" t="str">
        <f t="shared" si="549"/>
        <v/>
      </c>
      <c r="BJ99" s="84"/>
      <c r="BK99" s="85" t="str">
        <f t="shared" si="447"/>
        <v/>
      </c>
      <c r="BL99" s="85" t="str">
        <f t="shared" si="550"/>
        <v/>
      </c>
      <c r="BM99" s="84"/>
      <c r="BN99" s="85" t="str">
        <f t="shared" si="448"/>
        <v/>
      </c>
      <c r="BO99" s="85" t="str">
        <f t="shared" si="551"/>
        <v/>
      </c>
      <c r="BP99" s="87"/>
      <c r="BQ99" s="85" t="str">
        <f t="shared" si="449"/>
        <v/>
      </c>
      <c r="BR99" s="85" t="str">
        <f t="shared" si="552"/>
        <v/>
      </c>
      <c r="BS99" s="84"/>
      <c r="BT99" s="85" t="str">
        <f t="shared" si="450"/>
        <v/>
      </c>
      <c r="BU99" s="85" t="str">
        <f t="shared" si="553"/>
        <v/>
      </c>
      <c r="BV99" s="84"/>
      <c r="BW99" s="85" t="str">
        <f t="shared" si="451"/>
        <v/>
      </c>
      <c r="BX99" s="85" t="str">
        <f t="shared" si="554"/>
        <v/>
      </c>
      <c r="BY99" s="84"/>
      <c r="BZ99" s="85" t="str">
        <f t="shared" si="452"/>
        <v/>
      </c>
      <c r="CA99" s="85" t="str">
        <f t="shared" si="555"/>
        <v/>
      </c>
      <c r="CB99" s="84"/>
      <c r="CC99" s="85" t="str">
        <f t="shared" si="453"/>
        <v/>
      </c>
      <c r="CD99" s="85" t="str">
        <f t="shared" si="556"/>
        <v/>
      </c>
      <c r="CE99" s="84"/>
      <c r="CF99" s="85" t="str">
        <f t="shared" si="454"/>
        <v/>
      </c>
      <c r="CG99" s="85" t="str">
        <f t="shared" si="557"/>
        <v/>
      </c>
      <c r="CH99" s="84"/>
      <c r="CI99" s="85" t="str">
        <f t="shared" si="455"/>
        <v/>
      </c>
      <c r="CJ99" s="85" t="str">
        <f t="shared" si="558"/>
        <v/>
      </c>
      <c r="CK99" s="84"/>
      <c r="CL99" s="85" t="str">
        <f t="shared" si="456"/>
        <v/>
      </c>
      <c r="CM99" s="85" t="str">
        <f t="shared" si="559"/>
        <v/>
      </c>
      <c r="CN99" s="84"/>
      <c r="CO99" s="85" t="str">
        <f t="shared" si="457"/>
        <v/>
      </c>
      <c r="CP99" s="85" t="str">
        <f t="shared" si="560"/>
        <v/>
      </c>
      <c r="CQ99" s="84"/>
      <c r="CR99" s="85" t="str">
        <f t="shared" si="458"/>
        <v/>
      </c>
      <c r="CS99" s="85" t="str">
        <f t="shared" si="561"/>
        <v/>
      </c>
      <c r="CT99" s="84"/>
      <c r="CU99" s="85" t="str">
        <f t="shared" si="459"/>
        <v/>
      </c>
      <c r="CV99" s="85" t="str">
        <f t="shared" si="562"/>
        <v/>
      </c>
      <c r="CW99" s="84"/>
      <c r="CX99" s="85" t="str">
        <f t="shared" si="460"/>
        <v/>
      </c>
      <c r="CY99" s="85" t="str">
        <f t="shared" si="563"/>
        <v/>
      </c>
      <c r="CZ99" s="84"/>
      <c r="DA99" s="85" t="str">
        <f t="shared" si="461"/>
        <v/>
      </c>
      <c r="DB99" s="85" t="str">
        <f t="shared" si="564"/>
        <v/>
      </c>
      <c r="DC99" s="84"/>
      <c r="DD99" s="85" t="str">
        <f t="shared" si="462"/>
        <v/>
      </c>
      <c r="DE99" s="85" t="str">
        <f t="shared" si="565"/>
        <v/>
      </c>
      <c r="DF99" s="84"/>
      <c r="DG99" s="85"/>
      <c r="DH99" s="85" t="str">
        <f t="shared" si="566"/>
        <v/>
      </c>
      <c r="DI99" s="84"/>
      <c r="DJ99" s="85" t="str">
        <f t="shared" si="463"/>
        <v/>
      </c>
      <c r="DK99" s="85" t="str">
        <f t="shared" si="567"/>
        <v/>
      </c>
      <c r="DL99" s="84"/>
      <c r="DM99" s="85" t="str">
        <f t="shared" si="464"/>
        <v/>
      </c>
      <c r="DN99" s="85" t="str">
        <f t="shared" si="568"/>
        <v/>
      </c>
      <c r="DO99" s="84"/>
      <c r="DP99" s="85" t="str">
        <f t="shared" si="465"/>
        <v/>
      </c>
      <c r="DQ99" s="85" t="str">
        <f t="shared" si="569"/>
        <v/>
      </c>
      <c r="DR99" s="84"/>
      <c r="DS99" s="85" t="str">
        <f t="shared" si="466"/>
        <v/>
      </c>
      <c r="DT99" s="85" t="str">
        <f t="shared" si="570"/>
        <v/>
      </c>
      <c r="DU99" s="84"/>
      <c r="DV99" s="85" t="str">
        <f t="shared" si="467"/>
        <v/>
      </c>
      <c r="DW99" s="85" t="str">
        <f t="shared" si="571"/>
        <v/>
      </c>
      <c r="DX99" s="84"/>
      <c r="DY99" s="85" t="str">
        <f t="shared" si="468"/>
        <v/>
      </c>
      <c r="DZ99" s="85" t="str">
        <f t="shared" si="572"/>
        <v/>
      </c>
      <c r="EA99" s="84"/>
      <c r="EB99" s="85" t="str">
        <f t="shared" si="469"/>
        <v/>
      </c>
      <c r="EC99" s="85" t="str">
        <f t="shared" si="573"/>
        <v/>
      </c>
      <c r="ED99" s="84"/>
      <c r="EE99" s="85" t="str">
        <f t="shared" si="470"/>
        <v/>
      </c>
      <c r="EF99" s="85" t="str">
        <f t="shared" si="574"/>
        <v/>
      </c>
      <c r="EG99" s="84"/>
      <c r="EH99" s="85" t="str">
        <f t="shared" si="471"/>
        <v/>
      </c>
      <c r="EI99" s="85" t="str">
        <f t="shared" si="575"/>
        <v/>
      </c>
      <c r="EJ99" s="84"/>
      <c r="EK99" s="85" t="str">
        <f t="shared" si="472"/>
        <v/>
      </c>
      <c r="EL99" s="85" t="str">
        <f t="shared" si="576"/>
        <v/>
      </c>
      <c r="EM99" s="84"/>
      <c r="EN99" s="85" t="str">
        <f t="shared" si="473"/>
        <v/>
      </c>
      <c r="EO99" s="85" t="str">
        <f t="shared" si="577"/>
        <v/>
      </c>
      <c r="EP99" s="84"/>
      <c r="EQ99" s="85" t="str">
        <f t="shared" si="474"/>
        <v/>
      </c>
      <c r="ER99" s="85" t="str">
        <f t="shared" si="578"/>
        <v/>
      </c>
      <c r="ES99" s="87"/>
      <c r="ET99" s="85" t="str">
        <f t="shared" si="475"/>
        <v/>
      </c>
      <c r="EU99" s="85" t="str">
        <f t="shared" si="579"/>
        <v/>
      </c>
      <c r="EV99" s="84"/>
      <c r="EW99" s="85" t="str">
        <f t="shared" si="476"/>
        <v/>
      </c>
      <c r="EX99" s="85" t="str">
        <f t="shared" si="580"/>
        <v/>
      </c>
      <c r="EY99" s="84"/>
      <c r="EZ99" s="85" t="str">
        <f t="shared" si="477"/>
        <v/>
      </c>
      <c r="FA99" s="85" t="str">
        <f t="shared" si="581"/>
        <v/>
      </c>
      <c r="FB99" s="84"/>
      <c r="FC99" s="85" t="str">
        <f t="shared" si="478"/>
        <v/>
      </c>
      <c r="FD99" s="85" t="str">
        <f t="shared" si="582"/>
        <v/>
      </c>
      <c r="FE99" s="84"/>
      <c r="FF99" s="85" t="str">
        <f t="shared" si="479"/>
        <v/>
      </c>
      <c r="FG99" s="85" t="str">
        <f t="shared" si="583"/>
        <v/>
      </c>
      <c r="FH99" s="84"/>
      <c r="FI99" s="85" t="str">
        <f t="shared" si="480"/>
        <v/>
      </c>
      <c r="FJ99" s="85" t="str">
        <f t="shared" si="584"/>
        <v/>
      </c>
      <c r="FK99" s="84"/>
      <c r="FL99" s="85" t="str">
        <f t="shared" si="481"/>
        <v/>
      </c>
      <c r="FM99" s="85" t="str">
        <f t="shared" si="585"/>
        <v/>
      </c>
      <c r="FN99" s="84"/>
      <c r="FO99" s="85" t="str">
        <f t="shared" si="482"/>
        <v/>
      </c>
      <c r="FP99" s="85" t="str">
        <f t="shared" si="586"/>
        <v/>
      </c>
      <c r="FQ99" s="84"/>
      <c r="FR99" s="85" t="str">
        <f t="shared" si="483"/>
        <v/>
      </c>
      <c r="FS99" s="85" t="str">
        <f t="shared" si="587"/>
        <v/>
      </c>
      <c r="FT99" s="84"/>
      <c r="FU99" s="85" t="str">
        <f t="shared" si="484"/>
        <v/>
      </c>
      <c r="FV99" s="85" t="str">
        <f t="shared" si="588"/>
        <v/>
      </c>
      <c r="FW99" s="90"/>
      <c r="FX99" s="85" t="str">
        <f t="shared" si="485"/>
        <v/>
      </c>
      <c r="FY99" s="85" t="str">
        <f t="shared" si="589"/>
        <v/>
      </c>
      <c r="FZ99" s="84"/>
      <c r="GA99" s="85" t="str">
        <f t="shared" si="486"/>
        <v/>
      </c>
      <c r="GB99" s="85" t="str">
        <f t="shared" si="590"/>
        <v/>
      </c>
      <c r="GC99" s="84"/>
      <c r="GD99" s="85" t="str">
        <f t="shared" si="487"/>
        <v/>
      </c>
      <c r="GE99" s="85" t="str">
        <f t="shared" si="591"/>
        <v/>
      </c>
      <c r="GF99" s="84"/>
      <c r="GG99" s="85" t="str">
        <f t="shared" si="488"/>
        <v/>
      </c>
      <c r="GH99" s="85" t="str">
        <f t="shared" si="592"/>
        <v/>
      </c>
      <c r="GI99" s="84"/>
      <c r="GJ99" s="85" t="str">
        <f t="shared" si="489"/>
        <v/>
      </c>
      <c r="GK99" s="85" t="str">
        <f t="shared" si="593"/>
        <v/>
      </c>
      <c r="GL99" s="84"/>
      <c r="GM99" s="85" t="str">
        <f t="shared" si="490"/>
        <v/>
      </c>
      <c r="GN99" s="85" t="str">
        <f t="shared" si="594"/>
        <v/>
      </c>
      <c r="GO99" s="84"/>
      <c r="GP99" s="85" t="str">
        <f t="shared" si="491"/>
        <v/>
      </c>
      <c r="GQ99" s="85" t="str">
        <f t="shared" si="595"/>
        <v/>
      </c>
      <c r="GR99" s="84"/>
      <c r="GS99" s="85" t="str">
        <f t="shared" si="492"/>
        <v/>
      </c>
      <c r="GT99" s="85" t="str">
        <f t="shared" si="596"/>
        <v/>
      </c>
      <c r="GU99" s="84"/>
      <c r="GV99" s="85" t="str">
        <f t="shared" si="493"/>
        <v/>
      </c>
      <c r="GW99" s="85" t="str">
        <f t="shared" si="597"/>
        <v/>
      </c>
      <c r="GX99" s="84"/>
      <c r="GY99" s="85" t="str">
        <f t="shared" si="494"/>
        <v/>
      </c>
      <c r="GZ99" s="85" t="str">
        <f t="shared" si="598"/>
        <v/>
      </c>
      <c r="HA99" s="84"/>
      <c r="HB99" s="85" t="str">
        <f t="shared" si="495"/>
        <v/>
      </c>
      <c r="HC99" s="85" t="str">
        <f t="shared" si="599"/>
        <v/>
      </c>
      <c r="HD99" s="84"/>
      <c r="HE99" s="85" t="str">
        <f t="shared" si="496"/>
        <v/>
      </c>
      <c r="HF99" s="85" t="str">
        <f t="shared" si="600"/>
        <v/>
      </c>
      <c r="HG99" s="84"/>
      <c r="HH99" s="85" t="str">
        <f t="shared" si="497"/>
        <v/>
      </c>
      <c r="HI99" s="85" t="str">
        <f t="shared" si="601"/>
        <v/>
      </c>
      <c r="HJ99" s="84"/>
      <c r="HK99" s="85" t="str">
        <f t="shared" si="498"/>
        <v/>
      </c>
      <c r="HL99" s="85" t="str">
        <f t="shared" si="602"/>
        <v/>
      </c>
      <c r="HM99" s="84"/>
      <c r="HN99" s="85" t="str">
        <f t="shared" si="499"/>
        <v/>
      </c>
      <c r="HO99" s="85" t="str">
        <f t="shared" si="603"/>
        <v/>
      </c>
      <c r="HP99" s="84"/>
      <c r="HQ99" s="85" t="str">
        <f t="shared" si="500"/>
        <v/>
      </c>
      <c r="HR99" s="85" t="str">
        <f t="shared" si="604"/>
        <v/>
      </c>
      <c r="HS99" s="84"/>
      <c r="HT99" s="85" t="str">
        <f t="shared" si="501"/>
        <v/>
      </c>
      <c r="HU99" s="85" t="str">
        <f t="shared" si="605"/>
        <v/>
      </c>
      <c r="HV99" s="84"/>
      <c r="HW99" s="85" t="str">
        <f t="shared" si="502"/>
        <v/>
      </c>
      <c r="HX99" s="85" t="str">
        <f t="shared" si="606"/>
        <v/>
      </c>
      <c r="HY99" s="84"/>
      <c r="HZ99" s="85" t="str">
        <f t="shared" si="503"/>
        <v/>
      </c>
      <c r="IA99" s="85" t="str">
        <f t="shared" si="607"/>
        <v/>
      </c>
      <c r="IB99" s="84"/>
      <c r="IC99" s="85" t="str">
        <f t="shared" si="504"/>
        <v/>
      </c>
      <c r="ID99" s="85" t="str">
        <f t="shared" si="608"/>
        <v/>
      </c>
      <c r="IE99" s="84"/>
      <c r="IF99" s="85" t="str">
        <f t="shared" si="505"/>
        <v/>
      </c>
      <c r="IG99" s="85" t="str">
        <f t="shared" si="609"/>
        <v/>
      </c>
      <c r="IH99" s="84"/>
      <c r="II99" s="85" t="str">
        <f t="shared" si="506"/>
        <v/>
      </c>
      <c r="IJ99" s="85" t="str">
        <f t="shared" si="610"/>
        <v/>
      </c>
      <c r="IK99" s="84"/>
      <c r="IL99" s="85" t="str">
        <f t="shared" si="507"/>
        <v/>
      </c>
      <c r="IM99" s="85" t="str">
        <f t="shared" si="611"/>
        <v/>
      </c>
      <c r="IN99" s="84"/>
      <c r="IO99" s="85" t="str">
        <f t="shared" si="508"/>
        <v/>
      </c>
      <c r="IP99" s="85" t="str">
        <f t="shared" si="612"/>
        <v/>
      </c>
      <c r="IQ99" s="84"/>
      <c r="IR99" s="85" t="str">
        <f t="shared" si="509"/>
        <v/>
      </c>
      <c r="IS99" s="85" t="str">
        <f t="shared" si="613"/>
        <v/>
      </c>
      <c r="IT99" s="84"/>
      <c r="IU99" s="85" t="str">
        <f t="shared" si="510"/>
        <v/>
      </c>
      <c r="IV99" s="85" t="str">
        <f t="shared" si="614"/>
        <v/>
      </c>
      <c r="IW99" s="84"/>
      <c r="IX99" s="85" t="str">
        <f t="shared" si="511"/>
        <v/>
      </c>
      <c r="IY99" s="85" t="str">
        <f t="shared" si="615"/>
        <v/>
      </c>
      <c r="IZ99" s="84"/>
      <c r="JA99" s="85" t="str">
        <f t="shared" si="512"/>
        <v/>
      </c>
      <c r="JB99" s="85" t="str">
        <f t="shared" si="616"/>
        <v/>
      </c>
      <c r="JC99" s="84"/>
      <c r="JD99" s="85" t="str">
        <f t="shared" si="513"/>
        <v/>
      </c>
      <c r="JE99" s="85" t="str">
        <f t="shared" si="617"/>
        <v/>
      </c>
      <c r="JF99" s="84"/>
      <c r="JG99" s="85" t="str">
        <f t="shared" si="514"/>
        <v/>
      </c>
      <c r="JH99" s="85" t="str">
        <f t="shared" si="618"/>
        <v/>
      </c>
      <c r="JI99" s="84"/>
      <c r="JJ99" s="85" t="str">
        <f t="shared" si="515"/>
        <v/>
      </c>
      <c r="JK99" s="85" t="str">
        <f t="shared" si="619"/>
        <v/>
      </c>
      <c r="JL99" s="84"/>
      <c r="JM99" s="85" t="str">
        <f t="shared" si="516"/>
        <v/>
      </c>
      <c r="JN99" s="85" t="str">
        <f t="shared" si="620"/>
        <v/>
      </c>
      <c r="JO99" s="84"/>
      <c r="JP99" s="85" t="str">
        <f t="shared" si="517"/>
        <v/>
      </c>
      <c r="JQ99" s="85" t="str">
        <f t="shared" si="621"/>
        <v/>
      </c>
      <c r="JR99" s="84"/>
      <c r="JS99" s="85" t="str">
        <f t="shared" si="518"/>
        <v/>
      </c>
      <c r="JT99" s="85" t="str">
        <f t="shared" si="622"/>
        <v/>
      </c>
      <c r="JU99" s="84"/>
      <c r="JV99" s="85" t="str">
        <f t="shared" si="519"/>
        <v/>
      </c>
      <c r="JW99" s="85" t="str">
        <f t="shared" si="623"/>
        <v/>
      </c>
      <c r="JX99" s="84"/>
      <c r="JY99" s="85" t="str">
        <f t="shared" si="520"/>
        <v/>
      </c>
      <c r="JZ99" s="85" t="str">
        <f t="shared" si="624"/>
        <v/>
      </c>
      <c r="KA99" s="84"/>
      <c r="KB99" s="85" t="str">
        <f t="shared" si="521"/>
        <v/>
      </c>
      <c r="KC99" s="85" t="str">
        <f t="shared" si="625"/>
        <v/>
      </c>
      <c r="KD99" s="84"/>
      <c r="KE99" s="85" t="str">
        <f t="shared" si="522"/>
        <v/>
      </c>
      <c r="KF99" s="85" t="str">
        <f t="shared" si="626"/>
        <v/>
      </c>
      <c r="KG99" s="84"/>
      <c r="KH99" s="85" t="str">
        <f t="shared" si="523"/>
        <v/>
      </c>
      <c r="KI99" s="85" t="str">
        <f t="shared" si="627"/>
        <v/>
      </c>
      <c r="KJ99" s="84"/>
      <c r="KK99" s="85" t="str">
        <f t="shared" si="524"/>
        <v/>
      </c>
      <c r="KL99" s="85" t="str">
        <f t="shared" si="628"/>
        <v/>
      </c>
      <c r="KM99" s="84"/>
      <c r="KN99" s="85" t="str">
        <f t="shared" si="525"/>
        <v/>
      </c>
      <c r="KO99" s="85" t="str">
        <f t="shared" si="629"/>
        <v/>
      </c>
      <c r="KP99" s="84"/>
      <c r="KQ99" s="85" t="str">
        <f t="shared" si="526"/>
        <v/>
      </c>
      <c r="KR99" s="85" t="str">
        <f t="shared" si="630"/>
        <v/>
      </c>
      <c r="KS99" s="84"/>
      <c r="KT99" s="85" t="str">
        <f t="shared" si="527"/>
        <v/>
      </c>
      <c r="KU99" s="85" t="str">
        <f t="shared" si="631"/>
        <v/>
      </c>
      <c r="KV99" s="84"/>
      <c r="KW99" s="85" t="str">
        <f t="shared" si="528"/>
        <v/>
      </c>
      <c r="KX99" s="85" t="str">
        <f t="shared" si="632"/>
        <v/>
      </c>
      <c r="KY99" s="90"/>
      <c r="KZ99" s="85" t="str">
        <f t="shared" si="529"/>
        <v/>
      </c>
      <c r="LA99" s="85" t="str">
        <f t="shared" si="633"/>
        <v/>
      </c>
      <c r="LB99" s="50" t="str">
        <f t="shared" ref="LB99:LB103" si="658">IFERROR(AVERAGE($N99,$Q99,$T99,$W99,$Z99,$AC99,$AF99,$AI99,$AL99,$AO99,$AR99,$AU99,$AX99,$BA99,$BD99,$BG99,$BJ99,$BM99,$BP99,$BS99,$BV99,$BY99,$CB99,$CE99,$CH99,$CK99,$CN99,$CQ99,$CT99,$CW99,$CZ99,$DC99,$DF99,$DI99,$DL99,$DO99,$DR99,$DU99,$DX99,$EA99,$ED99,$EG99,$EJ99,$EM99,$EP99,$ES99,$EV99,$EY99,$FB99,$FE99,$FH99,$FK99,$FN99,$FQ99,$FT99,$FW99,$FZ99,$GC99,$GF99,$GI99,$GL99,$GO99,$GR99,$GU99,$GX99,$HA99,$HD99,$HG99,$HJ99,$HM99,$HP99,$HS99,$HV99,$HY99,$IB99,$IE99,$IH99, $IK99, $IN99,$IQ99,$IT99,$IW99,$IZ99,$JC99,$JF99,$JI99,$JL99,$JO99,$JR99,$JU99,$JX99,$KA99,$KD99,$KG99,$KJ99,$KJ99,$KM99,$KP99,$KS99,$KV99,$KY99),"")</f>
        <v/>
      </c>
      <c r="LC99" s="57" t="str">
        <f t="shared" si="634"/>
        <v/>
      </c>
      <c r="LD99" s="50" t="str">
        <f t="shared" si="635"/>
        <v/>
      </c>
      <c r="LE99" s="57" t="str">
        <f t="shared" si="636"/>
        <v/>
      </c>
      <c r="LF99" s="50" t="str">
        <f t="shared" si="637"/>
        <v/>
      </c>
      <c r="LG99" s="57" t="str">
        <f t="shared" si="638"/>
        <v/>
      </c>
      <c r="LH99" s="58" t="str">
        <f t="shared" ref="LH99:LH103" si="659">IFERROR((((LB99-LB$105)/LB$107)*25+25),"")</f>
        <v/>
      </c>
      <c r="LI99" s="58" t="str">
        <f t="shared" ref="LI99:LI103" si="660">IFERROR((((LD99-LD$105)/LD$107)*25+25),"")</f>
        <v/>
      </c>
      <c r="LJ99" s="58" t="str">
        <f t="shared" ref="LJ99:LJ103" si="661">IFERROR((((LF99-LF$105)/LF$107)*25+25),"")</f>
        <v/>
      </c>
      <c r="LK99" s="58" t="str">
        <f t="shared" si="639"/>
        <v/>
      </c>
      <c r="LL99" s="60" t="str">
        <f t="shared" si="640"/>
        <v/>
      </c>
      <c r="LM99" s="55"/>
      <c r="LN99" s="61" t="str">
        <f t="shared" si="653"/>
        <v/>
      </c>
      <c r="LO99" s="61" t="str">
        <f t="shared" ref="LO99:LO103" si="662">LL99</f>
        <v/>
      </c>
      <c r="LP99" s="55"/>
      <c r="LQ99" s="55"/>
      <c r="LR99" s="55"/>
      <c r="LS99" s="63"/>
      <c r="LT99" s="63"/>
      <c r="LU99" s="63"/>
      <c r="LV99" s="63"/>
      <c r="LW99" s="63"/>
      <c r="LX99" s="63"/>
      <c r="LY99" s="63"/>
      <c r="LZ99" s="63"/>
      <c r="MA99" s="63"/>
      <c r="MB99" s="63"/>
      <c r="MC99" s="63"/>
      <c r="MD99" s="63"/>
      <c r="ME99" s="63"/>
      <c r="MF99" s="63"/>
      <c r="MG99" s="63"/>
      <c r="MH99" s="63"/>
      <c r="MI99" s="63"/>
      <c r="MJ99" s="63"/>
    </row>
    <row r="100" spans="1:348">
      <c r="A100" s="50">
        <f t="shared" si="642"/>
        <v>0</v>
      </c>
      <c r="B100" s="50">
        <f t="shared" si="643"/>
        <v>0</v>
      </c>
      <c r="C100" s="77"/>
      <c r="D100" s="75"/>
      <c r="E100" s="63"/>
      <c r="F100" s="63"/>
      <c r="G100" s="63"/>
      <c r="H100" s="63"/>
      <c r="I100" s="63"/>
      <c r="J100" s="63"/>
      <c r="K100" s="63"/>
      <c r="L100" s="63"/>
      <c r="M100" s="54" t="s">
        <v>35</v>
      </c>
      <c r="N100" s="84"/>
      <c r="O100" s="85" t="str">
        <f t="shared" ref="O100:O103" si="663">IF(COUNT(N100)=0,"",(N100-N$105)/N$106)</f>
        <v/>
      </c>
      <c r="P100" s="85" t="str">
        <f t="shared" si="534"/>
        <v/>
      </c>
      <c r="Q100" s="84"/>
      <c r="R100" s="85" t="str">
        <f t="shared" ref="R100:R103" si="664">IF(COUNT(Q100)=0,"",(Q100-Q$105)/Q$106)</f>
        <v/>
      </c>
      <c r="S100" s="85" t="str">
        <f t="shared" si="535"/>
        <v/>
      </c>
      <c r="T100" s="84"/>
      <c r="U100" s="85" t="str">
        <f t="shared" ref="U100:U103" si="665">IF(COUNT(T100)=0,"",(T100-T$105)/T$106)</f>
        <v/>
      </c>
      <c r="V100" s="85" t="str">
        <f t="shared" si="536"/>
        <v/>
      </c>
      <c r="W100" s="84"/>
      <c r="X100" s="85" t="str">
        <f t="shared" ref="X100:X103" si="666">IF(COUNT(W100)=0,"",(W100-W$105)/W$106)</f>
        <v/>
      </c>
      <c r="Y100" s="85" t="str">
        <f t="shared" si="537"/>
        <v/>
      </c>
      <c r="Z100" s="84"/>
      <c r="AA100" s="85" t="str">
        <f t="shared" ref="AA100:AA103" si="667">IF(COUNT(Z100)=0,"",(Z100-Z$105)/Z$106)</f>
        <v/>
      </c>
      <c r="AB100" s="85" t="str">
        <f t="shared" si="538"/>
        <v/>
      </c>
      <c r="AC100" s="84"/>
      <c r="AD100" s="85" t="str">
        <f t="shared" ref="AD100:AD103" si="668">IF(COUNT(AC100)=0,"",(AC100-AC$105)/AC$106)</f>
        <v/>
      </c>
      <c r="AE100" s="85" t="str">
        <f t="shared" si="539"/>
        <v/>
      </c>
      <c r="AF100" s="84"/>
      <c r="AG100" s="85" t="str">
        <f t="shared" ref="AG100:AG103" si="669">IF(COUNT(AF100)=0,"",(AF100-AF$105)/AF$106)</f>
        <v/>
      </c>
      <c r="AH100" s="85" t="str">
        <f t="shared" si="540"/>
        <v/>
      </c>
      <c r="AI100" s="84"/>
      <c r="AJ100" s="85" t="str">
        <f t="shared" ref="AJ100:AJ103" si="670">IF(COUNT(AI100)=0,"",(AI100-AI$105)/AI$106)</f>
        <v/>
      </c>
      <c r="AK100" s="85" t="str">
        <f t="shared" si="541"/>
        <v/>
      </c>
      <c r="AL100" s="84"/>
      <c r="AM100" s="85" t="str">
        <f t="shared" ref="AM100:AM103" si="671">IF(COUNT(AL100)=0,"",(AL100-AL$105)/AL$106)</f>
        <v/>
      </c>
      <c r="AN100" s="85" t="str">
        <f t="shared" si="542"/>
        <v/>
      </c>
      <c r="AO100" s="84"/>
      <c r="AP100" s="85" t="str">
        <f t="shared" ref="AP100:AP103" si="672">IF(COUNT(AO100)=0,"",(AO100-AO$105)/AO$106)</f>
        <v/>
      </c>
      <c r="AQ100" s="85" t="str">
        <f t="shared" si="543"/>
        <v/>
      </c>
      <c r="AR100" s="84"/>
      <c r="AS100" s="85" t="str">
        <f t="shared" ref="AS100:AS103" si="673">IF(COUNT(AR100)=0,"",(AR100-AR$105)/AR$106)</f>
        <v/>
      </c>
      <c r="AT100" s="85" t="str">
        <f t="shared" si="544"/>
        <v/>
      </c>
      <c r="AU100" s="84"/>
      <c r="AV100" s="85" t="str">
        <f t="shared" ref="AV100:AV103" si="674">IF(COUNT(AU100)=0,"",(AU100-AU$105)/AU$106)</f>
        <v/>
      </c>
      <c r="AW100" s="85" t="str">
        <f t="shared" si="545"/>
        <v/>
      </c>
      <c r="AX100" s="84"/>
      <c r="AY100" s="85" t="str">
        <f t="shared" ref="AY100:AY103" si="675">IF(COUNT(AX100)=0,"",(AX100-AX$105)/AX$106)</f>
        <v/>
      </c>
      <c r="AZ100" s="85" t="str">
        <f t="shared" si="546"/>
        <v/>
      </c>
      <c r="BA100" s="84"/>
      <c r="BB100" s="85" t="str">
        <f t="shared" ref="BB100:BB103" si="676">IF(COUNT(BA100)=0,"",(BA100-BA$105)/BA$106)</f>
        <v/>
      </c>
      <c r="BC100" s="85" t="str">
        <f t="shared" si="547"/>
        <v/>
      </c>
      <c r="BD100" s="84"/>
      <c r="BE100" s="85" t="str">
        <f t="shared" ref="BE100:BE103" si="677">IF(COUNT(BD100)=0,"",(BD100-BD$105)/BD$106)</f>
        <v/>
      </c>
      <c r="BF100" s="85" t="str">
        <f t="shared" si="548"/>
        <v/>
      </c>
      <c r="BG100" s="84"/>
      <c r="BH100" s="85" t="str">
        <f t="shared" ref="BH100:BH103" si="678">IF(COUNT(BG100)=0,"",(BG100-BG$105)/BG$106)</f>
        <v/>
      </c>
      <c r="BI100" s="85" t="str">
        <f t="shared" si="549"/>
        <v/>
      </c>
      <c r="BJ100" s="84"/>
      <c r="BK100" s="85" t="str">
        <f t="shared" ref="BK100:BK103" si="679">IF(COUNT(BJ100)=0,"",(BJ100-BJ$105)/BJ$106)</f>
        <v/>
      </c>
      <c r="BL100" s="85" t="str">
        <f t="shared" si="550"/>
        <v/>
      </c>
      <c r="BM100" s="84"/>
      <c r="BN100" s="85" t="str">
        <f t="shared" ref="BN100:BN103" si="680">IF(COUNT(BM100)=0,"",(BM100-BM$105)/BM$106)</f>
        <v/>
      </c>
      <c r="BO100" s="85" t="str">
        <f t="shared" si="551"/>
        <v/>
      </c>
      <c r="BP100" s="87"/>
      <c r="BQ100" s="85" t="str">
        <f t="shared" ref="BQ100:BQ103" si="681">IF(COUNT(BP100)=0,"",(BP100-BP$105)/BP$106)</f>
        <v/>
      </c>
      <c r="BR100" s="85" t="str">
        <f t="shared" si="552"/>
        <v/>
      </c>
      <c r="BS100" s="84"/>
      <c r="BT100" s="85" t="str">
        <f t="shared" ref="BT100:BT103" si="682">IF(COUNT(BS100)=0,"",(BS100-BS$105)/BS$106)</f>
        <v/>
      </c>
      <c r="BU100" s="85" t="str">
        <f t="shared" si="553"/>
        <v/>
      </c>
      <c r="BV100" s="84"/>
      <c r="BW100" s="85" t="str">
        <f t="shared" ref="BW100:BW103" si="683">IF(COUNT(BV100)=0,"",(BV100-BV$105)/BV$106)</f>
        <v/>
      </c>
      <c r="BX100" s="85" t="str">
        <f t="shared" si="554"/>
        <v/>
      </c>
      <c r="BY100" s="84"/>
      <c r="BZ100" s="85" t="str">
        <f t="shared" ref="BZ100:BZ103" si="684">IF(COUNT(BY100)=0,"",(BY100-BY$105)/BY$106)</f>
        <v/>
      </c>
      <c r="CA100" s="85" t="str">
        <f t="shared" si="555"/>
        <v/>
      </c>
      <c r="CB100" s="84"/>
      <c r="CC100" s="85" t="str">
        <f t="shared" ref="CC100:CC103" si="685">IF(COUNT(CB100)=0,"",(CB100-CB$105)/CB$106)</f>
        <v/>
      </c>
      <c r="CD100" s="85" t="str">
        <f t="shared" si="556"/>
        <v/>
      </c>
      <c r="CE100" s="84"/>
      <c r="CF100" s="85" t="str">
        <f t="shared" ref="CF100:CF103" si="686">IF(COUNT(CE100)=0,"",(CE100-CE$105)/CE$106)</f>
        <v/>
      </c>
      <c r="CG100" s="85" t="str">
        <f t="shared" si="557"/>
        <v/>
      </c>
      <c r="CH100" s="84"/>
      <c r="CI100" s="85" t="str">
        <f t="shared" ref="CI100:CI103" si="687">IF(COUNT(CH100)=0,"",(CH100-CH$105)/CH$106)</f>
        <v/>
      </c>
      <c r="CJ100" s="85" t="str">
        <f t="shared" si="558"/>
        <v/>
      </c>
      <c r="CK100" s="84"/>
      <c r="CL100" s="85" t="str">
        <f t="shared" ref="CL100:CL103" si="688">IF(COUNT(CK100)=0,"",(CK100-CK$105)/CK$106)</f>
        <v/>
      </c>
      <c r="CM100" s="85" t="str">
        <f t="shared" si="559"/>
        <v/>
      </c>
      <c r="CN100" s="84"/>
      <c r="CO100" s="85" t="str">
        <f t="shared" ref="CO100:CO103" si="689">IF(COUNT(CN100)=0,"",(CN100-CN$105)/CN$106)</f>
        <v/>
      </c>
      <c r="CP100" s="85" t="str">
        <f t="shared" si="560"/>
        <v/>
      </c>
      <c r="CQ100" s="84"/>
      <c r="CR100" s="85" t="str">
        <f t="shared" ref="CR100:CR103" si="690">IF(COUNT(CQ100)=0,"",(CQ100-CQ$105)/CQ$106)</f>
        <v/>
      </c>
      <c r="CS100" s="85" t="str">
        <f t="shared" si="561"/>
        <v/>
      </c>
      <c r="CT100" s="84"/>
      <c r="CU100" s="85" t="str">
        <f t="shared" ref="CU100:CU103" si="691">IF(COUNT(CT100)=0,"",(CT100-CT$105)/CT$106)</f>
        <v/>
      </c>
      <c r="CV100" s="85" t="str">
        <f t="shared" si="562"/>
        <v/>
      </c>
      <c r="CW100" s="84"/>
      <c r="CX100" s="85" t="str">
        <f t="shared" ref="CX100:CX103" si="692">IF(COUNT(CW100)=0,"",(CW100-CW$105)/CW$106)</f>
        <v/>
      </c>
      <c r="CY100" s="85" t="str">
        <f t="shared" si="563"/>
        <v/>
      </c>
      <c r="CZ100" s="84"/>
      <c r="DA100" s="85" t="str">
        <f t="shared" ref="DA100:DA103" si="693">IF(COUNT(CZ100)=0,"",(CZ100-CZ$105)/CZ$106)</f>
        <v/>
      </c>
      <c r="DB100" s="85" t="str">
        <f t="shared" si="564"/>
        <v/>
      </c>
      <c r="DC100" s="84"/>
      <c r="DD100" s="85" t="str">
        <f t="shared" ref="DD100:DD103" si="694">IF(COUNT(DC100)=0,"",(DC100-DC$105)/DC$106)</f>
        <v/>
      </c>
      <c r="DE100" s="85" t="str">
        <f t="shared" si="565"/>
        <v/>
      </c>
      <c r="DF100" s="84"/>
      <c r="DG100" s="85"/>
      <c r="DH100" s="85" t="str">
        <f t="shared" si="566"/>
        <v/>
      </c>
      <c r="DI100" s="84"/>
      <c r="DJ100" s="85" t="str">
        <f t="shared" ref="DJ100:DJ103" si="695">IF(COUNT(DI100)=0,"",(DI100-DI$105)/DI$106)</f>
        <v/>
      </c>
      <c r="DK100" s="85" t="str">
        <f t="shared" si="567"/>
        <v/>
      </c>
      <c r="DL100" s="84"/>
      <c r="DM100" s="85" t="str">
        <f t="shared" ref="DM100:DM103" si="696">IF(COUNT(DL100)=0,"",(DL100-DL$105)/DL$106)</f>
        <v/>
      </c>
      <c r="DN100" s="85" t="str">
        <f t="shared" si="568"/>
        <v/>
      </c>
      <c r="DO100" s="84"/>
      <c r="DP100" s="85" t="str">
        <f t="shared" ref="DP100:DP103" si="697">IF(COUNT(DO100)=0,"",(DO100-DO$105)/DO$106)</f>
        <v/>
      </c>
      <c r="DQ100" s="85" t="str">
        <f t="shared" si="569"/>
        <v/>
      </c>
      <c r="DR100" s="84"/>
      <c r="DS100" s="85" t="str">
        <f t="shared" ref="DS100:DS103" si="698">IF(COUNT(DR100)=0,"",(DR100-DR$105)/DR$106)</f>
        <v/>
      </c>
      <c r="DT100" s="85" t="str">
        <f t="shared" si="570"/>
        <v/>
      </c>
      <c r="DU100" s="84"/>
      <c r="DV100" s="85" t="str">
        <f t="shared" ref="DV100:DV103" si="699">IF(COUNT(DU100)=0,"",(DU100-DU$105)/DU$106)</f>
        <v/>
      </c>
      <c r="DW100" s="85" t="str">
        <f t="shared" si="571"/>
        <v/>
      </c>
      <c r="DX100" s="84"/>
      <c r="DY100" s="85" t="str">
        <f t="shared" ref="DY100:DY103" si="700">IF(COUNT(DX100)=0,"",(DX100-DX$105)/DX$106)</f>
        <v/>
      </c>
      <c r="DZ100" s="85" t="str">
        <f t="shared" si="572"/>
        <v/>
      </c>
      <c r="EA100" s="84"/>
      <c r="EB100" s="85" t="str">
        <f t="shared" ref="EB100:EB103" si="701">IF(COUNT(EA100)=0,"",(EA100-EA$105)/EA$106)</f>
        <v/>
      </c>
      <c r="EC100" s="85" t="str">
        <f t="shared" si="573"/>
        <v/>
      </c>
      <c r="ED100" s="84"/>
      <c r="EE100" s="85" t="str">
        <f t="shared" ref="EE100:EE103" si="702">IF(COUNT(ED100)=0,"",(ED100-ED$105)/ED$106)</f>
        <v/>
      </c>
      <c r="EF100" s="85" t="str">
        <f t="shared" si="574"/>
        <v/>
      </c>
      <c r="EG100" s="84"/>
      <c r="EH100" s="85" t="str">
        <f t="shared" ref="EH100:EH103" si="703">IF(COUNT(EG100)=0,"",(EG100-EG$105)/EG$106)</f>
        <v/>
      </c>
      <c r="EI100" s="85" t="str">
        <f t="shared" si="575"/>
        <v/>
      </c>
      <c r="EJ100" s="84"/>
      <c r="EK100" s="85" t="str">
        <f t="shared" ref="EK100:EK103" si="704">IF(COUNT(EJ100)=0,"",(EJ100-EJ$105)/EJ$106)</f>
        <v/>
      </c>
      <c r="EL100" s="85" t="str">
        <f t="shared" si="576"/>
        <v/>
      </c>
      <c r="EM100" s="84"/>
      <c r="EN100" s="85" t="str">
        <f t="shared" ref="EN100:EN103" si="705">IF(COUNT(EM100)=0,"",(EM100-EM$105)/EM$106)</f>
        <v/>
      </c>
      <c r="EO100" s="85" t="str">
        <f t="shared" si="577"/>
        <v/>
      </c>
      <c r="EP100" s="84"/>
      <c r="EQ100" s="85" t="str">
        <f t="shared" ref="EQ100:EQ103" si="706">IF(COUNT(EP100)=0,"",(EP100-EP$105)/EP$106)</f>
        <v/>
      </c>
      <c r="ER100" s="85" t="str">
        <f t="shared" si="578"/>
        <v/>
      </c>
      <c r="ES100" s="87"/>
      <c r="ET100" s="85" t="str">
        <f t="shared" ref="ET100:ET103" si="707">IF(COUNT(ES100)=0,"",(ES100-ES$105)/ES$106)</f>
        <v/>
      </c>
      <c r="EU100" s="85" t="str">
        <f t="shared" si="579"/>
        <v/>
      </c>
      <c r="EV100" s="84"/>
      <c r="EW100" s="85" t="str">
        <f t="shared" ref="EW100:EW103" si="708">IF(COUNT(EV100)=0,"",(EV100-EV$105)/EV$106)</f>
        <v/>
      </c>
      <c r="EX100" s="85" t="str">
        <f t="shared" si="580"/>
        <v/>
      </c>
      <c r="EY100" s="84"/>
      <c r="EZ100" s="85" t="str">
        <f t="shared" ref="EZ100:EZ103" si="709">IF(COUNT(EY100)=0,"",(EY100-EY$105)/EY$106)</f>
        <v/>
      </c>
      <c r="FA100" s="85" t="str">
        <f t="shared" si="581"/>
        <v/>
      </c>
      <c r="FB100" s="84"/>
      <c r="FC100" s="85" t="str">
        <f t="shared" ref="FC100:FC103" si="710">IF(COUNT(FB100)=0,"",(FB100-FB$105)/FB$106)</f>
        <v/>
      </c>
      <c r="FD100" s="85" t="str">
        <f t="shared" si="582"/>
        <v/>
      </c>
      <c r="FE100" s="84"/>
      <c r="FF100" s="85" t="str">
        <f t="shared" ref="FF100:FF103" si="711">IF(COUNT(FE100)=0,"",(FE100-FE$105)/FE$106)</f>
        <v/>
      </c>
      <c r="FG100" s="85" t="str">
        <f t="shared" si="583"/>
        <v/>
      </c>
      <c r="FH100" s="84"/>
      <c r="FI100" s="85" t="str">
        <f t="shared" ref="FI100:FI103" si="712">IF(COUNT(FH100)=0,"",(FH100-FH$105)/FH$106)</f>
        <v/>
      </c>
      <c r="FJ100" s="85" t="str">
        <f t="shared" si="584"/>
        <v/>
      </c>
      <c r="FK100" s="84"/>
      <c r="FL100" s="85" t="str">
        <f t="shared" ref="FL100:FL103" si="713">IF(COUNT(FK100)=0,"",(FK100-FK$105)/FK$106)</f>
        <v/>
      </c>
      <c r="FM100" s="85" t="str">
        <f t="shared" si="585"/>
        <v/>
      </c>
      <c r="FN100" s="84"/>
      <c r="FO100" s="85" t="str">
        <f t="shared" ref="FO100:FO103" si="714">IF(COUNT(FN100)=0,"",(FN100-FN$105)/FN$106)</f>
        <v/>
      </c>
      <c r="FP100" s="85" t="str">
        <f t="shared" si="586"/>
        <v/>
      </c>
      <c r="FQ100" s="84"/>
      <c r="FR100" s="85" t="str">
        <f t="shared" ref="FR100:FR103" si="715">IF(COUNT(FQ100)=0,"",(FQ100-FQ$105)/FQ$106)</f>
        <v/>
      </c>
      <c r="FS100" s="85" t="str">
        <f t="shared" si="587"/>
        <v/>
      </c>
      <c r="FT100" s="84"/>
      <c r="FU100" s="85" t="str">
        <f t="shared" ref="FU100:FU103" si="716">IF(COUNT(FT100)=0,"",(FT100-FT$105)/FT$106)</f>
        <v/>
      </c>
      <c r="FV100" s="85" t="str">
        <f t="shared" si="588"/>
        <v/>
      </c>
      <c r="FW100" s="90"/>
      <c r="FX100" s="85" t="str">
        <f t="shared" ref="FX100:FX103" si="717">IF(COUNT(FW100)=0,"",(FW100-FW$105)/FW$106)</f>
        <v/>
      </c>
      <c r="FY100" s="85" t="str">
        <f t="shared" si="589"/>
        <v/>
      </c>
      <c r="FZ100" s="84"/>
      <c r="GA100" s="85" t="str">
        <f t="shared" ref="GA100:GA103" si="718">IF(COUNT(FZ100)=0,"",(FZ100-FZ$105)/FZ$106)</f>
        <v/>
      </c>
      <c r="GB100" s="85" t="str">
        <f t="shared" si="590"/>
        <v/>
      </c>
      <c r="GC100" s="84"/>
      <c r="GD100" s="85" t="str">
        <f t="shared" ref="GD100:GD103" si="719">IF(COUNT(GC100)=0,"",(GC100-GC$105)/GC$106)</f>
        <v/>
      </c>
      <c r="GE100" s="85" t="str">
        <f t="shared" si="591"/>
        <v/>
      </c>
      <c r="GF100" s="84"/>
      <c r="GG100" s="85" t="str">
        <f t="shared" ref="GG100:GG103" si="720">IF(COUNT(GF100)=0,"",(GF100-GF$105)/GF$106)</f>
        <v/>
      </c>
      <c r="GH100" s="85" t="str">
        <f t="shared" si="592"/>
        <v/>
      </c>
      <c r="GI100" s="84"/>
      <c r="GJ100" s="85" t="str">
        <f t="shared" ref="GJ100:GJ103" si="721">IF(COUNT(GI100)=0,"",(GI100-GI$105)/GI$106)</f>
        <v/>
      </c>
      <c r="GK100" s="85" t="str">
        <f t="shared" si="593"/>
        <v/>
      </c>
      <c r="GL100" s="84"/>
      <c r="GM100" s="85" t="str">
        <f t="shared" ref="GM100:GM103" si="722">IF(COUNT(GL100)=0,"",(GL100-GL$105)/GL$106)</f>
        <v/>
      </c>
      <c r="GN100" s="85" t="str">
        <f t="shared" si="594"/>
        <v/>
      </c>
      <c r="GO100" s="84"/>
      <c r="GP100" s="85" t="str">
        <f t="shared" ref="GP100:GP103" si="723">IF(COUNT(GO100)=0,"",(GO100-GO$105)/GO$106)</f>
        <v/>
      </c>
      <c r="GQ100" s="85" t="str">
        <f t="shared" si="595"/>
        <v/>
      </c>
      <c r="GR100" s="84"/>
      <c r="GS100" s="85" t="str">
        <f t="shared" ref="GS100:GS103" si="724">IF(COUNT(GR100)=0,"",(GR100-GR$105)/GR$106)</f>
        <v/>
      </c>
      <c r="GT100" s="85" t="str">
        <f t="shared" si="596"/>
        <v/>
      </c>
      <c r="GU100" s="84"/>
      <c r="GV100" s="85" t="str">
        <f t="shared" ref="GV100:GV103" si="725">IF(COUNT(GU100)=0,"",(GU100-GU$105)/GU$106)</f>
        <v/>
      </c>
      <c r="GW100" s="85" t="str">
        <f t="shared" si="597"/>
        <v/>
      </c>
      <c r="GX100" s="84"/>
      <c r="GY100" s="85" t="str">
        <f t="shared" ref="GY100:GY103" si="726">IF(COUNT(GX100)=0,"",(GX100-GX$105)/GX$106)</f>
        <v/>
      </c>
      <c r="GZ100" s="85" t="str">
        <f t="shared" si="598"/>
        <v/>
      </c>
      <c r="HA100" s="84"/>
      <c r="HB100" s="85" t="str">
        <f t="shared" ref="HB100:HB103" si="727">IF(COUNT(HA100)=0,"",(HA100-HA$105)/HA$106)</f>
        <v/>
      </c>
      <c r="HC100" s="85" t="str">
        <f t="shared" si="599"/>
        <v/>
      </c>
      <c r="HD100" s="84"/>
      <c r="HE100" s="85" t="str">
        <f t="shared" ref="HE100:HE103" si="728">IF(COUNT(HD100)=0,"",(HD100-HD$105)/HD$106)</f>
        <v/>
      </c>
      <c r="HF100" s="85" t="str">
        <f t="shared" si="600"/>
        <v/>
      </c>
      <c r="HG100" s="84"/>
      <c r="HH100" s="85" t="str">
        <f t="shared" ref="HH100:HH103" si="729">IF(COUNT(HG100)=0,"",(HG100-HG$105)/HG$106)</f>
        <v/>
      </c>
      <c r="HI100" s="85" t="str">
        <f t="shared" si="601"/>
        <v/>
      </c>
      <c r="HJ100" s="84"/>
      <c r="HK100" s="85" t="str">
        <f t="shared" ref="HK100:HK103" si="730">IF(COUNT(HJ100)=0,"",(HJ100-HJ$105)/HJ$106)</f>
        <v/>
      </c>
      <c r="HL100" s="85" t="str">
        <f t="shared" si="602"/>
        <v/>
      </c>
      <c r="HM100" s="84"/>
      <c r="HN100" s="85" t="str">
        <f t="shared" ref="HN100:HN103" si="731">IF(COUNT(HM100)=0,"",(HM100-HM$105)/HM$106)</f>
        <v/>
      </c>
      <c r="HO100" s="85" t="str">
        <f t="shared" si="603"/>
        <v/>
      </c>
      <c r="HP100" s="84"/>
      <c r="HQ100" s="85" t="str">
        <f t="shared" ref="HQ100:HQ103" si="732">IF(COUNT(HP100)=0,"",(HP100-HP$105)/HP$106)</f>
        <v/>
      </c>
      <c r="HR100" s="85" t="str">
        <f t="shared" si="604"/>
        <v/>
      </c>
      <c r="HS100" s="84"/>
      <c r="HT100" s="85" t="str">
        <f t="shared" ref="HT100:HT103" si="733">IF(COUNT(HS100)=0,"",(HS100-HS$105)/HS$106)</f>
        <v/>
      </c>
      <c r="HU100" s="85" t="str">
        <f t="shared" si="605"/>
        <v/>
      </c>
      <c r="HV100" s="84"/>
      <c r="HW100" s="85" t="str">
        <f t="shared" ref="HW100:HW103" si="734">IF(COUNT(HV100)=0,"",(HV100-HV$105)/HV$106)</f>
        <v/>
      </c>
      <c r="HX100" s="85" t="str">
        <f t="shared" si="606"/>
        <v/>
      </c>
      <c r="HY100" s="84"/>
      <c r="HZ100" s="85" t="str">
        <f t="shared" ref="HZ100:HZ103" si="735">IF(COUNT(HY100)=0,"",(HY100-HY$105)/HY$106)</f>
        <v/>
      </c>
      <c r="IA100" s="85" t="str">
        <f t="shared" si="607"/>
        <v/>
      </c>
      <c r="IB100" s="84"/>
      <c r="IC100" s="85" t="str">
        <f t="shared" ref="IC100:IC103" si="736">IF(COUNT(IB100)=0,"",(IB100-IB$105)/IB$106)</f>
        <v/>
      </c>
      <c r="ID100" s="85" t="str">
        <f t="shared" si="608"/>
        <v/>
      </c>
      <c r="IE100" s="84"/>
      <c r="IF100" s="85" t="str">
        <f t="shared" ref="IF100:IF103" si="737">IF(COUNT(IE100)=0,"",(IE100-IE$105)/IE$106)</f>
        <v/>
      </c>
      <c r="IG100" s="85" t="str">
        <f t="shared" si="609"/>
        <v/>
      </c>
      <c r="IH100" s="84"/>
      <c r="II100" s="85" t="str">
        <f t="shared" ref="II100:II103" si="738">IF(COUNT(IH100)=0,"",(IH100-IH$105)/IH$106)</f>
        <v/>
      </c>
      <c r="IJ100" s="85" t="str">
        <f t="shared" si="610"/>
        <v/>
      </c>
      <c r="IK100" s="84"/>
      <c r="IL100" s="85" t="str">
        <f t="shared" ref="IL100:IL103" si="739">IF(COUNT(IK100)=0,"",(IK100-IK$105)/IK$106)</f>
        <v/>
      </c>
      <c r="IM100" s="85" t="str">
        <f t="shared" si="611"/>
        <v/>
      </c>
      <c r="IN100" s="84"/>
      <c r="IO100" s="85" t="str">
        <f t="shared" ref="IO100:IO103" si="740">IF(COUNT(IN100)=0,"",(IN100-IN$105)/IN$106)</f>
        <v/>
      </c>
      <c r="IP100" s="85" t="str">
        <f t="shared" si="612"/>
        <v/>
      </c>
      <c r="IQ100" s="84"/>
      <c r="IR100" s="85" t="str">
        <f t="shared" ref="IR100:IR103" si="741">IF(COUNT(IQ100)=0,"",(IQ100-IQ$105)/IQ$106)</f>
        <v/>
      </c>
      <c r="IS100" s="85" t="str">
        <f t="shared" si="613"/>
        <v/>
      </c>
      <c r="IT100" s="84"/>
      <c r="IU100" s="85" t="str">
        <f t="shared" ref="IU100:IU103" si="742">IF(COUNT(IT100)=0,"",(IT100-IT$105)/IT$106)</f>
        <v/>
      </c>
      <c r="IV100" s="85" t="str">
        <f t="shared" si="614"/>
        <v/>
      </c>
      <c r="IW100" s="84"/>
      <c r="IX100" s="85" t="str">
        <f t="shared" ref="IX100:IX103" si="743">IF(COUNT(IW100)=0,"",(IW100-IW$105)/IW$106)</f>
        <v/>
      </c>
      <c r="IY100" s="85" t="str">
        <f t="shared" si="615"/>
        <v/>
      </c>
      <c r="IZ100" s="84"/>
      <c r="JA100" s="85" t="str">
        <f t="shared" ref="JA100:JA103" si="744">IF(COUNT(IZ100)=0,"",(IZ100-IZ$105)/IZ$106)</f>
        <v/>
      </c>
      <c r="JB100" s="85" t="str">
        <f t="shared" si="616"/>
        <v/>
      </c>
      <c r="JC100" s="84"/>
      <c r="JD100" s="85" t="str">
        <f t="shared" ref="JD100:JD103" si="745">IF(COUNT(JC100)=0,"",(JC100-JC$105)/JC$106)</f>
        <v/>
      </c>
      <c r="JE100" s="85" t="str">
        <f t="shared" si="617"/>
        <v/>
      </c>
      <c r="JF100" s="84"/>
      <c r="JG100" s="85" t="str">
        <f t="shared" ref="JG100:JG103" si="746">IF(COUNT(JF100)=0,"",(JF100-JF$105)/JF$106)</f>
        <v/>
      </c>
      <c r="JH100" s="85" t="str">
        <f t="shared" si="618"/>
        <v/>
      </c>
      <c r="JI100" s="84"/>
      <c r="JJ100" s="85" t="str">
        <f t="shared" ref="JJ100:JJ103" si="747">IF(COUNT(JI100)=0,"",(JI100-JI$105)/JI$106)</f>
        <v/>
      </c>
      <c r="JK100" s="85" t="str">
        <f t="shared" si="619"/>
        <v/>
      </c>
      <c r="JL100" s="84"/>
      <c r="JM100" s="85" t="str">
        <f t="shared" ref="JM100:JM103" si="748">IF(COUNT(JL100)=0,"",(JL100-JL$105)/JL$106)</f>
        <v/>
      </c>
      <c r="JN100" s="85" t="str">
        <f t="shared" si="620"/>
        <v/>
      </c>
      <c r="JO100" s="84"/>
      <c r="JP100" s="85" t="str">
        <f t="shared" ref="JP100:JP103" si="749">IF(COUNT(JO100)=0,"",(JO100-JO$105)/JO$106)</f>
        <v/>
      </c>
      <c r="JQ100" s="85" t="str">
        <f t="shared" si="621"/>
        <v/>
      </c>
      <c r="JR100" s="84"/>
      <c r="JS100" s="85" t="str">
        <f t="shared" ref="JS100:JS103" si="750">IF(COUNT(JR100)=0,"",(JR100-JR$105)/JR$106)</f>
        <v/>
      </c>
      <c r="JT100" s="85" t="str">
        <f t="shared" si="622"/>
        <v/>
      </c>
      <c r="JU100" s="84"/>
      <c r="JV100" s="85" t="str">
        <f t="shared" ref="JV100:JV103" si="751">IF(COUNT(JU100)=0,"",(JU100-JU$105)/JU$106)</f>
        <v/>
      </c>
      <c r="JW100" s="85" t="str">
        <f t="shared" si="623"/>
        <v/>
      </c>
      <c r="JX100" s="84"/>
      <c r="JY100" s="85" t="str">
        <f t="shared" ref="JY100:JY103" si="752">IF(COUNT(JX100)=0,"",(JX100-JX$105)/JX$106)</f>
        <v/>
      </c>
      <c r="JZ100" s="85" t="str">
        <f t="shared" si="624"/>
        <v/>
      </c>
      <c r="KA100" s="84"/>
      <c r="KB100" s="85" t="str">
        <f t="shared" ref="KB100:KB103" si="753">IF(COUNT(KA100)=0,"",(KA100-KA$105)/KA$106)</f>
        <v/>
      </c>
      <c r="KC100" s="85" t="str">
        <f t="shared" si="625"/>
        <v/>
      </c>
      <c r="KD100" s="84"/>
      <c r="KE100" s="85" t="str">
        <f t="shared" ref="KE100:KE103" si="754">IF(COUNT(KD100)=0,"",(KD100-KD$105)/KD$106)</f>
        <v/>
      </c>
      <c r="KF100" s="85" t="str">
        <f t="shared" si="626"/>
        <v/>
      </c>
      <c r="KG100" s="84"/>
      <c r="KH100" s="85" t="str">
        <f t="shared" ref="KH100:KH103" si="755">IF(COUNT(KG100)=0,"",(KG100-KG$105)/KG$106)</f>
        <v/>
      </c>
      <c r="KI100" s="85" t="str">
        <f t="shared" si="627"/>
        <v/>
      </c>
      <c r="KJ100" s="84"/>
      <c r="KK100" s="85" t="str">
        <f t="shared" ref="KK100:KK103" si="756">IF(COUNT(KJ100)=0,"",(KJ100-KJ$105)/KJ$106)</f>
        <v/>
      </c>
      <c r="KL100" s="85" t="str">
        <f t="shared" si="628"/>
        <v/>
      </c>
      <c r="KM100" s="84"/>
      <c r="KN100" s="85" t="str">
        <f t="shared" ref="KN100:KN103" si="757">IF(COUNT(KM100)=0,"",(KM100-KM$105)/KM$106)</f>
        <v/>
      </c>
      <c r="KO100" s="85" t="str">
        <f t="shared" si="629"/>
        <v/>
      </c>
      <c r="KP100" s="84"/>
      <c r="KQ100" s="85" t="str">
        <f t="shared" ref="KQ100:KQ103" si="758">IF(COUNT(KP100)=0,"",(KP100-KP$105)/KP$106)</f>
        <v/>
      </c>
      <c r="KR100" s="85" t="str">
        <f t="shared" si="630"/>
        <v/>
      </c>
      <c r="KS100" s="84"/>
      <c r="KT100" s="85" t="str">
        <f t="shared" ref="KT100:KT103" si="759">IF(COUNT(KS100)=0,"",(KS100-KS$105)/KS$106)</f>
        <v/>
      </c>
      <c r="KU100" s="85" t="str">
        <f t="shared" si="631"/>
        <v/>
      </c>
      <c r="KV100" s="84"/>
      <c r="KW100" s="85" t="str">
        <f t="shared" ref="KW100:KW103" si="760">IF(COUNT(KV100)=0,"",(KV100-KV$105)/KV$106)</f>
        <v/>
      </c>
      <c r="KX100" s="85" t="str">
        <f t="shared" si="632"/>
        <v/>
      </c>
      <c r="KY100" s="90"/>
      <c r="KZ100" s="85" t="str">
        <f t="shared" ref="KZ100:KZ103" si="761">IF(COUNT(KY100)=0,"",(KY100-KY$105)/KY$106)</f>
        <v/>
      </c>
      <c r="LA100" s="85" t="str">
        <f t="shared" si="633"/>
        <v/>
      </c>
      <c r="LB100" s="50" t="str">
        <f t="shared" si="658"/>
        <v/>
      </c>
      <c r="LC100" s="57" t="str">
        <f t="shared" si="634"/>
        <v/>
      </c>
      <c r="LD100" s="50" t="str">
        <f t="shared" si="635"/>
        <v/>
      </c>
      <c r="LE100" s="57" t="str">
        <f t="shared" si="636"/>
        <v/>
      </c>
      <c r="LF100" s="50" t="str">
        <f t="shared" si="637"/>
        <v/>
      </c>
      <c r="LG100" s="57" t="str">
        <f t="shared" si="638"/>
        <v/>
      </c>
      <c r="LH100" s="58" t="str">
        <f t="shared" si="659"/>
        <v/>
      </c>
      <c r="LI100" s="58" t="str">
        <f t="shared" si="660"/>
        <v/>
      </c>
      <c r="LJ100" s="58" t="str">
        <f t="shared" si="661"/>
        <v/>
      </c>
      <c r="LK100" s="58" t="str">
        <f t="shared" si="639"/>
        <v/>
      </c>
      <c r="LL100" s="60" t="str">
        <f t="shared" si="640"/>
        <v/>
      </c>
      <c r="LM100" s="55"/>
      <c r="LN100" s="61" t="str">
        <f t="shared" si="653"/>
        <v/>
      </c>
      <c r="LO100" s="61" t="str">
        <f t="shared" si="662"/>
        <v/>
      </c>
      <c r="LP100" s="55"/>
      <c r="LQ100" s="55"/>
      <c r="LR100" s="55"/>
      <c r="LS100" s="63"/>
      <c r="LT100" s="63"/>
      <c r="LU100" s="63"/>
      <c r="LV100" s="63"/>
      <c r="LW100" s="63"/>
      <c r="LX100" s="63"/>
      <c r="LY100" s="63"/>
      <c r="LZ100" s="63"/>
      <c r="MA100" s="63"/>
      <c r="MB100" s="63"/>
      <c r="MC100" s="63"/>
      <c r="MD100" s="63"/>
      <c r="ME100" s="63"/>
      <c r="MF100" s="63"/>
      <c r="MG100" s="63"/>
      <c r="MH100" s="63"/>
      <c r="MI100" s="63"/>
      <c r="MJ100" s="63"/>
    </row>
    <row r="101" spans="1:348">
      <c r="A101" s="50">
        <f t="shared" si="642"/>
        <v>0</v>
      </c>
      <c r="B101" s="50">
        <f t="shared" si="643"/>
        <v>0</v>
      </c>
      <c r="C101" s="77"/>
      <c r="D101" s="75"/>
      <c r="E101" s="63"/>
      <c r="F101" s="63"/>
      <c r="G101" s="63"/>
      <c r="H101" s="63"/>
      <c r="I101" s="63"/>
      <c r="J101" s="63"/>
      <c r="K101" s="63"/>
      <c r="L101" s="63"/>
      <c r="M101" s="54" t="s">
        <v>35</v>
      </c>
      <c r="N101" s="84"/>
      <c r="O101" s="85" t="str">
        <f t="shared" si="663"/>
        <v/>
      </c>
      <c r="P101" s="85" t="str">
        <f t="shared" si="534"/>
        <v/>
      </c>
      <c r="Q101" s="84"/>
      <c r="R101" s="85" t="str">
        <f t="shared" si="664"/>
        <v/>
      </c>
      <c r="S101" s="85" t="str">
        <f t="shared" si="535"/>
        <v/>
      </c>
      <c r="T101" s="84"/>
      <c r="U101" s="85" t="str">
        <f t="shared" si="665"/>
        <v/>
      </c>
      <c r="V101" s="85" t="str">
        <f t="shared" si="536"/>
        <v/>
      </c>
      <c r="W101" s="84"/>
      <c r="X101" s="85" t="str">
        <f t="shared" si="666"/>
        <v/>
      </c>
      <c r="Y101" s="85" t="str">
        <f t="shared" si="537"/>
        <v/>
      </c>
      <c r="Z101" s="84"/>
      <c r="AA101" s="85" t="str">
        <f t="shared" si="667"/>
        <v/>
      </c>
      <c r="AB101" s="85" t="str">
        <f t="shared" si="538"/>
        <v/>
      </c>
      <c r="AC101" s="84"/>
      <c r="AD101" s="85" t="str">
        <f t="shared" si="668"/>
        <v/>
      </c>
      <c r="AE101" s="85" t="str">
        <f t="shared" si="539"/>
        <v/>
      </c>
      <c r="AF101" s="84"/>
      <c r="AG101" s="85" t="str">
        <f t="shared" si="669"/>
        <v/>
      </c>
      <c r="AH101" s="85" t="str">
        <f t="shared" si="540"/>
        <v/>
      </c>
      <c r="AI101" s="84"/>
      <c r="AJ101" s="85" t="str">
        <f t="shared" si="670"/>
        <v/>
      </c>
      <c r="AK101" s="85" t="str">
        <f t="shared" si="541"/>
        <v/>
      </c>
      <c r="AL101" s="84"/>
      <c r="AM101" s="85" t="str">
        <f t="shared" si="671"/>
        <v/>
      </c>
      <c r="AN101" s="85" t="str">
        <f t="shared" si="542"/>
        <v/>
      </c>
      <c r="AO101" s="84"/>
      <c r="AP101" s="85" t="str">
        <f t="shared" si="672"/>
        <v/>
      </c>
      <c r="AQ101" s="85" t="str">
        <f t="shared" si="543"/>
        <v/>
      </c>
      <c r="AR101" s="84"/>
      <c r="AS101" s="85" t="str">
        <f t="shared" si="673"/>
        <v/>
      </c>
      <c r="AT101" s="85" t="str">
        <f t="shared" si="544"/>
        <v/>
      </c>
      <c r="AU101" s="84"/>
      <c r="AV101" s="85" t="str">
        <f t="shared" si="674"/>
        <v/>
      </c>
      <c r="AW101" s="85" t="str">
        <f t="shared" si="545"/>
        <v/>
      </c>
      <c r="AX101" s="84"/>
      <c r="AY101" s="85" t="str">
        <f t="shared" si="675"/>
        <v/>
      </c>
      <c r="AZ101" s="85" t="str">
        <f t="shared" si="546"/>
        <v/>
      </c>
      <c r="BA101" s="84"/>
      <c r="BB101" s="85" t="str">
        <f t="shared" si="676"/>
        <v/>
      </c>
      <c r="BC101" s="85" t="str">
        <f t="shared" si="547"/>
        <v/>
      </c>
      <c r="BD101" s="84"/>
      <c r="BE101" s="85" t="str">
        <f t="shared" si="677"/>
        <v/>
      </c>
      <c r="BF101" s="85" t="str">
        <f t="shared" si="548"/>
        <v/>
      </c>
      <c r="BG101" s="84"/>
      <c r="BH101" s="85" t="str">
        <f t="shared" si="678"/>
        <v/>
      </c>
      <c r="BI101" s="85" t="str">
        <f t="shared" si="549"/>
        <v/>
      </c>
      <c r="BJ101" s="84"/>
      <c r="BK101" s="85" t="str">
        <f t="shared" si="679"/>
        <v/>
      </c>
      <c r="BL101" s="85" t="str">
        <f t="shared" si="550"/>
        <v/>
      </c>
      <c r="BM101" s="84"/>
      <c r="BN101" s="85" t="str">
        <f t="shared" si="680"/>
        <v/>
      </c>
      <c r="BO101" s="85" t="str">
        <f t="shared" si="551"/>
        <v/>
      </c>
      <c r="BP101" s="87"/>
      <c r="BQ101" s="85" t="str">
        <f t="shared" si="681"/>
        <v/>
      </c>
      <c r="BR101" s="85" t="str">
        <f t="shared" si="552"/>
        <v/>
      </c>
      <c r="BS101" s="84"/>
      <c r="BT101" s="85" t="str">
        <f t="shared" si="682"/>
        <v/>
      </c>
      <c r="BU101" s="85" t="str">
        <f t="shared" si="553"/>
        <v/>
      </c>
      <c r="BV101" s="84"/>
      <c r="BW101" s="85" t="str">
        <f t="shared" si="683"/>
        <v/>
      </c>
      <c r="BX101" s="85" t="str">
        <f t="shared" si="554"/>
        <v/>
      </c>
      <c r="BY101" s="84"/>
      <c r="BZ101" s="85" t="str">
        <f t="shared" si="684"/>
        <v/>
      </c>
      <c r="CA101" s="85" t="str">
        <f t="shared" si="555"/>
        <v/>
      </c>
      <c r="CB101" s="84"/>
      <c r="CC101" s="85" t="str">
        <f t="shared" si="685"/>
        <v/>
      </c>
      <c r="CD101" s="85" t="str">
        <f t="shared" si="556"/>
        <v/>
      </c>
      <c r="CE101" s="84"/>
      <c r="CF101" s="85" t="str">
        <f t="shared" si="686"/>
        <v/>
      </c>
      <c r="CG101" s="85" t="str">
        <f t="shared" si="557"/>
        <v/>
      </c>
      <c r="CH101" s="84"/>
      <c r="CI101" s="85" t="str">
        <f t="shared" si="687"/>
        <v/>
      </c>
      <c r="CJ101" s="85" t="str">
        <f t="shared" si="558"/>
        <v/>
      </c>
      <c r="CK101" s="84"/>
      <c r="CL101" s="85" t="str">
        <f t="shared" si="688"/>
        <v/>
      </c>
      <c r="CM101" s="85" t="str">
        <f t="shared" si="559"/>
        <v/>
      </c>
      <c r="CN101" s="84"/>
      <c r="CO101" s="85" t="str">
        <f t="shared" si="689"/>
        <v/>
      </c>
      <c r="CP101" s="85" t="str">
        <f t="shared" si="560"/>
        <v/>
      </c>
      <c r="CQ101" s="84"/>
      <c r="CR101" s="85" t="str">
        <f t="shared" si="690"/>
        <v/>
      </c>
      <c r="CS101" s="85" t="str">
        <f t="shared" si="561"/>
        <v/>
      </c>
      <c r="CT101" s="84"/>
      <c r="CU101" s="85" t="str">
        <f t="shared" si="691"/>
        <v/>
      </c>
      <c r="CV101" s="85" t="str">
        <f t="shared" si="562"/>
        <v/>
      </c>
      <c r="CW101" s="84"/>
      <c r="CX101" s="85" t="str">
        <f t="shared" si="692"/>
        <v/>
      </c>
      <c r="CY101" s="85" t="str">
        <f t="shared" si="563"/>
        <v/>
      </c>
      <c r="CZ101" s="84"/>
      <c r="DA101" s="85" t="str">
        <f t="shared" si="693"/>
        <v/>
      </c>
      <c r="DB101" s="85" t="str">
        <f t="shared" si="564"/>
        <v/>
      </c>
      <c r="DC101" s="84"/>
      <c r="DD101" s="85" t="str">
        <f t="shared" si="694"/>
        <v/>
      </c>
      <c r="DE101" s="85" t="str">
        <f t="shared" si="565"/>
        <v/>
      </c>
      <c r="DF101" s="84"/>
      <c r="DG101" s="85"/>
      <c r="DH101" s="85" t="str">
        <f t="shared" si="566"/>
        <v/>
      </c>
      <c r="DI101" s="84"/>
      <c r="DJ101" s="85" t="str">
        <f t="shared" si="695"/>
        <v/>
      </c>
      <c r="DK101" s="85" t="str">
        <f t="shared" si="567"/>
        <v/>
      </c>
      <c r="DL101" s="84"/>
      <c r="DM101" s="85" t="str">
        <f t="shared" si="696"/>
        <v/>
      </c>
      <c r="DN101" s="85" t="str">
        <f t="shared" si="568"/>
        <v/>
      </c>
      <c r="DO101" s="84"/>
      <c r="DP101" s="85" t="str">
        <f t="shared" si="697"/>
        <v/>
      </c>
      <c r="DQ101" s="85" t="str">
        <f t="shared" si="569"/>
        <v/>
      </c>
      <c r="DR101" s="84"/>
      <c r="DS101" s="85" t="str">
        <f t="shared" si="698"/>
        <v/>
      </c>
      <c r="DT101" s="85" t="str">
        <f t="shared" si="570"/>
        <v/>
      </c>
      <c r="DU101" s="84"/>
      <c r="DV101" s="85" t="str">
        <f t="shared" si="699"/>
        <v/>
      </c>
      <c r="DW101" s="85" t="str">
        <f t="shared" si="571"/>
        <v/>
      </c>
      <c r="DX101" s="84"/>
      <c r="DY101" s="85" t="str">
        <f t="shared" si="700"/>
        <v/>
      </c>
      <c r="DZ101" s="85" t="str">
        <f t="shared" si="572"/>
        <v/>
      </c>
      <c r="EA101" s="84"/>
      <c r="EB101" s="85" t="str">
        <f t="shared" si="701"/>
        <v/>
      </c>
      <c r="EC101" s="85" t="str">
        <f t="shared" si="573"/>
        <v/>
      </c>
      <c r="ED101" s="84"/>
      <c r="EE101" s="85" t="str">
        <f t="shared" si="702"/>
        <v/>
      </c>
      <c r="EF101" s="85" t="str">
        <f t="shared" si="574"/>
        <v/>
      </c>
      <c r="EG101" s="84"/>
      <c r="EH101" s="85" t="str">
        <f t="shared" si="703"/>
        <v/>
      </c>
      <c r="EI101" s="85" t="str">
        <f t="shared" si="575"/>
        <v/>
      </c>
      <c r="EJ101" s="84"/>
      <c r="EK101" s="85" t="str">
        <f t="shared" si="704"/>
        <v/>
      </c>
      <c r="EL101" s="85" t="str">
        <f t="shared" si="576"/>
        <v/>
      </c>
      <c r="EM101" s="84"/>
      <c r="EN101" s="85" t="str">
        <f t="shared" si="705"/>
        <v/>
      </c>
      <c r="EO101" s="85" t="str">
        <f t="shared" si="577"/>
        <v/>
      </c>
      <c r="EP101" s="84"/>
      <c r="EQ101" s="85" t="str">
        <f t="shared" si="706"/>
        <v/>
      </c>
      <c r="ER101" s="85" t="str">
        <f t="shared" si="578"/>
        <v/>
      </c>
      <c r="ES101" s="87"/>
      <c r="ET101" s="85" t="str">
        <f t="shared" si="707"/>
        <v/>
      </c>
      <c r="EU101" s="85" t="str">
        <f t="shared" si="579"/>
        <v/>
      </c>
      <c r="EV101" s="84"/>
      <c r="EW101" s="85" t="str">
        <f t="shared" si="708"/>
        <v/>
      </c>
      <c r="EX101" s="85" t="str">
        <f t="shared" si="580"/>
        <v/>
      </c>
      <c r="EY101" s="84"/>
      <c r="EZ101" s="85" t="str">
        <f t="shared" si="709"/>
        <v/>
      </c>
      <c r="FA101" s="85" t="str">
        <f t="shared" si="581"/>
        <v/>
      </c>
      <c r="FB101" s="84"/>
      <c r="FC101" s="85" t="str">
        <f t="shared" si="710"/>
        <v/>
      </c>
      <c r="FD101" s="85" t="str">
        <f t="shared" si="582"/>
        <v/>
      </c>
      <c r="FE101" s="84"/>
      <c r="FF101" s="85" t="str">
        <f t="shared" si="711"/>
        <v/>
      </c>
      <c r="FG101" s="85" t="str">
        <f t="shared" si="583"/>
        <v/>
      </c>
      <c r="FH101" s="84"/>
      <c r="FI101" s="85" t="str">
        <f t="shared" si="712"/>
        <v/>
      </c>
      <c r="FJ101" s="85" t="str">
        <f t="shared" si="584"/>
        <v/>
      </c>
      <c r="FK101" s="84"/>
      <c r="FL101" s="85" t="str">
        <f t="shared" si="713"/>
        <v/>
      </c>
      <c r="FM101" s="85" t="str">
        <f t="shared" si="585"/>
        <v/>
      </c>
      <c r="FN101" s="84"/>
      <c r="FO101" s="85" t="str">
        <f t="shared" si="714"/>
        <v/>
      </c>
      <c r="FP101" s="85" t="str">
        <f t="shared" si="586"/>
        <v/>
      </c>
      <c r="FQ101" s="84"/>
      <c r="FR101" s="85" t="str">
        <f t="shared" si="715"/>
        <v/>
      </c>
      <c r="FS101" s="85" t="str">
        <f t="shared" si="587"/>
        <v/>
      </c>
      <c r="FT101" s="84"/>
      <c r="FU101" s="85" t="str">
        <f t="shared" si="716"/>
        <v/>
      </c>
      <c r="FV101" s="85" t="str">
        <f t="shared" si="588"/>
        <v/>
      </c>
      <c r="FW101" s="90"/>
      <c r="FX101" s="85" t="str">
        <f t="shared" si="717"/>
        <v/>
      </c>
      <c r="FY101" s="85" t="str">
        <f t="shared" si="589"/>
        <v/>
      </c>
      <c r="FZ101" s="84"/>
      <c r="GA101" s="85" t="str">
        <f t="shared" si="718"/>
        <v/>
      </c>
      <c r="GB101" s="85" t="str">
        <f t="shared" si="590"/>
        <v/>
      </c>
      <c r="GC101" s="84"/>
      <c r="GD101" s="85" t="str">
        <f t="shared" si="719"/>
        <v/>
      </c>
      <c r="GE101" s="85" t="str">
        <f t="shared" si="591"/>
        <v/>
      </c>
      <c r="GF101" s="84"/>
      <c r="GG101" s="85" t="str">
        <f t="shared" si="720"/>
        <v/>
      </c>
      <c r="GH101" s="85" t="str">
        <f t="shared" si="592"/>
        <v/>
      </c>
      <c r="GI101" s="84"/>
      <c r="GJ101" s="85" t="str">
        <f t="shared" si="721"/>
        <v/>
      </c>
      <c r="GK101" s="85" t="str">
        <f t="shared" si="593"/>
        <v/>
      </c>
      <c r="GL101" s="84"/>
      <c r="GM101" s="85" t="str">
        <f t="shared" si="722"/>
        <v/>
      </c>
      <c r="GN101" s="85" t="str">
        <f t="shared" si="594"/>
        <v/>
      </c>
      <c r="GO101" s="84"/>
      <c r="GP101" s="85" t="str">
        <f t="shared" si="723"/>
        <v/>
      </c>
      <c r="GQ101" s="85" t="str">
        <f t="shared" si="595"/>
        <v/>
      </c>
      <c r="GR101" s="84"/>
      <c r="GS101" s="85" t="str">
        <f t="shared" si="724"/>
        <v/>
      </c>
      <c r="GT101" s="85" t="str">
        <f t="shared" si="596"/>
        <v/>
      </c>
      <c r="GU101" s="84"/>
      <c r="GV101" s="85" t="str">
        <f t="shared" si="725"/>
        <v/>
      </c>
      <c r="GW101" s="85" t="str">
        <f t="shared" si="597"/>
        <v/>
      </c>
      <c r="GX101" s="84"/>
      <c r="GY101" s="85" t="str">
        <f t="shared" si="726"/>
        <v/>
      </c>
      <c r="GZ101" s="85" t="str">
        <f t="shared" si="598"/>
        <v/>
      </c>
      <c r="HA101" s="84"/>
      <c r="HB101" s="85" t="str">
        <f t="shared" si="727"/>
        <v/>
      </c>
      <c r="HC101" s="85" t="str">
        <f t="shared" si="599"/>
        <v/>
      </c>
      <c r="HD101" s="84"/>
      <c r="HE101" s="85" t="str">
        <f t="shared" si="728"/>
        <v/>
      </c>
      <c r="HF101" s="85" t="str">
        <f t="shared" si="600"/>
        <v/>
      </c>
      <c r="HG101" s="84"/>
      <c r="HH101" s="85" t="str">
        <f t="shared" si="729"/>
        <v/>
      </c>
      <c r="HI101" s="85" t="str">
        <f t="shared" si="601"/>
        <v/>
      </c>
      <c r="HJ101" s="84"/>
      <c r="HK101" s="85" t="str">
        <f t="shared" si="730"/>
        <v/>
      </c>
      <c r="HL101" s="85" t="str">
        <f t="shared" si="602"/>
        <v/>
      </c>
      <c r="HM101" s="84"/>
      <c r="HN101" s="85" t="str">
        <f t="shared" si="731"/>
        <v/>
      </c>
      <c r="HO101" s="85" t="str">
        <f t="shared" si="603"/>
        <v/>
      </c>
      <c r="HP101" s="84"/>
      <c r="HQ101" s="85" t="str">
        <f t="shared" si="732"/>
        <v/>
      </c>
      <c r="HR101" s="85" t="str">
        <f t="shared" si="604"/>
        <v/>
      </c>
      <c r="HS101" s="84"/>
      <c r="HT101" s="85" t="str">
        <f t="shared" si="733"/>
        <v/>
      </c>
      <c r="HU101" s="85" t="str">
        <f t="shared" si="605"/>
        <v/>
      </c>
      <c r="HV101" s="84"/>
      <c r="HW101" s="85" t="str">
        <f t="shared" si="734"/>
        <v/>
      </c>
      <c r="HX101" s="85" t="str">
        <f t="shared" si="606"/>
        <v/>
      </c>
      <c r="HY101" s="84"/>
      <c r="HZ101" s="85" t="str">
        <f t="shared" si="735"/>
        <v/>
      </c>
      <c r="IA101" s="85" t="str">
        <f t="shared" si="607"/>
        <v/>
      </c>
      <c r="IB101" s="84"/>
      <c r="IC101" s="85" t="str">
        <f t="shared" si="736"/>
        <v/>
      </c>
      <c r="ID101" s="85" t="str">
        <f t="shared" si="608"/>
        <v/>
      </c>
      <c r="IE101" s="84"/>
      <c r="IF101" s="85" t="str">
        <f t="shared" si="737"/>
        <v/>
      </c>
      <c r="IG101" s="85" t="str">
        <f t="shared" si="609"/>
        <v/>
      </c>
      <c r="IH101" s="84"/>
      <c r="II101" s="85" t="str">
        <f t="shared" si="738"/>
        <v/>
      </c>
      <c r="IJ101" s="85" t="str">
        <f t="shared" si="610"/>
        <v/>
      </c>
      <c r="IK101" s="84"/>
      <c r="IL101" s="85" t="str">
        <f t="shared" si="739"/>
        <v/>
      </c>
      <c r="IM101" s="85" t="str">
        <f t="shared" si="611"/>
        <v/>
      </c>
      <c r="IN101" s="84"/>
      <c r="IO101" s="85" t="str">
        <f t="shared" si="740"/>
        <v/>
      </c>
      <c r="IP101" s="85" t="str">
        <f t="shared" si="612"/>
        <v/>
      </c>
      <c r="IQ101" s="84"/>
      <c r="IR101" s="85" t="str">
        <f t="shared" si="741"/>
        <v/>
      </c>
      <c r="IS101" s="85" t="str">
        <f t="shared" si="613"/>
        <v/>
      </c>
      <c r="IT101" s="84"/>
      <c r="IU101" s="85" t="str">
        <f t="shared" si="742"/>
        <v/>
      </c>
      <c r="IV101" s="85" t="str">
        <f t="shared" si="614"/>
        <v/>
      </c>
      <c r="IW101" s="84"/>
      <c r="IX101" s="85" t="str">
        <f t="shared" si="743"/>
        <v/>
      </c>
      <c r="IY101" s="85" t="str">
        <f t="shared" si="615"/>
        <v/>
      </c>
      <c r="IZ101" s="84"/>
      <c r="JA101" s="85" t="str">
        <f t="shared" si="744"/>
        <v/>
      </c>
      <c r="JB101" s="85" t="str">
        <f t="shared" si="616"/>
        <v/>
      </c>
      <c r="JC101" s="84"/>
      <c r="JD101" s="85" t="str">
        <f t="shared" si="745"/>
        <v/>
      </c>
      <c r="JE101" s="85" t="str">
        <f t="shared" si="617"/>
        <v/>
      </c>
      <c r="JF101" s="84"/>
      <c r="JG101" s="85" t="str">
        <f t="shared" si="746"/>
        <v/>
      </c>
      <c r="JH101" s="85" t="str">
        <f t="shared" si="618"/>
        <v/>
      </c>
      <c r="JI101" s="84"/>
      <c r="JJ101" s="85" t="str">
        <f t="shared" si="747"/>
        <v/>
      </c>
      <c r="JK101" s="85" t="str">
        <f t="shared" si="619"/>
        <v/>
      </c>
      <c r="JL101" s="84"/>
      <c r="JM101" s="85" t="str">
        <f t="shared" si="748"/>
        <v/>
      </c>
      <c r="JN101" s="85" t="str">
        <f t="shared" si="620"/>
        <v/>
      </c>
      <c r="JO101" s="84"/>
      <c r="JP101" s="85" t="str">
        <f t="shared" si="749"/>
        <v/>
      </c>
      <c r="JQ101" s="85" t="str">
        <f t="shared" si="621"/>
        <v/>
      </c>
      <c r="JR101" s="84"/>
      <c r="JS101" s="85" t="str">
        <f t="shared" si="750"/>
        <v/>
      </c>
      <c r="JT101" s="85" t="str">
        <f t="shared" si="622"/>
        <v/>
      </c>
      <c r="JU101" s="84"/>
      <c r="JV101" s="85" t="str">
        <f t="shared" si="751"/>
        <v/>
      </c>
      <c r="JW101" s="85" t="str">
        <f t="shared" si="623"/>
        <v/>
      </c>
      <c r="JX101" s="84"/>
      <c r="JY101" s="85" t="str">
        <f t="shared" si="752"/>
        <v/>
      </c>
      <c r="JZ101" s="85" t="str">
        <f t="shared" si="624"/>
        <v/>
      </c>
      <c r="KA101" s="84"/>
      <c r="KB101" s="85" t="str">
        <f t="shared" si="753"/>
        <v/>
      </c>
      <c r="KC101" s="85" t="str">
        <f t="shared" si="625"/>
        <v/>
      </c>
      <c r="KD101" s="84"/>
      <c r="KE101" s="85" t="str">
        <f t="shared" si="754"/>
        <v/>
      </c>
      <c r="KF101" s="85" t="str">
        <f t="shared" si="626"/>
        <v/>
      </c>
      <c r="KG101" s="84"/>
      <c r="KH101" s="85" t="str">
        <f t="shared" si="755"/>
        <v/>
      </c>
      <c r="KI101" s="85" t="str">
        <f t="shared" si="627"/>
        <v/>
      </c>
      <c r="KJ101" s="84"/>
      <c r="KK101" s="85" t="str">
        <f t="shared" si="756"/>
        <v/>
      </c>
      <c r="KL101" s="85" t="str">
        <f t="shared" si="628"/>
        <v/>
      </c>
      <c r="KM101" s="84"/>
      <c r="KN101" s="85" t="str">
        <f t="shared" si="757"/>
        <v/>
      </c>
      <c r="KO101" s="85" t="str">
        <f t="shared" si="629"/>
        <v/>
      </c>
      <c r="KP101" s="84"/>
      <c r="KQ101" s="85" t="str">
        <f t="shared" si="758"/>
        <v/>
      </c>
      <c r="KR101" s="85" t="str">
        <f t="shared" si="630"/>
        <v/>
      </c>
      <c r="KS101" s="84"/>
      <c r="KT101" s="85" t="str">
        <f t="shared" si="759"/>
        <v/>
      </c>
      <c r="KU101" s="85" t="str">
        <f t="shared" si="631"/>
        <v/>
      </c>
      <c r="KV101" s="84"/>
      <c r="KW101" s="85" t="str">
        <f t="shared" si="760"/>
        <v/>
      </c>
      <c r="KX101" s="85" t="str">
        <f t="shared" si="632"/>
        <v/>
      </c>
      <c r="KY101" s="90"/>
      <c r="KZ101" s="85" t="str">
        <f t="shared" si="761"/>
        <v/>
      </c>
      <c r="LA101" s="85" t="str">
        <f t="shared" si="633"/>
        <v/>
      </c>
      <c r="LB101" s="50" t="str">
        <f t="shared" si="658"/>
        <v/>
      </c>
      <c r="LC101" s="57" t="str">
        <f t="shared" ref="LC101:LC103" si="762">IFERROR(RANK(LB101,(LB$5:LB$103),0),"")</f>
        <v/>
      </c>
      <c r="LD101" s="50" t="str">
        <f t="shared" si="635"/>
        <v/>
      </c>
      <c r="LE101" s="57" t="str">
        <f t="shared" ref="LE101:LE103" si="763">IFERROR(RANK(LD101,(LD$5:LD$103),0),"")</f>
        <v/>
      </c>
      <c r="LF101" s="50" t="str">
        <f t="shared" si="637"/>
        <v/>
      </c>
      <c r="LG101" s="57" t="str">
        <f t="shared" ref="LG101:LG103" si="764">IFERROR(RANK(LF101,(LF$5:LF$103),0),"")</f>
        <v/>
      </c>
      <c r="LH101" s="58" t="str">
        <f t="shared" si="659"/>
        <v/>
      </c>
      <c r="LI101" s="58" t="str">
        <f t="shared" si="660"/>
        <v/>
      </c>
      <c r="LJ101" s="58" t="str">
        <f t="shared" si="661"/>
        <v/>
      </c>
      <c r="LK101" s="58" t="str">
        <f t="shared" ref="LK101:LK132" si="765">IFERROR(LH101+LI101+LJ101-50,"")</f>
        <v/>
      </c>
      <c r="LL101" s="60" t="str">
        <f t="shared" ref="LL101:LL103" si="766">IFERROR(RANK(LK101,(LK$5:LK$103),0),"")</f>
        <v/>
      </c>
      <c r="LM101" s="55"/>
      <c r="LN101" s="61" t="str">
        <f t="shared" si="653"/>
        <v/>
      </c>
      <c r="LO101" s="61" t="str">
        <f t="shared" si="662"/>
        <v/>
      </c>
      <c r="LP101" s="55"/>
      <c r="LQ101" s="55"/>
      <c r="LR101" s="55"/>
      <c r="LS101" s="63"/>
      <c r="LT101" s="63"/>
      <c r="LU101" s="63"/>
      <c r="LV101" s="63"/>
      <c r="LW101" s="63"/>
      <c r="LX101" s="63"/>
      <c r="LY101" s="63"/>
      <c r="LZ101" s="63"/>
      <c r="MA101" s="63"/>
      <c r="MB101" s="63"/>
      <c r="MC101" s="63"/>
      <c r="MD101" s="63"/>
      <c r="ME101" s="63"/>
      <c r="MF101" s="63"/>
      <c r="MG101" s="63"/>
      <c r="MH101" s="63"/>
      <c r="MI101" s="63"/>
      <c r="MJ101" s="63"/>
    </row>
    <row r="102" spans="1:348">
      <c r="A102" s="50">
        <f t="shared" si="642"/>
        <v>0</v>
      </c>
      <c r="B102" s="50">
        <f t="shared" si="643"/>
        <v>0</v>
      </c>
      <c r="C102" s="77"/>
      <c r="D102" s="75"/>
      <c r="E102" s="63"/>
      <c r="F102" s="63"/>
      <c r="G102" s="63"/>
      <c r="H102" s="63"/>
      <c r="I102" s="63"/>
      <c r="J102" s="63"/>
      <c r="K102" s="63"/>
      <c r="L102" s="63"/>
      <c r="M102" s="54" t="s">
        <v>35</v>
      </c>
      <c r="N102" s="84"/>
      <c r="O102" s="85" t="str">
        <f t="shared" si="663"/>
        <v/>
      </c>
      <c r="P102" s="85" t="str">
        <f t="shared" si="534"/>
        <v/>
      </c>
      <c r="Q102" s="84"/>
      <c r="R102" s="85" t="str">
        <f t="shared" si="664"/>
        <v/>
      </c>
      <c r="S102" s="85" t="str">
        <f t="shared" si="535"/>
        <v/>
      </c>
      <c r="T102" s="84"/>
      <c r="U102" s="85" t="str">
        <f t="shared" si="665"/>
        <v/>
      </c>
      <c r="V102" s="85" t="str">
        <f t="shared" si="536"/>
        <v/>
      </c>
      <c r="W102" s="84"/>
      <c r="X102" s="85" t="str">
        <f t="shared" si="666"/>
        <v/>
      </c>
      <c r="Y102" s="85" t="str">
        <f t="shared" si="537"/>
        <v/>
      </c>
      <c r="Z102" s="84"/>
      <c r="AA102" s="85" t="str">
        <f t="shared" si="667"/>
        <v/>
      </c>
      <c r="AB102" s="85" t="str">
        <f t="shared" si="538"/>
        <v/>
      </c>
      <c r="AC102" s="84"/>
      <c r="AD102" s="85" t="str">
        <f t="shared" si="668"/>
        <v/>
      </c>
      <c r="AE102" s="85" t="str">
        <f t="shared" si="539"/>
        <v/>
      </c>
      <c r="AF102" s="84"/>
      <c r="AG102" s="85" t="str">
        <f t="shared" si="669"/>
        <v/>
      </c>
      <c r="AH102" s="85" t="str">
        <f t="shared" si="540"/>
        <v/>
      </c>
      <c r="AI102" s="84"/>
      <c r="AJ102" s="85" t="str">
        <f t="shared" si="670"/>
        <v/>
      </c>
      <c r="AK102" s="85" t="str">
        <f t="shared" si="541"/>
        <v/>
      </c>
      <c r="AL102" s="84"/>
      <c r="AM102" s="85" t="str">
        <f t="shared" si="671"/>
        <v/>
      </c>
      <c r="AN102" s="85" t="str">
        <f t="shared" si="542"/>
        <v/>
      </c>
      <c r="AO102" s="84"/>
      <c r="AP102" s="85" t="str">
        <f t="shared" si="672"/>
        <v/>
      </c>
      <c r="AQ102" s="85" t="str">
        <f t="shared" si="543"/>
        <v/>
      </c>
      <c r="AR102" s="84"/>
      <c r="AS102" s="85" t="str">
        <f t="shared" si="673"/>
        <v/>
      </c>
      <c r="AT102" s="85" t="str">
        <f t="shared" si="544"/>
        <v/>
      </c>
      <c r="AU102" s="84"/>
      <c r="AV102" s="85" t="str">
        <f t="shared" si="674"/>
        <v/>
      </c>
      <c r="AW102" s="85" t="str">
        <f t="shared" si="545"/>
        <v/>
      </c>
      <c r="AX102" s="84"/>
      <c r="AY102" s="85" t="str">
        <f t="shared" si="675"/>
        <v/>
      </c>
      <c r="AZ102" s="85" t="str">
        <f t="shared" si="546"/>
        <v/>
      </c>
      <c r="BA102" s="84"/>
      <c r="BB102" s="85" t="str">
        <f t="shared" si="676"/>
        <v/>
      </c>
      <c r="BC102" s="85" t="str">
        <f t="shared" si="547"/>
        <v/>
      </c>
      <c r="BD102" s="84"/>
      <c r="BE102" s="85" t="str">
        <f t="shared" si="677"/>
        <v/>
      </c>
      <c r="BF102" s="85" t="str">
        <f t="shared" si="548"/>
        <v/>
      </c>
      <c r="BG102" s="84"/>
      <c r="BH102" s="85" t="str">
        <f t="shared" si="678"/>
        <v/>
      </c>
      <c r="BI102" s="85" t="str">
        <f t="shared" si="549"/>
        <v/>
      </c>
      <c r="BJ102" s="84"/>
      <c r="BK102" s="85" t="str">
        <f t="shared" si="679"/>
        <v/>
      </c>
      <c r="BL102" s="85" t="str">
        <f t="shared" si="550"/>
        <v/>
      </c>
      <c r="BM102" s="84"/>
      <c r="BN102" s="85" t="str">
        <f t="shared" si="680"/>
        <v/>
      </c>
      <c r="BO102" s="85" t="str">
        <f t="shared" si="551"/>
        <v/>
      </c>
      <c r="BP102" s="87"/>
      <c r="BQ102" s="85" t="str">
        <f t="shared" si="681"/>
        <v/>
      </c>
      <c r="BR102" s="85" t="str">
        <f t="shared" si="552"/>
        <v/>
      </c>
      <c r="BS102" s="84"/>
      <c r="BT102" s="85" t="str">
        <f t="shared" si="682"/>
        <v/>
      </c>
      <c r="BU102" s="85" t="str">
        <f t="shared" si="553"/>
        <v/>
      </c>
      <c r="BV102" s="84"/>
      <c r="BW102" s="85" t="str">
        <f t="shared" si="683"/>
        <v/>
      </c>
      <c r="BX102" s="85" t="str">
        <f t="shared" si="554"/>
        <v/>
      </c>
      <c r="BY102" s="84"/>
      <c r="BZ102" s="85" t="str">
        <f t="shared" si="684"/>
        <v/>
      </c>
      <c r="CA102" s="85" t="str">
        <f t="shared" si="555"/>
        <v/>
      </c>
      <c r="CB102" s="84"/>
      <c r="CC102" s="85" t="str">
        <f t="shared" si="685"/>
        <v/>
      </c>
      <c r="CD102" s="85" t="str">
        <f t="shared" si="556"/>
        <v/>
      </c>
      <c r="CE102" s="84"/>
      <c r="CF102" s="85" t="str">
        <f t="shared" si="686"/>
        <v/>
      </c>
      <c r="CG102" s="85" t="str">
        <f t="shared" si="557"/>
        <v/>
      </c>
      <c r="CH102" s="84"/>
      <c r="CI102" s="85" t="str">
        <f t="shared" si="687"/>
        <v/>
      </c>
      <c r="CJ102" s="85" t="str">
        <f t="shared" si="558"/>
        <v/>
      </c>
      <c r="CK102" s="84"/>
      <c r="CL102" s="85" t="str">
        <f t="shared" si="688"/>
        <v/>
      </c>
      <c r="CM102" s="85" t="str">
        <f t="shared" si="559"/>
        <v/>
      </c>
      <c r="CN102" s="84"/>
      <c r="CO102" s="85" t="str">
        <f t="shared" si="689"/>
        <v/>
      </c>
      <c r="CP102" s="85" t="str">
        <f t="shared" si="560"/>
        <v/>
      </c>
      <c r="CQ102" s="84"/>
      <c r="CR102" s="85" t="str">
        <f t="shared" si="690"/>
        <v/>
      </c>
      <c r="CS102" s="85" t="str">
        <f t="shared" si="561"/>
        <v/>
      </c>
      <c r="CT102" s="84"/>
      <c r="CU102" s="85" t="str">
        <f t="shared" si="691"/>
        <v/>
      </c>
      <c r="CV102" s="85" t="str">
        <f t="shared" si="562"/>
        <v/>
      </c>
      <c r="CW102" s="84"/>
      <c r="CX102" s="85" t="str">
        <f t="shared" si="692"/>
        <v/>
      </c>
      <c r="CY102" s="85" t="str">
        <f t="shared" si="563"/>
        <v/>
      </c>
      <c r="CZ102" s="84"/>
      <c r="DA102" s="85" t="str">
        <f t="shared" si="693"/>
        <v/>
      </c>
      <c r="DB102" s="85" t="str">
        <f t="shared" si="564"/>
        <v/>
      </c>
      <c r="DC102" s="84"/>
      <c r="DD102" s="85" t="str">
        <f t="shared" si="694"/>
        <v/>
      </c>
      <c r="DE102" s="85" t="str">
        <f t="shared" si="565"/>
        <v/>
      </c>
      <c r="DF102" s="84"/>
      <c r="DG102" s="85"/>
      <c r="DH102" s="85" t="str">
        <f t="shared" si="566"/>
        <v/>
      </c>
      <c r="DI102" s="84"/>
      <c r="DJ102" s="85" t="str">
        <f t="shared" si="695"/>
        <v/>
      </c>
      <c r="DK102" s="85" t="str">
        <f t="shared" si="567"/>
        <v/>
      </c>
      <c r="DL102" s="84"/>
      <c r="DM102" s="85" t="str">
        <f t="shared" si="696"/>
        <v/>
      </c>
      <c r="DN102" s="85" t="str">
        <f t="shared" si="568"/>
        <v/>
      </c>
      <c r="DO102" s="84"/>
      <c r="DP102" s="85" t="str">
        <f t="shared" si="697"/>
        <v/>
      </c>
      <c r="DQ102" s="85" t="str">
        <f t="shared" si="569"/>
        <v/>
      </c>
      <c r="DR102" s="84"/>
      <c r="DS102" s="85" t="str">
        <f t="shared" si="698"/>
        <v/>
      </c>
      <c r="DT102" s="85" t="str">
        <f t="shared" si="570"/>
        <v/>
      </c>
      <c r="DU102" s="84"/>
      <c r="DV102" s="85" t="str">
        <f t="shared" si="699"/>
        <v/>
      </c>
      <c r="DW102" s="85" t="str">
        <f t="shared" si="571"/>
        <v/>
      </c>
      <c r="DX102" s="84"/>
      <c r="DY102" s="85" t="str">
        <f t="shared" si="700"/>
        <v/>
      </c>
      <c r="DZ102" s="85" t="str">
        <f t="shared" si="572"/>
        <v/>
      </c>
      <c r="EA102" s="84"/>
      <c r="EB102" s="85" t="str">
        <f t="shared" si="701"/>
        <v/>
      </c>
      <c r="EC102" s="85" t="str">
        <f t="shared" si="573"/>
        <v/>
      </c>
      <c r="ED102" s="84"/>
      <c r="EE102" s="85" t="str">
        <f t="shared" si="702"/>
        <v/>
      </c>
      <c r="EF102" s="85" t="str">
        <f t="shared" si="574"/>
        <v/>
      </c>
      <c r="EG102" s="84"/>
      <c r="EH102" s="85" t="str">
        <f t="shared" si="703"/>
        <v/>
      </c>
      <c r="EI102" s="85" t="str">
        <f t="shared" si="575"/>
        <v/>
      </c>
      <c r="EJ102" s="84"/>
      <c r="EK102" s="85" t="str">
        <f t="shared" si="704"/>
        <v/>
      </c>
      <c r="EL102" s="85" t="str">
        <f t="shared" si="576"/>
        <v/>
      </c>
      <c r="EM102" s="84"/>
      <c r="EN102" s="85" t="str">
        <f t="shared" si="705"/>
        <v/>
      </c>
      <c r="EO102" s="85" t="str">
        <f t="shared" si="577"/>
        <v/>
      </c>
      <c r="EP102" s="84"/>
      <c r="EQ102" s="85" t="str">
        <f t="shared" si="706"/>
        <v/>
      </c>
      <c r="ER102" s="85" t="str">
        <f t="shared" si="578"/>
        <v/>
      </c>
      <c r="ES102" s="87"/>
      <c r="ET102" s="85" t="str">
        <f t="shared" si="707"/>
        <v/>
      </c>
      <c r="EU102" s="85" t="str">
        <f t="shared" si="579"/>
        <v/>
      </c>
      <c r="EV102" s="84"/>
      <c r="EW102" s="85" t="str">
        <f t="shared" si="708"/>
        <v/>
      </c>
      <c r="EX102" s="85" t="str">
        <f t="shared" si="580"/>
        <v/>
      </c>
      <c r="EY102" s="84"/>
      <c r="EZ102" s="85" t="str">
        <f t="shared" si="709"/>
        <v/>
      </c>
      <c r="FA102" s="85" t="str">
        <f t="shared" si="581"/>
        <v/>
      </c>
      <c r="FB102" s="84"/>
      <c r="FC102" s="85" t="str">
        <f t="shared" si="710"/>
        <v/>
      </c>
      <c r="FD102" s="85" t="str">
        <f t="shared" si="582"/>
        <v/>
      </c>
      <c r="FE102" s="84"/>
      <c r="FF102" s="85" t="str">
        <f t="shared" si="711"/>
        <v/>
      </c>
      <c r="FG102" s="85" t="str">
        <f t="shared" si="583"/>
        <v/>
      </c>
      <c r="FH102" s="84"/>
      <c r="FI102" s="85" t="str">
        <f t="shared" si="712"/>
        <v/>
      </c>
      <c r="FJ102" s="85" t="str">
        <f t="shared" si="584"/>
        <v/>
      </c>
      <c r="FK102" s="84"/>
      <c r="FL102" s="85" t="str">
        <f t="shared" si="713"/>
        <v/>
      </c>
      <c r="FM102" s="85" t="str">
        <f t="shared" si="585"/>
        <v/>
      </c>
      <c r="FN102" s="84"/>
      <c r="FO102" s="85" t="str">
        <f t="shared" si="714"/>
        <v/>
      </c>
      <c r="FP102" s="85" t="str">
        <f t="shared" si="586"/>
        <v/>
      </c>
      <c r="FQ102" s="84"/>
      <c r="FR102" s="85" t="str">
        <f t="shared" si="715"/>
        <v/>
      </c>
      <c r="FS102" s="85" t="str">
        <f t="shared" si="587"/>
        <v/>
      </c>
      <c r="FT102" s="84"/>
      <c r="FU102" s="85" t="str">
        <f t="shared" si="716"/>
        <v/>
      </c>
      <c r="FV102" s="85" t="str">
        <f t="shared" si="588"/>
        <v/>
      </c>
      <c r="FW102" s="90"/>
      <c r="FX102" s="85" t="str">
        <f t="shared" si="717"/>
        <v/>
      </c>
      <c r="FY102" s="85" t="str">
        <f t="shared" si="589"/>
        <v/>
      </c>
      <c r="FZ102" s="84"/>
      <c r="GA102" s="85" t="str">
        <f t="shared" si="718"/>
        <v/>
      </c>
      <c r="GB102" s="85" t="str">
        <f t="shared" si="590"/>
        <v/>
      </c>
      <c r="GC102" s="84"/>
      <c r="GD102" s="85" t="str">
        <f t="shared" si="719"/>
        <v/>
      </c>
      <c r="GE102" s="85" t="str">
        <f t="shared" si="591"/>
        <v/>
      </c>
      <c r="GF102" s="84"/>
      <c r="GG102" s="85" t="str">
        <f t="shared" si="720"/>
        <v/>
      </c>
      <c r="GH102" s="85" t="str">
        <f t="shared" si="592"/>
        <v/>
      </c>
      <c r="GI102" s="84"/>
      <c r="GJ102" s="85" t="str">
        <f t="shared" si="721"/>
        <v/>
      </c>
      <c r="GK102" s="85" t="str">
        <f t="shared" si="593"/>
        <v/>
      </c>
      <c r="GL102" s="84"/>
      <c r="GM102" s="85" t="str">
        <f t="shared" si="722"/>
        <v/>
      </c>
      <c r="GN102" s="85" t="str">
        <f t="shared" si="594"/>
        <v/>
      </c>
      <c r="GO102" s="84"/>
      <c r="GP102" s="85" t="str">
        <f t="shared" si="723"/>
        <v/>
      </c>
      <c r="GQ102" s="85" t="str">
        <f t="shared" si="595"/>
        <v/>
      </c>
      <c r="GR102" s="84"/>
      <c r="GS102" s="85" t="str">
        <f t="shared" si="724"/>
        <v/>
      </c>
      <c r="GT102" s="85" t="str">
        <f t="shared" si="596"/>
        <v/>
      </c>
      <c r="GU102" s="84"/>
      <c r="GV102" s="85" t="str">
        <f t="shared" si="725"/>
        <v/>
      </c>
      <c r="GW102" s="85" t="str">
        <f t="shared" si="597"/>
        <v/>
      </c>
      <c r="GX102" s="84"/>
      <c r="GY102" s="85" t="str">
        <f t="shared" si="726"/>
        <v/>
      </c>
      <c r="GZ102" s="85" t="str">
        <f t="shared" si="598"/>
        <v/>
      </c>
      <c r="HA102" s="84"/>
      <c r="HB102" s="85" t="str">
        <f t="shared" si="727"/>
        <v/>
      </c>
      <c r="HC102" s="85" t="str">
        <f t="shared" si="599"/>
        <v/>
      </c>
      <c r="HD102" s="84"/>
      <c r="HE102" s="85" t="str">
        <f t="shared" si="728"/>
        <v/>
      </c>
      <c r="HF102" s="85" t="str">
        <f t="shared" si="600"/>
        <v/>
      </c>
      <c r="HG102" s="84"/>
      <c r="HH102" s="85" t="str">
        <f t="shared" si="729"/>
        <v/>
      </c>
      <c r="HI102" s="85" t="str">
        <f t="shared" si="601"/>
        <v/>
      </c>
      <c r="HJ102" s="84"/>
      <c r="HK102" s="85" t="str">
        <f t="shared" si="730"/>
        <v/>
      </c>
      <c r="HL102" s="85" t="str">
        <f t="shared" si="602"/>
        <v/>
      </c>
      <c r="HM102" s="84"/>
      <c r="HN102" s="85" t="str">
        <f t="shared" si="731"/>
        <v/>
      </c>
      <c r="HO102" s="85" t="str">
        <f t="shared" si="603"/>
        <v/>
      </c>
      <c r="HP102" s="84"/>
      <c r="HQ102" s="85" t="str">
        <f t="shared" si="732"/>
        <v/>
      </c>
      <c r="HR102" s="85" t="str">
        <f t="shared" si="604"/>
        <v/>
      </c>
      <c r="HS102" s="84"/>
      <c r="HT102" s="85" t="str">
        <f t="shared" si="733"/>
        <v/>
      </c>
      <c r="HU102" s="85" t="str">
        <f t="shared" si="605"/>
        <v/>
      </c>
      <c r="HV102" s="84"/>
      <c r="HW102" s="85" t="str">
        <f t="shared" si="734"/>
        <v/>
      </c>
      <c r="HX102" s="85" t="str">
        <f t="shared" si="606"/>
        <v/>
      </c>
      <c r="HY102" s="84"/>
      <c r="HZ102" s="85" t="str">
        <f t="shared" si="735"/>
        <v/>
      </c>
      <c r="IA102" s="85" t="str">
        <f t="shared" si="607"/>
        <v/>
      </c>
      <c r="IB102" s="84"/>
      <c r="IC102" s="85" t="str">
        <f t="shared" si="736"/>
        <v/>
      </c>
      <c r="ID102" s="85" t="str">
        <f t="shared" si="608"/>
        <v/>
      </c>
      <c r="IE102" s="84"/>
      <c r="IF102" s="85" t="str">
        <f t="shared" si="737"/>
        <v/>
      </c>
      <c r="IG102" s="85" t="str">
        <f t="shared" si="609"/>
        <v/>
      </c>
      <c r="IH102" s="84"/>
      <c r="II102" s="85" t="str">
        <f t="shared" si="738"/>
        <v/>
      </c>
      <c r="IJ102" s="85" t="str">
        <f t="shared" si="610"/>
        <v/>
      </c>
      <c r="IK102" s="84"/>
      <c r="IL102" s="85" t="str">
        <f t="shared" si="739"/>
        <v/>
      </c>
      <c r="IM102" s="85" t="str">
        <f t="shared" si="611"/>
        <v/>
      </c>
      <c r="IN102" s="84"/>
      <c r="IO102" s="85" t="str">
        <f t="shared" si="740"/>
        <v/>
      </c>
      <c r="IP102" s="85" t="str">
        <f t="shared" si="612"/>
        <v/>
      </c>
      <c r="IQ102" s="84"/>
      <c r="IR102" s="85" t="str">
        <f t="shared" si="741"/>
        <v/>
      </c>
      <c r="IS102" s="85" t="str">
        <f t="shared" si="613"/>
        <v/>
      </c>
      <c r="IT102" s="84"/>
      <c r="IU102" s="85" t="str">
        <f t="shared" si="742"/>
        <v/>
      </c>
      <c r="IV102" s="85" t="str">
        <f t="shared" si="614"/>
        <v/>
      </c>
      <c r="IW102" s="84"/>
      <c r="IX102" s="85" t="str">
        <f t="shared" si="743"/>
        <v/>
      </c>
      <c r="IY102" s="85" t="str">
        <f t="shared" si="615"/>
        <v/>
      </c>
      <c r="IZ102" s="84"/>
      <c r="JA102" s="85" t="str">
        <f t="shared" si="744"/>
        <v/>
      </c>
      <c r="JB102" s="85" t="str">
        <f t="shared" si="616"/>
        <v/>
      </c>
      <c r="JC102" s="84"/>
      <c r="JD102" s="85" t="str">
        <f t="shared" si="745"/>
        <v/>
      </c>
      <c r="JE102" s="85" t="str">
        <f t="shared" si="617"/>
        <v/>
      </c>
      <c r="JF102" s="84"/>
      <c r="JG102" s="85" t="str">
        <f t="shared" si="746"/>
        <v/>
      </c>
      <c r="JH102" s="85" t="str">
        <f t="shared" si="618"/>
        <v/>
      </c>
      <c r="JI102" s="84"/>
      <c r="JJ102" s="85" t="str">
        <f t="shared" si="747"/>
        <v/>
      </c>
      <c r="JK102" s="85" t="str">
        <f t="shared" si="619"/>
        <v/>
      </c>
      <c r="JL102" s="84"/>
      <c r="JM102" s="85" t="str">
        <f t="shared" si="748"/>
        <v/>
      </c>
      <c r="JN102" s="85" t="str">
        <f t="shared" si="620"/>
        <v/>
      </c>
      <c r="JO102" s="84"/>
      <c r="JP102" s="85" t="str">
        <f t="shared" si="749"/>
        <v/>
      </c>
      <c r="JQ102" s="85" t="str">
        <f t="shared" si="621"/>
        <v/>
      </c>
      <c r="JR102" s="84"/>
      <c r="JS102" s="85" t="str">
        <f t="shared" si="750"/>
        <v/>
      </c>
      <c r="JT102" s="85" t="str">
        <f t="shared" si="622"/>
        <v/>
      </c>
      <c r="JU102" s="84"/>
      <c r="JV102" s="85" t="str">
        <f t="shared" si="751"/>
        <v/>
      </c>
      <c r="JW102" s="85" t="str">
        <f t="shared" si="623"/>
        <v/>
      </c>
      <c r="JX102" s="84"/>
      <c r="JY102" s="85" t="str">
        <f t="shared" si="752"/>
        <v/>
      </c>
      <c r="JZ102" s="85" t="str">
        <f t="shared" si="624"/>
        <v/>
      </c>
      <c r="KA102" s="84"/>
      <c r="KB102" s="85" t="str">
        <f t="shared" si="753"/>
        <v/>
      </c>
      <c r="KC102" s="85" t="str">
        <f t="shared" si="625"/>
        <v/>
      </c>
      <c r="KD102" s="84"/>
      <c r="KE102" s="85" t="str">
        <f t="shared" si="754"/>
        <v/>
      </c>
      <c r="KF102" s="85" t="str">
        <f t="shared" si="626"/>
        <v/>
      </c>
      <c r="KG102" s="84"/>
      <c r="KH102" s="85" t="str">
        <f t="shared" si="755"/>
        <v/>
      </c>
      <c r="KI102" s="85" t="str">
        <f t="shared" si="627"/>
        <v/>
      </c>
      <c r="KJ102" s="84"/>
      <c r="KK102" s="85" t="str">
        <f t="shared" si="756"/>
        <v/>
      </c>
      <c r="KL102" s="85" t="str">
        <f t="shared" si="628"/>
        <v/>
      </c>
      <c r="KM102" s="84"/>
      <c r="KN102" s="85" t="str">
        <f t="shared" si="757"/>
        <v/>
      </c>
      <c r="KO102" s="85" t="str">
        <f t="shared" si="629"/>
        <v/>
      </c>
      <c r="KP102" s="84"/>
      <c r="KQ102" s="85" t="str">
        <f t="shared" si="758"/>
        <v/>
      </c>
      <c r="KR102" s="85" t="str">
        <f t="shared" si="630"/>
        <v/>
      </c>
      <c r="KS102" s="84"/>
      <c r="KT102" s="85" t="str">
        <f t="shared" si="759"/>
        <v/>
      </c>
      <c r="KU102" s="85" t="str">
        <f t="shared" si="631"/>
        <v/>
      </c>
      <c r="KV102" s="84"/>
      <c r="KW102" s="85" t="str">
        <f t="shared" si="760"/>
        <v/>
      </c>
      <c r="KX102" s="85" t="str">
        <f t="shared" si="632"/>
        <v/>
      </c>
      <c r="KY102" s="90"/>
      <c r="KZ102" s="85" t="str">
        <f t="shared" si="761"/>
        <v/>
      </c>
      <c r="LA102" s="85" t="str">
        <f t="shared" si="633"/>
        <v/>
      </c>
      <c r="LB102" s="50" t="str">
        <f t="shared" si="658"/>
        <v/>
      </c>
      <c r="LC102" s="57" t="str">
        <f t="shared" si="762"/>
        <v/>
      </c>
      <c r="LD102" s="50" t="str">
        <f t="shared" si="635"/>
        <v/>
      </c>
      <c r="LE102" s="57" t="str">
        <f t="shared" si="763"/>
        <v/>
      </c>
      <c r="LF102" s="50" t="str">
        <f t="shared" si="637"/>
        <v/>
      </c>
      <c r="LG102" s="57" t="str">
        <f t="shared" si="764"/>
        <v/>
      </c>
      <c r="LH102" s="58" t="str">
        <f t="shared" si="659"/>
        <v/>
      </c>
      <c r="LI102" s="58" t="str">
        <f t="shared" si="660"/>
        <v/>
      </c>
      <c r="LJ102" s="58" t="str">
        <f t="shared" si="661"/>
        <v/>
      </c>
      <c r="LK102" s="58" t="str">
        <f t="shared" si="765"/>
        <v/>
      </c>
      <c r="LL102" s="60" t="str">
        <f t="shared" si="766"/>
        <v/>
      </c>
      <c r="LM102" s="55"/>
      <c r="LN102" s="61" t="str">
        <f t="shared" si="653"/>
        <v/>
      </c>
      <c r="LO102" s="61" t="str">
        <f t="shared" si="662"/>
        <v/>
      </c>
      <c r="LP102" s="55"/>
      <c r="LQ102" s="55"/>
      <c r="LR102" s="55"/>
      <c r="LS102" s="63"/>
      <c r="LT102" s="63"/>
      <c r="LU102" s="63"/>
      <c r="LV102" s="63"/>
      <c r="LW102" s="63"/>
      <c r="LX102" s="63"/>
      <c r="LY102" s="63"/>
      <c r="LZ102" s="63"/>
      <c r="MA102" s="63"/>
      <c r="MB102" s="63"/>
      <c r="MC102" s="63"/>
      <c r="MD102" s="63"/>
      <c r="ME102" s="63"/>
      <c r="MF102" s="63"/>
      <c r="MG102" s="63"/>
      <c r="MH102" s="63"/>
      <c r="MI102" s="63"/>
      <c r="MJ102" s="63"/>
    </row>
    <row r="103" spans="1:348">
      <c r="A103" s="50">
        <f t="shared" si="642"/>
        <v>0</v>
      </c>
      <c r="B103" s="50">
        <f t="shared" si="643"/>
        <v>0</v>
      </c>
      <c r="C103" s="77"/>
      <c r="D103" s="75"/>
      <c r="E103" s="63"/>
      <c r="F103" s="63"/>
      <c r="G103" s="63"/>
      <c r="H103" s="63"/>
      <c r="I103" s="63"/>
      <c r="J103" s="63"/>
      <c r="K103" s="63"/>
      <c r="L103" s="63"/>
      <c r="M103" s="54" t="s">
        <v>35</v>
      </c>
      <c r="N103" s="84"/>
      <c r="O103" s="85" t="str">
        <f t="shared" si="663"/>
        <v/>
      </c>
      <c r="P103" s="85" t="str">
        <f t="shared" si="534"/>
        <v/>
      </c>
      <c r="Q103" s="84"/>
      <c r="R103" s="85" t="str">
        <f t="shared" si="664"/>
        <v/>
      </c>
      <c r="S103" s="85" t="str">
        <f t="shared" si="535"/>
        <v/>
      </c>
      <c r="T103" s="84"/>
      <c r="U103" s="85" t="str">
        <f t="shared" si="665"/>
        <v/>
      </c>
      <c r="V103" s="85" t="str">
        <f t="shared" si="536"/>
        <v/>
      </c>
      <c r="W103" s="84"/>
      <c r="X103" s="85" t="str">
        <f t="shared" si="666"/>
        <v/>
      </c>
      <c r="Y103" s="85" t="str">
        <f t="shared" si="537"/>
        <v/>
      </c>
      <c r="Z103" s="84"/>
      <c r="AA103" s="85" t="str">
        <f t="shared" si="667"/>
        <v/>
      </c>
      <c r="AB103" s="85" t="str">
        <f t="shared" si="538"/>
        <v/>
      </c>
      <c r="AC103" s="84"/>
      <c r="AD103" s="85" t="str">
        <f t="shared" si="668"/>
        <v/>
      </c>
      <c r="AE103" s="85" t="str">
        <f t="shared" si="539"/>
        <v/>
      </c>
      <c r="AF103" s="84"/>
      <c r="AG103" s="85" t="str">
        <f t="shared" si="669"/>
        <v/>
      </c>
      <c r="AH103" s="85" t="str">
        <f t="shared" si="540"/>
        <v/>
      </c>
      <c r="AI103" s="84"/>
      <c r="AJ103" s="85" t="str">
        <f t="shared" si="670"/>
        <v/>
      </c>
      <c r="AK103" s="85" t="str">
        <f t="shared" si="541"/>
        <v/>
      </c>
      <c r="AL103" s="84"/>
      <c r="AM103" s="85" t="str">
        <f t="shared" si="671"/>
        <v/>
      </c>
      <c r="AN103" s="85" t="str">
        <f t="shared" si="542"/>
        <v/>
      </c>
      <c r="AO103" s="84"/>
      <c r="AP103" s="85" t="str">
        <f t="shared" si="672"/>
        <v/>
      </c>
      <c r="AQ103" s="85" t="str">
        <f t="shared" si="543"/>
        <v/>
      </c>
      <c r="AR103" s="84"/>
      <c r="AS103" s="85" t="str">
        <f t="shared" si="673"/>
        <v/>
      </c>
      <c r="AT103" s="85" t="str">
        <f t="shared" si="544"/>
        <v/>
      </c>
      <c r="AU103" s="84"/>
      <c r="AV103" s="85" t="str">
        <f t="shared" si="674"/>
        <v/>
      </c>
      <c r="AW103" s="85" t="str">
        <f t="shared" si="545"/>
        <v/>
      </c>
      <c r="AX103" s="84"/>
      <c r="AY103" s="85" t="str">
        <f t="shared" si="675"/>
        <v/>
      </c>
      <c r="AZ103" s="85" t="str">
        <f t="shared" si="546"/>
        <v/>
      </c>
      <c r="BA103" s="84"/>
      <c r="BB103" s="85" t="str">
        <f t="shared" si="676"/>
        <v/>
      </c>
      <c r="BC103" s="85" t="str">
        <f t="shared" si="547"/>
        <v/>
      </c>
      <c r="BD103" s="84"/>
      <c r="BE103" s="85" t="str">
        <f t="shared" si="677"/>
        <v/>
      </c>
      <c r="BF103" s="85" t="str">
        <f t="shared" si="548"/>
        <v/>
      </c>
      <c r="BG103" s="84"/>
      <c r="BH103" s="85" t="str">
        <f t="shared" si="678"/>
        <v/>
      </c>
      <c r="BI103" s="85" t="str">
        <f t="shared" si="549"/>
        <v/>
      </c>
      <c r="BJ103" s="84"/>
      <c r="BK103" s="85" t="str">
        <f t="shared" si="679"/>
        <v/>
      </c>
      <c r="BL103" s="85" t="str">
        <f t="shared" si="550"/>
        <v/>
      </c>
      <c r="BM103" s="84"/>
      <c r="BN103" s="85" t="str">
        <f t="shared" si="680"/>
        <v/>
      </c>
      <c r="BO103" s="85" t="str">
        <f t="shared" si="551"/>
        <v/>
      </c>
      <c r="BP103" s="87"/>
      <c r="BQ103" s="85" t="str">
        <f t="shared" si="681"/>
        <v/>
      </c>
      <c r="BR103" s="85" t="str">
        <f t="shared" si="552"/>
        <v/>
      </c>
      <c r="BS103" s="84"/>
      <c r="BT103" s="85" t="str">
        <f t="shared" si="682"/>
        <v/>
      </c>
      <c r="BU103" s="85" t="str">
        <f t="shared" si="553"/>
        <v/>
      </c>
      <c r="BV103" s="84"/>
      <c r="BW103" s="85" t="str">
        <f t="shared" si="683"/>
        <v/>
      </c>
      <c r="BX103" s="85" t="str">
        <f t="shared" si="554"/>
        <v/>
      </c>
      <c r="BY103" s="84"/>
      <c r="BZ103" s="85" t="str">
        <f t="shared" si="684"/>
        <v/>
      </c>
      <c r="CA103" s="85" t="str">
        <f t="shared" si="555"/>
        <v/>
      </c>
      <c r="CB103" s="84"/>
      <c r="CC103" s="85" t="str">
        <f t="shared" si="685"/>
        <v/>
      </c>
      <c r="CD103" s="85" t="str">
        <f t="shared" si="556"/>
        <v/>
      </c>
      <c r="CE103" s="84"/>
      <c r="CF103" s="85" t="str">
        <f t="shared" si="686"/>
        <v/>
      </c>
      <c r="CG103" s="85" t="str">
        <f t="shared" si="557"/>
        <v/>
      </c>
      <c r="CH103" s="84"/>
      <c r="CI103" s="85" t="str">
        <f t="shared" si="687"/>
        <v/>
      </c>
      <c r="CJ103" s="85" t="str">
        <f t="shared" si="558"/>
        <v/>
      </c>
      <c r="CK103" s="84"/>
      <c r="CL103" s="85" t="str">
        <f t="shared" si="688"/>
        <v/>
      </c>
      <c r="CM103" s="85" t="str">
        <f t="shared" si="559"/>
        <v/>
      </c>
      <c r="CN103" s="84"/>
      <c r="CO103" s="85" t="str">
        <f t="shared" si="689"/>
        <v/>
      </c>
      <c r="CP103" s="85" t="str">
        <f t="shared" si="560"/>
        <v/>
      </c>
      <c r="CQ103" s="84"/>
      <c r="CR103" s="85" t="str">
        <f t="shared" si="690"/>
        <v/>
      </c>
      <c r="CS103" s="85" t="str">
        <f t="shared" si="561"/>
        <v/>
      </c>
      <c r="CT103" s="84"/>
      <c r="CU103" s="85" t="str">
        <f t="shared" si="691"/>
        <v/>
      </c>
      <c r="CV103" s="85" t="str">
        <f t="shared" si="562"/>
        <v/>
      </c>
      <c r="CW103" s="84"/>
      <c r="CX103" s="85" t="str">
        <f t="shared" si="692"/>
        <v/>
      </c>
      <c r="CY103" s="85" t="str">
        <f t="shared" si="563"/>
        <v/>
      </c>
      <c r="CZ103" s="84"/>
      <c r="DA103" s="85" t="str">
        <f t="shared" si="693"/>
        <v/>
      </c>
      <c r="DB103" s="85" t="str">
        <f t="shared" si="564"/>
        <v/>
      </c>
      <c r="DC103" s="84"/>
      <c r="DD103" s="85" t="str">
        <f t="shared" si="694"/>
        <v/>
      </c>
      <c r="DE103" s="85" t="str">
        <f t="shared" si="565"/>
        <v/>
      </c>
      <c r="DF103" s="84"/>
      <c r="DG103" s="85"/>
      <c r="DH103" s="85" t="str">
        <f t="shared" si="566"/>
        <v/>
      </c>
      <c r="DI103" s="84"/>
      <c r="DJ103" s="85" t="str">
        <f t="shared" si="695"/>
        <v/>
      </c>
      <c r="DK103" s="85" t="str">
        <f t="shared" si="567"/>
        <v/>
      </c>
      <c r="DL103" s="84"/>
      <c r="DM103" s="85" t="str">
        <f t="shared" si="696"/>
        <v/>
      </c>
      <c r="DN103" s="85" t="str">
        <f t="shared" si="568"/>
        <v/>
      </c>
      <c r="DO103" s="84"/>
      <c r="DP103" s="85" t="str">
        <f t="shared" si="697"/>
        <v/>
      </c>
      <c r="DQ103" s="85" t="str">
        <f t="shared" si="569"/>
        <v/>
      </c>
      <c r="DR103" s="84"/>
      <c r="DS103" s="85" t="str">
        <f t="shared" si="698"/>
        <v/>
      </c>
      <c r="DT103" s="85" t="str">
        <f t="shared" si="570"/>
        <v/>
      </c>
      <c r="DU103" s="84"/>
      <c r="DV103" s="85" t="str">
        <f t="shared" si="699"/>
        <v/>
      </c>
      <c r="DW103" s="85" t="str">
        <f t="shared" si="571"/>
        <v/>
      </c>
      <c r="DX103" s="84"/>
      <c r="DY103" s="85" t="str">
        <f t="shared" si="700"/>
        <v/>
      </c>
      <c r="DZ103" s="85" t="str">
        <f t="shared" si="572"/>
        <v/>
      </c>
      <c r="EA103" s="84"/>
      <c r="EB103" s="85" t="str">
        <f t="shared" si="701"/>
        <v/>
      </c>
      <c r="EC103" s="85" t="str">
        <f t="shared" si="573"/>
        <v/>
      </c>
      <c r="ED103" s="84"/>
      <c r="EE103" s="85" t="str">
        <f t="shared" si="702"/>
        <v/>
      </c>
      <c r="EF103" s="85" t="str">
        <f t="shared" si="574"/>
        <v/>
      </c>
      <c r="EG103" s="84"/>
      <c r="EH103" s="85" t="str">
        <f t="shared" si="703"/>
        <v/>
      </c>
      <c r="EI103" s="85" t="str">
        <f t="shared" si="575"/>
        <v/>
      </c>
      <c r="EJ103" s="84"/>
      <c r="EK103" s="85" t="str">
        <f t="shared" si="704"/>
        <v/>
      </c>
      <c r="EL103" s="85" t="str">
        <f t="shared" si="576"/>
        <v/>
      </c>
      <c r="EM103" s="84"/>
      <c r="EN103" s="85" t="str">
        <f t="shared" si="705"/>
        <v/>
      </c>
      <c r="EO103" s="85" t="str">
        <f t="shared" si="577"/>
        <v/>
      </c>
      <c r="EP103" s="84"/>
      <c r="EQ103" s="85" t="str">
        <f t="shared" si="706"/>
        <v/>
      </c>
      <c r="ER103" s="85" t="str">
        <f t="shared" si="578"/>
        <v/>
      </c>
      <c r="ES103" s="87"/>
      <c r="ET103" s="85" t="str">
        <f t="shared" si="707"/>
        <v/>
      </c>
      <c r="EU103" s="85" t="str">
        <f t="shared" si="579"/>
        <v/>
      </c>
      <c r="EV103" s="84"/>
      <c r="EW103" s="85" t="str">
        <f t="shared" si="708"/>
        <v/>
      </c>
      <c r="EX103" s="85" t="str">
        <f t="shared" si="580"/>
        <v/>
      </c>
      <c r="EY103" s="84"/>
      <c r="EZ103" s="85" t="str">
        <f t="shared" si="709"/>
        <v/>
      </c>
      <c r="FA103" s="85" t="str">
        <f t="shared" si="581"/>
        <v/>
      </c>
      <c r="FB103" s="84"/>
      <c r="FC103" s="85" t="str">
        <f t="shared" si="710"/>
        <v/>
      </c>
      <c r="FD103" s="85" t="str">
        <f t="shared" si="582"/>
        <v/>
      </c>
      <c r="FE103" s="84"/>
      <c r="FF103" s="85" t="str">
        <f t="shared" si="711"/>
        <v/>
      </c>
      <c r="FG103" s="85" t="str">
        <f t="shared" si="583"/>
        <v/>
      </c>
      <c r="FH103" s="84"/>
      <c r="FI103" s="85" t="str">
        <f t="shared" si="712"/>
        <v/>
      </c>
      <c r="FJ103" s="85" t="str">
        <f t="shared" si="584"/>
        <v/>
      </c>
      <c r="FK103" s="84"/>
      <c r="FL103" s="85" t="str">
        <f t="shared" si="713"/>
        <v/>
      </c>
      <c r="FM103" s="85" t="str">
        <f t="shared" si="585"/>
        <v/>
      </c>
      <c r="FN103" s="84"/>
      <c r="FO103" s="85" t="str">
        <f t="shared" si="714"/>
        <v/>
      </c>
      <c r="FP103" s="85" t="str">
        <f t="shared" si="586"/>
        <v/>
      </c>
      <c r="FQ103" s="84"/>
      <c r="FR103" s="85" t="str">
        <f t="shared" si="715"/>
        <v/>
      </c>
      <c r="FS103" s="85" t="str">
        <f t="shared" si="587"/>
        <v/>
      </c>
      <c r="FT103" s="84"/>
      <c r="FU103" s="85" t="str">
        <f t="shared" si="716"/>
        <v/>
      </c>
      <c r="FV103" s="85" t="str">
        <f t="shared" si="588"/>
        <v/>
      </c>
      <c r="FW103" s="90"/>
      <c r="FX103" s="85" t="str">
        <f t="shared" si="717"/>
        <v/>
      </c>
      <c r="FY103" s="85" t="str">
        <f t="shared" si="589"/>
        <v/>
      </c>
      <c r="FZ103" s="84"/>
      <c r="GA103" s="85" t="str">
        <f t="shared" si="718"/>
        <v/>
      </c>
      <c r="GB103" s="85" t="str">
        <f t="shared" si="590"/>
        <v/>
      </c>
      <c r="GC103" s="84"/>
      <c r="GD103" s="85" t="str">
        <f t="shared" si="719"/>
        <v/>
      </c>
      <c r="GE103" s="85" t="str">
        <f t="shared" si="591"/>
        <v/>
      </c>
      <c r="GF103" s="84"/>
      <c r="GG103" s="85" t="str">
        <f t="shared" si="720"/>
        <v/>
      </c>
      <c r="GH103" s="85" t="str">
        <f t="shared" si="592"/>
        <v/>
      </c>
      <c r="GI103" s="84"/>
      <c r="GJ103" s="85" t="str">
        <f t="shared" si="721"/>
        <v/>
      </c>
      <c r="GK103" s="85" t="str">
        <f t="shared" si="593"/>
        <v/>
      </c>
      <c r="GL103" s="84"/>
      <c r="GM103" s="85" t="str">
        <f t="shared" si="722"/>
        <v/>
      </c>
      <c r="GN103" s="85" t="str">
        <f t="shared" si="594"/>
        <v/>
      </c>
      <c r="GO103" s="84"/>
      <c r="GP103" s="85" t="str">
        <f t="shared" si="723"/>
        <v/>
      </c>
      <c r="GQ103" s="85" t="str">
        <f t="shared" si="595"/>
        <v/>
      </c>
      <c r="GR103" s="84"/>
      <c r="GS103" s="85" t="str">
        <f t="shared" si="724"/>
        <v/>
      </c>
      <c r="GT103" s="85" t="str">
        <f t="shared" si="596"/>
        <v/>
      </c>
      <c r="GU103" s="84"/>
      <c r="GV103" s="85" t="str">
        <f t="shared" si="725"/>
        <v/>
      </c>
      <c r="GW103" s="85" t="str">
        <f t="shared" si="597"/>
        <v/>
      </c>
      <c r="GX103" s="84"/>
      <c r="GY103" s="85" t="str">
        <f t="shared" si="726"/>
        <v/>
      </c>
      <c r="GZ103" s="85" t="str">
        <f t="shared" si="598"/>
        <v/>
      </c>
      <c r="HA103" s="84"/>
      <c r="HB103" s="85" t="str">
        <f t="shared" si="727"/>
        <v/>
      </c>
      <c r="HC103" s="85" t="str">
        <f t="shared" si="599"/>
        <v/>
      </c>
      <c r="HD103" s="84"/>
      <c r="HE103" s="85" t="str">
        <f t="shared" si="728"/>
        <v/>
      </c>
      <c r="HF103" s="85" t="str">
        <f t="shared" si="600"/>
        <v/>
      </c>
      <c r="HG103" s="84"/>
      <c r="HH103" s="85" t="str">
        <f t="shared" si="729"/>
        <v/>
      </c>
      <c r="HI103" s="85" t="str">
        <f t="shared" si="601"/>
        <v/>
      </c>
      <c r="HJ103" s="84"/>
      <c r="HK103" s="85" t="str">
        <f t="shared" si="730"/>
        <v/>
      </c>
      <c r="HL103" s="85" t="str">
        <f t="shared" si="602"/>
        <v/>
      </c>
      <c r="HM103" s="84"/>
      <c r="HN103" s="85" t="str">
        <f t="shared" si="731"/>
        <v/>
      </c>
      <c r="HO103" s="85" t="str">
        <f t="shared" si="603"/>
        <v/>
      </c>
      <c r="HP103" s="84"/>
      <c r="HQ103" s="85" t="str">
        <f t="shared" si="732"/>
        <v/>
      </c>
      <c r="HR103" s="85" t="str">
        <f t="shared" si="604"/>
        <v/>
      </c>
      <c r="HS103" s="84"/>
      <c r="HT103" s="85" t="str">
        <f t="shared" si="733"/>
        <v/>
      </c>
      <c r="HU103" s="85" t="str">
        <f t="shared" si="605"/>
        <v/>
      </c>
      <c r="HV103" s="84"/>
      <c r="HW103" s="85" t="str">
        <f t="shared" si="734"/>
        <v/>
      </c>
      <c r="HX103" s="85" t="str">
        <f t="shared" si="606"/>
        <v/>
      </c>
      <c r="HY103" s="84"/>
      <c r="HZ103" s="85" t="str">
        <f t="shared" si="735"/>
        <v/>
      </c>
      <c r="IA103" s="85" t="str">
        <f t="shared" si="607"/>
        <v/>
      </c>
      <c r="IB103" s="84"/>
      <c r="IC103" s="85" t="str">
        <f t="shared" si="736"/>
        <v/>
      </c>
      <c r="ID103" s="85" t="str">
        <f t="shared" si="608"/>
        <v/>
      </c>
      <c r="IE103" s="84"/>
      <c r="IF103" s="85" t="str">
        <f t="shared" si="737"/>
        <v/>
      </c>
      <c r="IG103" s="85" t="str">
        <f t="shared" si="609"/>
        <v/>
      </c>
      <c r="IH103" s="84"/>
      <c r="II103" s="85" t="str">
        <f t="shared" si="738"/>
        <v/>
      </c>
      <c r="IJ103" s="85" t="str">
        <f t="shared" si="610"/>
        <v/>
      </c>
      <c r="IK103" s="84"/>
      <c r="IL103" s="85" t="str">
        <f t="shared" si="739"/>
        <v/>
      </c>
      <c r="IM103" s="85" t="str">
        <f t="shared" si="611"/>
        <v/>
      </c>
      <c r="IN103" s="84"/>
      <c r="IO103" s="85" t="str">
        <f t="shared" si="740"/>
        <v/>
      </c>
      <c r="IP103" s="85" t="str">
        <f t="shared" si="612"/>
        <v/>
      </c>
      <c r="IQ103" s="84"/>
      <c r="IR103" s="85" t="str">
        <f t="shared" si="741"/>
        <v/>
      </c>
      <c r="IS103" s="85" t="str">
        <f t="shared" si="613"/>
        <v/>
      </c>
      <c r="IT103" s="84"/>
      <c r="IU103" s="85" t="str">
        <f t="shared" si="742"/>
        <v/>
      </c>
      <c r="IV103" s="85" t="str">
        <f t="shared" si="614"/>
        <v/>
      </c>
      <c r="IW103" s="84"/>
      <c r="IX103" s="85" t="str">
        <f t="shared" si="743"/>
        <v/>
      </c>
      <c r="IY103" s="85" t="str">
        <f t="shared" si="615"/>
        <v/>
      </c>
      <c r="IZ103" s="84"/>
      <c r="JA103" s="85" t="str">
        <f t="shared" si="744"/>
        <v/>
      </c>
      <c r="JB103" s="85" t="str">
        <f t="shared" si="616"/>
        <v/>
      </c>
      <c r="JC103" s="84"/>
      <c r="JD103" s="85" t="str">
        <f t="shared" si="745"/>
        <v/>
      </c>
      <c r="JE103" s="85" t="str">
        <f t="shared" si="617"/>
        <v/>
      </c>
      <c r="JF103" s="84"/>
      <c r="JG103" s="85" t="str">
        <f t="shared" si="746"/>
        <v/>
      </c>
      <c r="JH103" s="85" t="str">
        <f t="shared" si="618"/>
        <v/>
      </c>
      <c r="JI103" s="84"/>
      <c r="JJ103" s="85" t="str">
        <f t="shared" si="747"/>
        <v/>
      </c>
      <c r="JK103" s="85" t="str">
        <f t="shared" si="619"/>
        <v/>
      </c>
      <c r="JL103" s="84"/>
      <c r="JM103" s="85" t="str">
        <f t="shared" si="748"/>
        <v/>
      </c>
      <c r="JN103" s="85" t="str">
        <f t="shared" si="620"/>
        <v/>
      </c>
      <c r="JO103" s="84"/>
      <c r="JP103" s="85" t="str">
        <f t="shared" si="749"/>
        <v/>
      </c>
      <c r="JQ103" s="85" t="str">
        <f t="shared" si="621"/>
        <v/>
      </c>
      <c r="JR103" s="84"/>
      <c r="JS103" s="85" t="str">
        <f t="shared" si="750"/>
        <v/>
      </c>
      <c r="JT103" s="85" t="str">
        <f t="shared" si="622"/>
        <v/>
      </c>
      <c r="JU103" s="84"/>
      <c r="JV103" s="85" t="str">
        <f t="shared" si="751"/>
        <v/>
      </c>
      <c r="JW103" s="85" t="str">
        <f t="shared" si="623"/>
        <v/>
      </c>
      <c r="JX103" s="84"/>
      <c r="JY103" s="85" t="str">
        <f t="shared" si="752"/>
        <v/>
      </c>
      <c r="JZ103" s="85" t="str">
        <f t="shared" si="624"/>
        <v/>
      </c>
      <c r="KA103" s="84"/>
      <c r="KB103" s="85" t="str">
        <f t="shared" si="753"/>
        <v/>
      </c>
      <c r="KC103" s="85" t="str">
        <f t="shared" si="625"/>
        <v/>
      </c>
      <c r="KD103" s="84"/>
      <c r="KE103" s="85" t="str">
        <f t="shared" si="754"/>
        <v/>
      </c>
      <c r="KF103" s="85" t="str">
        <f t="shared" si="626"/>
        <v/>
      </c>
      <c r="KG103" s="84"/>
      <c r="KH103" s="85" t="str">
        <f t="shared" si="755"/>
        <v/>
      </c>
      <c r="KI103" s="85" t="str">
        <f t="shared" si="627"/>
        <v/>
      </c>
      <c r="KJ103" s="84"/>
      <c r="KK103" s="85" t="str">
        <f t="shared" si="756"/>
        <v/>
      </c>
      <c r="KL103" s="85" t="str">
        <f t="shared" si="628"/>
        <v/>
      </c>
      <c r="KM103" s="84"/>
      <c r="KN103" s="85" t="str">
        <f t="shared" si="757"/>
        <v/>
      </c>
      <c r="KO103" s="85" t="str">
        <f t="shared" si="629"/>
        <v/>
      </c>
      <c r="KP103" s="84"/>
      <c r="KQ103" s="85" t="str">
        <f t="shared" si="758"/>
        <v/>
      </c>
      <c r="KR103" s="85" t="str">
        <f t="shared" si="630"/>
        <v/>
      </c>
      <c r="KS103" s="84"/>
      <c r="KT103" s="85" t="str">
        <f t="shared" si="759"/>
        <v/>
      </c>
      <c r="KU103" s="85" t="str">
        <f t="shared" si="631"/>
        <v/>
      </c>
      <c r="KV103" s="84"/>
      <c r="KW103" s="85" t="str">
        <f t="shared" si="760"/>
        <v/>
      </c>
      <c r="KX103" s="85" t="str">
        <f t="shared" si="632"/>
        <v/>
      </c>
      <c r="KY103" s="90"/>
      <c r="KZ103" s="85" t="str">
        <f t="shared" si="761"/>
        <v/>
      </c>
      <c r="LA103" s="85" t="str">
        <f t="shared" si="633"/>
        <v/>
      </c>
      <c r="LB103" s="50" t="str">
        <f t="shared" si="658"/>
        <v/>
      </c>
      <c r="LC103" s="57" t="str">
        <f t="shared" si="762"/>
        <v/>
      </c>
      <c r="LD103" s="50" t="str">
        <f t="shared" si="635"/>
        <v/>
      </c>
      <c r="LE103" s="57" t="str">
        <f t="shared" si="763"/>
        <v/>
      </c>
      <c r="LF103" s="50" t="str">
        <f t="shared" si="637"/>
        <v/>
      </c>
      <c r="LG103" s="57" t="str">
        <f t="shared" si="764"/>
        <v/>
      </c>
      <c r="LH103" s="58" t="str">
        <f t="shared" si="659"/>
        <v/>
      </c>
      <c r="LI103" s="58" t="str">
        <f t="shared" si="660"/>
        <v/>
      </c>
      <c r="LJ103" s="58" t="str">
        <f t="shared" si="661"/>
        <v/>
      </c>
      <c r="LK103" s="58" t="str">
        <f t="shared" si="765"/>
        <v/>
      </c>
      <c r="LL103" s="60" t="str">
        <f t="shared" si="766"/>
        <v/>
      </c>
      <c r="LM103" s="55"/>
      <c r="LN103" s="61" t="str">
        <f t="shared" si="653"/>
        <v/>
      </c>
      <c r="LO103" s="61" t="str">
        <f t="shared" si="662"/>
        <v/>
      </c>
      <c r="LP103" s="55"/>
      <c r="LQ103" s="55"/>
      <c r="LR103" s="55"/>
      <c r="LS103" s="63"/>
      <c r="LT103" s="63"/>
      <c r="LU103" s="63"/>
      <c r="LV103" s="63"/>
      <c r="LW103" s="63"/>
      <c r="LX103" s="63"/>
      <c r="LY103" s="63"/>
      <c r="LZ103" s="63"/>
      <c r="MA103" s="63"/>
      <c r="MB103" s="63"/>
      <c r="MC103" s="63"/>
      <c r="MD103" s="63"/>
      <c r="ME103" s="63"/>
      <c r="MF103" s="63"/>
      <c r="MG103" s="63"/>
      <c r="MH103" s="63"/>
      <c r="MI103" s="63"/>
      <c r="MJ103" s="63"/>
    </row>
    <row r="104" spans="1:348">
      <c r="A104" s="23"/>
      <c r="B104" s="23"/>
      <c r="C104" s="24"/>
      <c r="D104" s="34"/>
      <c r="E104" s="12"/>
      <c r="F104" s="12"/>
      <c r="G104" s="12"/>
      <c r="H104" s="12"/>
      <c r="I104" s="12"/>
      <c r="J104" s="12"/>
      <c r="K104" s="11"/>
      <c r="L104" s="12"/>
      <c r="M104" s="34"/>
      <c r="N104" s="98"/>
      <c r="O104" s="99"/>
      <c r="P104" s="99"/>
      <c r="Q104" s="100"/>
      <c r="R104" s="101"/>
      <c r="S104" s="101"/>
      <c r="T104" s="98"/>
      <c r="U104" s="99"/>
      <c r="V104" s="99"/>
      <c r="W104" s="98"/>
      <c r="X104" s="99"/>
      <c r="Y104" s="99"/>
      <c r="Z104" s="98"/>
      <c r="AA104" s="99"/>
      <c r="AB104" s="99"/>
      <c r="AC104" s="98"/>
      <c r="AD104" s="99"/>
      <c r="AE104" s="99"/>
      <c r="AF104" s="98"/>
      <c r="AG104" s="99"/>
      <c r="AH104" s="99"/>
      <c r="AI104" s="98"/>
      <c r="AJ104" s="99"/>
      <c r="AK104" s="99"/>
      <c r="AL104" s="98"/>
      <c r="AM104" s="99"/>
      <c r="AN104" s="99"/>
      <c r="AO104" s="98"/>
      <c r="AP104" s="99"/>
      <c r="AQ104" s="99"/>
      <c r="AR104" s="98"/>
      <c r="AS104" s="99"/>
      <c r="AT104" s="99"/>
      <c r="AU104" s="98"/>
      <c r="AV104" s="99"/>
      <c r="AW104" s="99"/>
      <c r="AX104" s="98"/>
      <c r="AY104" s="99"/>
      <c r="AZ104" s="99"/>
      <c r="BA104" s="100"/>
      <c r="BB104" s="99"/>
      <c r="BC104" s="99"/>
      <c r="BD104" s="98"/>
      <c r="BE104" s="99"/>
      <c r="BF104" s="99"/>
      <c r="BG104" s="98"/>
      <c r="BH104" s="99"/>
      <c r="BI104" s="99"/>
      <c r="BJ104" s="98"/>
      <c r="BK104" s="99"/>
      <c r="BL104" s="99"/>
      <c r="BM104" s="98"/>
      <c r="BN104" s="99"/>
      <c r="BO104" s="99"/>
      <c r="BP104" s="98"/>
      <c r="BQ104" s="99"/>
      <c r="BR104" s="99"/>
      <c r="BS104" s="98"/>
      <c r="BT104" s="99"/>
      <c r="BU104" s="99"/>
      <c r="BV104" s="98"/>
      <c r="BW104" s="99"/>
      <c r="BX104" s="99"/>
      <c r="BY104" s="98"/>
      <c r="BZ104" s="99"/>
      <c r="CA104" s="99"/>
      <c r="CB104" s="98"/>
      <c r="CC104" s="99"/>
      <c r="CD104" s="99"/>
      <c r="CE104" s="98"/>
      <c r="CF104" s="99"/>
      <c r="CG104" s="99"/>
      <c r="CH104" s="98"/>
      <c r="CI104" s="99"/>
      <c r="CJ104" s="99"/>
      <c r="CK104" s="98"/>
      <c r="CL104" s="99"/>
      <c r="CM104" s="99"/>
      <c r="CN104" s="98"/>
      <c r="CO104" s="99"/>
      <c r="CP104" s="99"/>
      <c r="CQ104" s="98"/>
      <c r="CR104" s="99"/>
      <c r="CS104" s="99"/>
      <c r="CT104" s="98"/>
      <c r="CU104" s="99"/>
      <c r="CV104" s="99"/>
      <c r="CW104" s="98"/>
      <c r="CX104" s="99"/>
      <c r="CY104" s="99"/>
      <c r="CZ104" s="98"/>
      <c r="DA104" s="99"/>
      <c r="DB104" s="99"/>
      <c r="DC104" s="98"/>
      <c r="DD104" s="99"/>
      <c r="DE104" s="99"/>
      <c r="DF104" s="98"/>
      <c r="DG104" s="99"/>
      <c r="DH104" s="99"/>
      <c r="DI104" s="98"/>
      <c r="DJ104" s="99"/>
      <c r="DK104" s="99"/>
      <c r="DL104" s="98"/>
      <c r="DM104" s="99"/>
      <c r="DN104" s="99"/>
      <c r="DO104" s="98"/>
      <c r="DP104" s="99"/>
      <c r="DQ104" s="99"/>
      <c r="DR104" s="98"/>
      <c r="DS104" s="99"/>
      <c r="DT104" s="99"/>
      <c r="DU104" s="98"/>
      <c r="DV104" s="99"/>
      <c r="DW104" s="99"/>
      <c r="DX104" s="98"/>
      <c r="DY104" s="99"/>
      <c r="DZ104" s="99"/>
      <c r="EA104" s="98"/>
      <c r="EB104" s="99"/>
      <c r="EC104" s="99"/>
      <c r="ED104" s="98"/>
      <c r="EE104" s="99"/>
      <c r="EF104" s="99"/>
      <c r="EG104" s="98"/>
      <c r="EH104" s="99"/>
      <c r="EI104" s="99"/>
      <c r="EJ104" s="98"/>
      <c r="EK104" s="99"/>
      <c r="EL104" s="99"/>
      <c r="EM104" s="98"/>
      <c r="EN104" s="99"/>
      <c r="EO104" s="99"/>
      <c r="EP104" s="98"/>
      <c r="EQ104" s="99"/>
      <c r="ER104" s="99"/>
      <c r="ES104" s="98"/>
      <c r="ET104" s="99"/>
      <c r="EU104" s="99"/>
      <c r="EV104" s="98"/>
      <c r="EW104" s="99"/>
      <c r="EX104" s="99"/>
      <c r="EY104" s="98"/>
      <c r="EZ104" s="99"/>
      <c r="FA104" s="99"/>
      <c r="FB104" s="98"/>
      <c r="FC104" s="99"/>
      <c r="FD104" s="99"/>
      <c r="FE104" s="98"/>
      <c r="FF104" s="99"/>
      <c r="FG104" s="99"/>
      <c r="FH104" s="98"/>
      <c r="FI104" s="99"/>
      <c r="FJ104" s="99"/>
      <c r="FK104" s="98"/>
      <c r="FL104" s="99"/>
      <c r="FM104" s="99"/>
      <c r="FN104" s="98"/>
      <c r="FO104" s="99"/>
      <c r="FP104" s="99"/>
      <c r="FQ104" s="98"/>
      <c r="FR104" s="99"/>
      <c r="FS104" s="99"/>
      <c r="FT104" s="98"/>
      <c r="FU104" s="99"/>
      <c r="FV104" s="99"/>
      <c r="FW104" s="99"/>
      <c r="FX104" s="99"/>
      <c r="FY104" s="99"/>
      <c r="FZ104" s="98"/>
      <c r="GA104" s="99"/>
      <c r="GB104" s="99"/>
      <c r="GC104" s="98"/>
      <c r="GD104" s="99"/>
      <c r="GE104" s="99"/>
      <c r="GF104" s="98"/>
      <c r="GG104" s="99"/>
      <c r="GH104" s="99"/>
      <c r="GI104" s="98"/>
      <c r="GJ104" s="99"/>
      <c r="GK104" s="99"/>
      <c r="GL104" s="98"/>
      <c r="GM104" s="99"/>
      <c r="GN104" s="99"/>
      <c r="GO104" s="98"/>
      <c r="GP104" s="99"/>
      <c r="GQ104" s="99"/>
      <c r="GR104" s="98"/>
      <c r="GS104" s="99"/>
      <c r="GT104" s="99"/>
      <c r="GU104" s="98"/>
      <c r="GV104" s="99"/>
      <c r="GW104" s="99"/>
      <c r="GX104" s="98"/>
      <c r="GY104" s="99"/>
      <c r="GZ104" s="99"/>
      <c r="HA104" s="98"/>
      <c r="HB104" s="99"/>
      <c r="HC104" s="99"/>
      <c r="HD104" s="98"/>
      <c r="HE104" s="99"/>
      <c r="HF104" s="99"/>
      <c r="HG104" s="98"/>
      <c r="HH104" s="99"/>
      <c r="HI104" s="99"/>
      <c r="HJ104" s="98"/>
      <c r="HK104" s="99"/>
      <c r="HL104" s="99"/>
      <c r="HM104" s="98"/>
      <c r="HN104" s="99"/>
      <c r="HO104" s="99"/>
      <c r="HP104" s="98"/>
      <c r="HQ104" s="99"/>
      <c r="HR104" s="99"/>
      <c r="HS104" s="98"/>
      <c r="HT104" s="99"/>
      <c r="HU104" s="99"/>
      <c r="HV104" s="98"/>
      <c r="HW104" s="99"/>
      <c r="HX104" s="99"/>
      <c r="HY104" s="98"/>
      <c r="HZ104" s="99"/>
      <c r="IA104" s="99"/>
      <c r="IB104" s="98"/>
      <c r="IC104" s="99"/>
      <c r="ID104" s="99"/>
      <c r="IE104" s="98"/>
      <c r="IF104" s="99"/>
      <c r="IG104" s="99"/>
      <c r="IH104" s="98"/>
      <c r="II104" s="99"/>
      <c r="IJ104" s="99"/>
      <c r="IK104" s="98"/>
      <c r="IL104" s="99"/>
      <c r="IM104" s="99"/>
      <c r="IN104" s="98"/>
      <c r="IO104" s="99"/>
      <c r="IP104" s="99"/>
      <c r="IQ104" s="98"/>
      <c r="IR104" s="99"/>
      <c r="IS104" s="99"/>
      <c r="IT104" s="98"/>
      <c r="IU104" s="99"/>
      <c r="IV104" s="99"/>
      <c r="IW104" s="98"/>
      <c r="IX104" s="99"/>
      <c r="IY104" s="99"/>
      <c r="IZ104" s="98"/>
      <c r="JA104" s="99"/>
      <c r="JB104" s="99"/>
      <c r="JC104" s="98"/>
      <c r="JD104" s="99"/>
      <c r="JE104" s="99"/>
      <c r="JF104" s="98"/>
      <c r="JG104" s="99"/>
      <c r="JH104" s="99"/>
      <c r="JI104" s="98"/>
      <c r="JJ104" s="99"/>
      <c r="JK104" s="99"/>
      <c r="JL104" s="98"/>
      <c r="JM104" s="99"/>
      <c r="JN104" s="99"/>
      <c r="JO104" s="98"/>
      <c r="JP104" s="99"/>
      <c r="JQ104" s="99"/>
      <c r="JR104" s="98"/>
      <c r="JS104" s="99"/>
      <c r="JT104" s="99"/>
      <c r="JU104" s="98"/>
      <c r="JV104" s="99"/>
      <c r="JW104" s="99"/>
      <c r="JX104" s="98"/>
      <c r="JY104" s="99"/>
      <c r="JZ104" s="99"/>
      <c r="KA104" s="98"/>
      <c r="KB104" s="99"/>
      <c r="KC104" s="99"/>
      <c r="KD104" s="98"/>
      <c r="KE104" s="99"/>
      <c r="KF104" s="99"/>
      <c r="KG104" s="98"/>
      <c r="KH104" s="99"/>
      <c r="KI104" s="99"/>
      <c r="KJ104" s="98"/>
      <c r="KK104" s="99"/>
      <c r="KL104" s="99"/>
      <c r="KM104" s="98"/>
      <c r="KN104" s="99"/>
      <c r="KO104" s="99"/>
      <c r="KP104" s="98"/>
      <c r="KQ104" s="99"/>
      <c r="KR104" s="99"/>
      <c r="KS104" s="98"/>
      <c r="KT104" s="99"/>
      <c r="KU104" s="99"/>
      <c r="KV104" s="98"/>
      <c r="KW104" s="99"/>
      <c r="KX104" s="99"/>
      <c r="KY104" s="99"/>
      <c r="KZ104" s="99"/>
      <c r="LA104" s="99"/>
      <c r="LB104" s="12"/>
      <c r="LC104" s="12"/>
      <c r="LD104" s="12"/>
      <c r="LE104" s="12"/>
      <c r="LF104" s="12"/>
      <c r="LG104" s="12"/>
      <c r="LH104" s="12"/>
      <c r="LI104" s="12"/>
      <c r="LJ104" s="12"/>
      <c r="LK104" s="12"/>
      <c r="LL104" s="40"/>
      <c r="LM104" s="12"/>
      <c r="LN104" s="12"/>
      <c r="LO104" s="12"/>
      <c r="LP104" s="12"/>
      <c r="LQ104" s="12"/>
      <c r="LR104" s="12"/>
      <c r="LS104" s="12"/>
      <c r="LT104" s="12"/>
      <c r="LU104" s="12"/>
      <c r="LV104" s="12"/>
      <c r="LW104" s="63"/>
      <c r="LX104" s="63"/>
      <c r="LY104" s="63"/>
      <c r="LZ104" s="63"/>
      <c r="MA104" s="63"/>
      <c r="MB104" s="63"/>
      <c r="MC104" s="63"/>
      <c r="MD104" s="63"/>
      <c r="ME104" s="63"/>
      <c r="MF104" s="63"/>
      <c r="MG104" s="63"/>
      <c r="MH104" s="63"/>
      <c r="MI104" s="63"/>
      <c r="MJ104" s="63"/>
    </row>
    <row r="105" spans="1:348" ht="29.4">
      <c r="C105" s="28" t="s">
        <v>18</v>
      </c>
      <c r="D105" s="35"/>
      <c r="H105"/>
      <c r="J105"/>
      <c r="K105" s="4"/>
      <c r="M105" s="35"/>
      <c r="N105" s="102">
        <f>IFERROR(AVERAGE(N5:N103),"N/A")</f>
        <v>78.599999999999994</v>
      </c>
      <c r="O105" s="102"/>
      <c r="P105" s="102"/>
      <c r="Q105" s="102">
        <f>IFERROR(AVERAGE(Q5:Q103),"N/A")</f>
        <v>79.8</v>
      </c>
      <c r="R105" s="102"/>
      <c r="S105" s="102"/>
      <c r="T105" s="102">
        <f>IFERROR(AVERAGE(T5:T103),"N/A")</f>
        <v>92.4</v>
      </c>
      <c r="U105" s="102"/>
      <c r="V105" s="102"/>
      <c r="W105" s="102">
        <f>IFERROR(AVERAGE(W5:W103),"N/A")</f>
        <v>82</v>
      </c>
      <c r="X105" s="102"/>
      <c r="Y105" s="102"/>
      <c r="Z105" s="102">
        <f>IFERROR(AVERAGE(Z5:Z103),"N/A")</f>
        <v>81.599999999999994</v>
      </c>
      <c r="AA105" s="102"/>
      <c r="AB105" s="102"/>
      <c r="AC105" s="102">
        <f>IFERROR(AVERAGE(AC5:AC103),"N/A")</f>
        <v>87.5</v>
      </c>
      <c r="AD105" s="102"/>
      <c r="AE105" s="102"/>
      <c r="AF105" s="102">
        <f>IFERROR(AVERAGE(AF5:AF103),"N/A")</f>
        <v>80.2</v>
      </c>
      <c r="AG105" s="102"/>
      <c r="AH105" s="102"/>
      <c r="AI105" s="102">
        <f>IFERROR(AVERAGE(AI5:AI103),"N/A")</f>
        <v>94.25</v>
      </c>
      <c r="AJ105" s="102"/>
      <c r="AK105" s="102"/>
      <c r="AL105" s="102" t="str">
        <f>IFERROR(AVERAGE(AL5:AL103),"N/A")</f>
        <v>N/A</v>
      </c>
      <c r="AM105" s="102"/>
      <c r="AN105" s="102"/>
      <c r="AO105" s="102">
        <f>IFERROR(AVERAGE(AO5:AO103),"N/A")</f>
        <v>83.6</v>
      </c>
      <c r="AP105" s="102"/>
      <c r="AQ105" s="102"/>
      <c r="AR105" s="102">
        <f>IFERROR(AVERAGE(AR5:AR103),"N/A")</f>
        <v>83.8</v>
      </c>
      <c r="AS105" s="102"/>
      <c r="AT105" s="102"/>
      <c r="AU105" s="102" t="str">
        <f>IFERROR(AVERAGE(AU5:AU103),"N/A")</f>
        <v>N/A</v>
      </c>
      <c r="AV105" s="102"/>
      <c r="AW105" s="102"/>
      <c r="AX105" s="102">
        <f>IFERROR(AVERAGE(AX5:AX103),"N/A")</f>
        <v>93</v>
      </c>
      <c r="AY105" s="102"/>
      <c r="AZ105" s="102"/>
      <c r="BA105" s="102">
        <f>IFERROR(AVERAGE(BA5:BA103),"N/A")</f>
        <v>92.75</v>
      </c>
      <c r="BB105" s="102"/>
      <c r="BC105" s="102"/>
      <c r="BD105" s="102">
        <f>IFERROR(AVERAGE(BD5:BD103),"N/A")</f>
        <v>72.333333333333329</v>
      </c>
      <c r="BE105" s="102"/>
      <c r="BF105" s="102"/>
      <c r="BG105" s="102">
        <f>IFERROR(AVERAGE(BG5:BG103),"N/A")</f>
        <v>91.25</v>
      </c>
      <c r="BH105" s="102"/>
      <c r="BI105" s="102"/>
      <c r="BJ105" s="102">
        <f>IFERROR(AVERAGE(BJ5:BJ103),"N/A")</f>
        <v>89</v>
      </c>
      <c r="BK105" s="102"/>
      <c r="BL105" s="102"/>
      <c r="BM105" s="102">
        <f>IFERROR(AVERAGE(BM5:BM103),"N/A")</f>
        <v>93.6</v>
      </c>
      <c r="BN105" s="102"/>
      <c r="BO105" s="102"/>
      <c r="BP105" s="102">
        <f>IFERROR(AVERAGE(BP5:BP103),"N/A")</f>
        <v>85.571428571428569</v>
      </c>
      <c r="BQ105" s="102"/>
      <c r="BR105" s="102"/>
      <c r="BS105" s="102">
        <f>IFERROR(AVERAGE(BS5:BS103),"N/A")</f>
        <v>70</v>
      </c>
      <c r="BT105" s="102"/>
      <c r="BU105" s="102"/>
      <c r="BV105" s="102">
        <f>IFERROR(AVERAGE(BV5:BV103),"N/A")</f>
        <v>84.285714285714292</v>
      </c>
      <c r="BW105" s="102"/>
      <c r="BX105" s="102"/>
      <c r="BY105" s="102">
        <f>IFERROR(AVERAGE(BY5:BY103),"N/A")</f>
        <v>75.8</v>
      </c>
      <c r="BZ105" s="102"/>
      <c r="CA105" s="102"/>
      <c r="CB105" s="102">
        <f>IFERROR(AVERAGE(CB5:CB103),"N/A")</f>
        <v>84.75</v>
      </c>
      <c r="CC105" s="102"/>
      <c r="CD105" s="102"/>
      <c r="CE105" s="102" t="str">
        <f>IFERROR(AVERAGE(CE5:CE103),"N/A")</f>
        <v>N/A</v>
      </c>
      <c r="CF105" s="102"/>
      <c r="CG105" s="102"/>
      <c r="CH105" s="102" t="str">
        <f>IFERROR(AVERAGE(CH5:CH103),"N/A")</f>
        <v>N/A</v>
      </c>
      <c r="CI105" s="102"/>
      <c r="CJ105" s="102"/>
      <c r="CK105" s="102">
        <f>IFERROR(AVERAGE(CK5:CK103),"N/A")</f>
        <v>86</v>
      </c>
      <c r="CL105" s="102"/>
      <c r="CM105" s="102"/>
      <c r="CN105" s="102">
        <f>IFERROR(AVERAGE(CN5:CN103),"N/A")</f>
        <v>86.6</v>
      </c>
      <c r="CO105" s="102"/>
      <c r="CP105" s="102"/>
      <c r="CQ105" s="102">
        <f>IFERROR(AVERAGE(CQ5:CQ103),"N/A")</f>
        <v>95.333333333333329</v>
      </c>
      <c r="CR105" s="102"/>
      <c r="CS105" s="102"/>
      <c r="CT105" s="102">
        <f>IFERROR(AVERAGE(CT5:CT103),"N/A")</f>
        <v>83.833333333333329</v>
      </c>
      <c r="CU105" s="102"/>
      <c r="CV105" s="102"/>
      <c r="CW105" s="102">
        <f>IFERROR(AVERAGE(CW5:CW103),"N/A")</f>
        <v>87.2</v>
      </c>
      <c r="CX105" s="102"/>
      <c r="CY105" s="102"/>
      <c r="CZ105" s="102">
        <f>IFERROR(AVERAGE(CZ5:CZ103),"N/A")</f>
        <v>76.8</v>
      </c>
      <c r="DA105" s="102"/>
      <c r="DB105" s="102"/>
      <c r="DC105" s="102">
        <f>IFERROR(AVERAGE(DC5:DC103),"N/A")</f>
        <v>81.599999999999994</v>
      </c>
      <c r="DD105" s="102"/>
      <c r="DE105" s="102"/>
      <c r="DF105" s="102">
        <f>IFERROR(AVERAGE(DF5:DF103),"N/A")</f>
        <v>81</v>
      </c>
      <c r="DG105" s="102"/>
      <c r="DH105" s="102"/>
      <c r="DI105" s="102">
        <f>IFERROR(AVERAGE(DI5:DI103),"N/A")</f>
        <v>77.8</v>
      </c>
      <c r="DJ105" s="102"/>
      <c r="DK105" s="102"/>
      <c r="DL105" s="102">
        <f>IFERROR(AVERAGE(DL5:DL103),"N/A")</f>
        <v>81.2</v>
      </c>
      <c r="DM105" s="102"/>
      <c r="DN105" s="102"/>
      <c r="DO105" s="102">
        <f>IFERROR(AVERAGE(DO5:DO103),"N/A")</f>
        <v>85.8</v>
      </c>
      <c r="DP105" s="102"/>
      <c r="DQ105" s="102"/>
      <c r="DR105" s="102">
        <f>IFERROR(AVERAGE(DR5:DR103),"N/A")</f>
        <v>57.8</v>
      </c>
      <c r="DS105" s="102"/>
      <c r="DT105" s="102"/>
      <c r="DU105" s="102">
        <f>IFERROR(AVERAGE(DU5:DU103),"N/A")</f>
        <v>82.6</v>
      </c>
      <c r="DV105" s="102"/>
      <c r="DW105" s="102"/>
      <c r="DX105" s="102">
        <f>IFERROR(AVERAGE(DX5:DX103),"N/A")</f>
        <v>78.2</v>
      </c>
      <c r="DY105" s="102"/>
      <c r="DZ105" s="102"/>
      <c r="EA105" s="102">
        <f>IFERROR(AVERAGE(EA5:EA103),"N/A")</f>
        <v>86.6</v>
      </c>
      <c r="EB105" s="102"/>
      <c r="EC105" s="102"/>
      <c r="ED105" s="102" t="str">
        <f>IFERROR(AVERAGE(ED5:ED103),"N/A")</f>
        <v>N/A</v>
      </c>
      <c r="EE105" s="102"/>
      <c r="EF105" s="102"/>
      <c r="EG105" s="102">
        <f>IFERROR(AVERAGE(EG5:EG103),"N/A")</f>
        <v>88</v>
      </c>
      <c r="EH105" s="102"/>
      <c r="EI105" s="102"/>
      <c r="EJ105" s="102">
        <f>IFERROR(AVERAGE(EJ5:EJ103),"N/A")</f>
        <v>81.599999999999994</v>
      </c>
      <c r="EK105" s="102"/>
      <c r="EL105" s="102"/>
      <c r="EM105" s="102">
        <f>IFERROR(AVERAGE(EM5:EM103),"N/A")</f>
        <v>76.400000000000006</v>
      </c>
      <c r="EN105" s="102"/>
      <c r="EO105" s="102"/>
      <c r="EP105" s="102">
        <f>IFERROR(AVERAGE(EP5:EP103),"N/A")</f>
        <v>84.2</v>
      </c>
      <c r="EQ105" s="102"/>
      <c r="ER105" s="102"/>
      <c r="ES105" s="102">
        <f>IFERROR(AVERAGE(ES5:ES103),"N/A")</f>
        <v>84.428571428571431</v>
      </c>
      <c r="ET105" s="102"/>
      <c r="EU105" s="102"/>
      <c r="EV105" s="102">
        <f>IFERROR(AVERAGE(EV5:EV103),"N/A")</f>
        <v>88.8</v>
      </c>
      <c r="EW105" s="102"/>
      <c r="EX105" s="102"/>
      <c r="EY105" s="102">
        <f>IFERROR(AVERAGE(EY5:EY103),"N/A")</f>
        <v>86.285714285714292</v>
      </c>
      <c r="EZ105" s="102"/>
      <c r="FA105" s="102"/>
      <c r="FB105" s="102">
        <f>IFERROR(AVERAGE(FB5:FB103),"N/A")</f>
        <v>86</v>
      </c>
      <c r="FC105" s="102"/>
      <c r="FD105" s="102"/>
      <c r="FE105" s="102" t="str">
        <f>IFERROR(AVERAGE(FE5:FE103),"N/A")</f>
        <v>N/A</v>
      </c>
      <c r="FF105" s="102"/>
      <c r="FG105" s="102"/>
      <c r="FH105" s="102">
        <f>IFERROR(AVERAGE(FH5:FH103),"N/A")</f>
        <v>77</v>
      </c>
      <c r="FI105" s="102"/>
      <c r="FJ105" s="102"/>
      <c r="FK105" s="102">
        <f>IFERROR(AVERAGE(FK5:FK103),"N/A")</f>
        <v>90.8</v>
      </c>
      <c r="FL105" s="102"/>
      <c r="FM105" s="102"/>
      <c r="FN105" s="102">
        <f>IFERROR(AVERAGE(FN5:FN103),"N/A")</f>
        <v>89.2</v>
      </c>
      <c r="FO105" s="102"/>
      <c r="FP105" s="102"/>
      <c r="FQ105" s="102">
        <f>IFERROR(AVERAGE(FQ5:FQ103),"N/A")</f>
        <v>83.4</v>
      </c>
      <c r="FR105" s="102"/>
      <c r="FS105" s="102"/>
      <c r="FT105" s="102">
        <f>IFERROR(AVERAGE(FT5:FT103),"N/A")</f>
        <v>78.599999999999994</v>
      </c>
      <c r="FU105" s="102"/>
      <c r="FV105" s="102"/>
      <c r="FW105" s="102">
        <f>IFERROR(AVERAGE(FW5:FW103),"N/A")</f>
        <v>72.2</v>
      </c>
      <c r="FX105" s="102"/>
      <c r="FY105" s="102"/>
      <c r="FZ105" s="102">
        <f>IFERROR(AVERAGE(FZ5:FZ103),"N/A")</f>
        <v>89.6</v>
      </c>
      <c r="GA105" s="102"/>
      <c r="GB105" s="102"/>
      <c r="GC105" s="102">
        <f>IFERROR(AVERAGE(GC5:GC103),"N/A")</f>
        <v>93.6</v>
      </c>
      <c r="GD105" s="102"/>
      <c r="GE105" s="102"/>
      <c r="GF105" s="102">
        <f>IFERROR(AVERAGE(GF5:GF103),"N/A")</f>
        <v>86</v>
      </c>
      <c r="GG105" s="102"/>
      <c r="GH105" s="102"/>
      <c r="GI105" s="102">
        <f>IFERROR(AVERAGE(GI5:GI103),"N/A")</f>
        <v>90</v>
      </c>
      <c r="GJ105" s="102"/>
      <c r="GK105" s="102"/>
      <c r="GL105" s="102">
        <f>IFERROR(AVERAGE(GL5:GL103),"N/A")</f>
        <v>85</v>
      </c>
      <c r="GM105" s="102"/>
      <c r="GN105" s="102"/>
      <c r="GO105" s="102">
        <f>IFERROR(AVERAGE(GO5:GO103),"N/A")</f>
        <v>82.8</v>
      </c>
      <c r="GP105" s="102"/>
      <c r="GQ105" s="102"/>
      <c r="GR105" s="102">
        <f>IFERROR(AVERAGE(GR5:GR103),"N/A")</f>
        <v>77.5</v>
      </c>
      <c r="GS105" s="102"/>
      <c r="GT105" s="102"/>
      <c r="GU105" s="102">
        <f>IFERROR(AVERAGE(GU5:GU103),"N/A")</f>
        <v>83</v>
      </c>
      <c r="GV105" s="102"/>
      <c r="GW105" s="102"/>
      <c r="GX105" s="102">
        <f>IFERROR(AVERAGE(GX5:GX103),"N/A")</f>
        <v>89.4</v>
      </c>
      <c r="GY105" s="102"/>
      <c r="GZ105" s="102"/>
      <c r="HA105" s="102">
        <f>IFERROR(AVERAGE(HA5:HA103),"N/A")</f>
        <v>87</v>
      </c>
      <c r="HB105" s="102"/>
      <c r="HC105" s="102"/>
      <c r="HD105" s="102">
        <f>IFERROR(AVERAGE(HD5:HD103),"N/A")</f>
        <v>77.8</v>
      </c>
      <c r="HE105" s="102"/>
      <c r="HF105" s="102"/>
      <c r="HG105" s="102" t="str">
        <f>IFERROR(AVERAGE(HG5:HG103),"N/A")</f>
        <v>N/A</v>
      </c>
      <c r="HH105" s="102"/>
      <c r="HI105" s="102"/>
      <c r="HJ105" s="102" t="str">
        <f>IFERROR(AVERAGE(HJ5:HJ103),"N/A")</f>
        <v>N/A</v>
      </c>
      <c r="HK105" s="102"/>
      <c r="HL105" s="102"/>
      <c r="HM105" s="102" t="str">
        <f>IFERROR(AVERAGE(HM5:HM103),"N/A")</f>
        <v>N/A</v>
      </c>
      <c r="HN105" s="102"/>
      <c r="HO105" s="102"/>
      <c r="HP105" s="102" t="str">
        <f>IFERROR(AVERAGE(HP5:HP103),"N/A")</f>
        <v>N/A</v>
      </c>
      <c r="HQ105" s="102"/>
      <c r="HR105" s="102"/>
      <c r="HS105" s="102" t="str">
        <f>IFERROR(AVERAGE(HS5:HS103),"N/A")</f>
        <v>N/A</v>
      </c>
      <c r="HT105" s="102"/>
      <c r="HU105" s="102"/>
      <c r="HV105" s="102" t="str">
        <f>IFERROR(AVERAGE(HV5:HV103),"N/A")</f>
        <v>N/A</v>
      </c>
      <c r="HW105" s="102"/>
      <c r="HX105" s="102"/>
      <c r="HY105" s="102" t="str">
        <f>IFERROR(AVERAGE(HY5:HY103),"N/A")</f>
        <v>N/A</v>
      </c>
      <c r="HZ105" s="102"/>
      <c r="IA105" s="102"/>
      <c r="IB105" s="102" t="str">
        <f>IFERROR(AVERAGE(IB5:IB103),"N/A")</f>
        <v>N/A</v>
      </c>
      <c r="IC105" s="102"/>
      <c r="ID105" s="102"/>
      <c r="IE105" s="102" t="str">
        <f>IFERROR(AVERAGE(IE5:IE103),"N/A")</f>
        <v>N/A</v>
      </c>
      <c r="IF105" s="102"/>
      <c r="IG105" s="102"/>
      <c r="IH105" s="102" t="str">
        <f>IFERROR(AVERAGE(IH5:IH103),"N/A")</f>
        <v>N/A</v>
      </c>
      <c r="II105" s="102"/>
      <c r="IJ105" s="102"/>
      <c r="IK105" s="102" t="str">
        <f>IFERROR(AVERAGE(IK5:IK103),"N/A")</f>
        <v>N/A</v>
      </c>
      <c r="IL105" s="102"/>
      <c r="IM105" s="102"/>
      <c r="IN105" s="102" t="str">
        <f>IFERROR(AVERAGE(IN5:IN103),"N/A")</f>
        <v>N/A</v>
      </c>
      <c r="IO105" s="102"/>
      <c r="IP105" s="102"/>
      <c r="IQ105" s="102" t="str">
        <f>IFERROR(AVERAGE(IQ5:IQ103),"N/A")</f>
        <v>N/A</v>
      </c>
      <c r="IR105" s="102"/>
      <c r="IS105" s="102"/>
      <c r="IT105" s="102" t="str">
        <f>IFERROR(AVERAGE(IT5:IT103),"N/A")</f>
        <v>N/A</v>
      </c>
      <c r="IU105" s="102"/>
      <c r="IV105" s="102"/>
      <c r="IW105" s="102" t="str">
        <f>IFERROR(AVERAGE(IW5:IW103),"N/A")</f>
        <v>N/A</v>
      </c>
      <c r="IX105" s="102"/>
      <c r="IY105" s="102"/>
      <c r="IZ105" s="102" t="str">
        <f>IFERROR(AVERAGE(IZ5:IZ103),"N/A")</f>
        <v>N/A</v>
      </c>
      <c r="JA105" s="102"/>
      <c r="JB105" s="102"/>
      <c r="JC105" s="102" t="str">
        <f>IFERROR(AVERAGE(JC5:JC103),"N/A")</f>
        <v>N/A</v>
      </c>
      <c r="JD105" s="102"/>
      <c r="JE105" s="102"/>
      <c r="JF105" s="102" t="str">
        <f>IFERROR(AVERAGE(JF5:JF103),"N/A")</f>
        <v>N/A</v>
      </c>
      <c r="JG105" s="102"/>
      <c r="JH105" s="102"/>
      <c r="JI105" s="102" t="str">
        <f>IFERROR(AVERAGE(JI5:JI103),"N/A")</f>
        <v>N/A</v>
      </c>
      <c r="JJ105" s="102"/>
      <c r="JK105" s="102"/>
      <c r="JL105" s="102" t="str">
        <f>IFERROR(AVERAGE(JL5:JL103),"N/A")</f>
        <v>N/A</v>
      </c>
      <c r="JM105" s="102"/>
      <c r="JN105" s="102"/>
      <c r="JO105" s="102" t="str">
        <f>IFERROR(AVERAGE(JO5:JO103),"N/A")</f>
        <v>N/A</v>
      </c>
      <c r="JP105" s="102"/>
      <c r="JQ105" s="102"/>
      <c r="JR105" s="102" t="str">
        <f>IFERROR(AVERAGE(JR5:JR103),"N/A")</f>
        <v>N/A</v>
      </c>
      <c r="JS105" s="102"/>
      <c r="JT105" s="102"/>
      <c r="JU105" s="102" t="str">
        <f>IFERROR(AVERAGE(JU5:JU103),"N/A")</f>
        <v>N/A</v>
      </c>
      <c r="JV105" s="102"/>
      <c r="JW105" s="102"/>
      <c r="JX105" s="102" t="str">
        <f>IFERROR(AVERAGE(JX5:JX103),"N/A")</f>
        <v>N/A</v>
      </c>
      <c r="JY105" s="102"/>
      <c r="JZ105" s="102"/>
      <c r="KA105" s="102" t="str">
        <f>IFERROR(AVERAGE(KA5:KA103),"N/A")</f>
        <v>N/A</v>
      </c>
      <c r="KB105" s="102"/>
      <c r="KC105" s="102"/>
      <c r="KD105" s="102" t="str">
        <f>IFERROR(AVERAGE(KD5:KD103),"N/A")</f>
        <v>N/A</v>
      </c>
      <c r="KE105" s="102"/>
      <c r="KF105" s="102"/>
      <c r="KG105" s="102" t="str">
        <f>IFERROR(AVERAGE(KG5:KG103),"N/A")</f>
        <v>N/A</v>
      </c>
      <c r="KH105" s="102"/>
      <c r="KI105" s="102"/>
      <c r="KJ105" s="102" t="str">
        <f>IFERROR(AVERAGE(KJ5:KJ103),"N/A")</f>
        <v>N/A</v>
      </c>
      <c r="KK105" s="102"/>
      <c r="KL105" s="102"/>
      <c r="KM105" s="102" t="str">
        <f>IFERROR(AVERAGE(KM5:KM103),"N/A")</f>
        <v>N/A</v>
      </c>
      <c r="KN105" s="102"/>
      <c r="KO105" s="102"/>
      <c r="KP105" s="102" t="str">
        <f>IFERROR(AVERAGE(KP5:KP103),"N/A")</f>
        <v>N/A</v>
      </c>
      <c r="KQ105" s="102"/>
      <c r="KR105" s="102"/>
      <c r="KS105" s="102" t="str">
        <f>IFERROR(AVERAGE(KS5:KS103),"N/A")</f>
        <v>N/A</v>
      </c>
      <c r="KT105" s="102"/>
      <c r="KU105" s="102"/>
      <c r="KV105" s="102" t="str">
        <f>IFERROR(AVERAGE(KV5:KV103),"N/A")</f>
        <v>N/A</v>
      </c>
      <c r="KW105" s="102"/>
      <c r="KX105" s="102"/>
      <c r="KY105" s="102" t="str">
        <f>IFERROR(AVERAGE(KY5:KY103),"N/A")</f>
        <v>N/A</v>
      </c>
      <c r="KZ105" s="102"/>
      <c r="LA105" s="102"/>
      <c r="LB105" s="21">
        <f>MIN(LB$5:LB$84)</f>
        <v>52.4</v>
      </c>
      <c r="LD105" s="21">
        <f>MIN(LD$5:LD$84)</f>
        <v>-1.5905580438515772</v>
      </c>
      <c r="LF105" s="21">
        <f>MIN(LF$5:LF$84)</f>
        <v>0</v>
      </c>
      <c r="LL105" s="37"/>
      <c r="LW105" s="12"/>
      <c r="LX105" s="12"/>
      <c r="LY105" s="12"/>
      <c r="LZ105" s="12"/>
      <c r="MA105" s="12"/>
      <c r="MB105" s="12"/>
      <c r="MC105" s="12"/>
      <c r="MD105" s="12"/>
      <c r="ME105" s="12"/>
      <c r="MF105" s="12"/>
      <c r="MG105" s="12"/>
      <c r="MH105" s="12"/>
      <c r="MI105" s="12"/>
      <c r="MJ105" s="12"/>
    </row>
    <row r="106" spans="1:348" ht="43.8">
      <c r="C106" s="28" t="s">
        <v>19</v>
      </c>
      <c r="D106" s="35"/>
      <c r="H106"/>
      <c r="J106"/>
      <c r="K106" s="4"/>
      <c r="M106" s="35"/>
      <c r="N106" s="102">
        <f>IFERROR(STDEV(N5:N103),"N/A")</f>
        <v>6.2289646009589745</v>
      </c>
      <c r="O106" s="102"/>
      <c r="P106" s="102"/>
      <c r="Q106" s="102">
        <f>IFERROR(STDEV(Q5:Q103),"N/A")</f>
        <v>10.256705123966459</v>
      </c>
      <c r="R106" s="102"/>
      <c r="S106" s="102"/>
      <c r="T106" s="102">
        <f>IFERROR(STDEV(T5:T103),"N/A")</f>
        <v>4.1593268686170841</v>
      </c>
      <c r="U106" s="102"/>
      <c r="V106" s="102"/>
      <c r="W106" s="102">
        <f>IFERROR(STDEV(W5:W103),"N/A")</f>
        <v>13.711309200802088</v>
      </c>
      <c r="X106" s="102"/>
      <c r="Y106" s="102"/>
      <c r="Z106" s="102">
        <f>IFERROR(STDEV(Z5:Z103),"N/A")</f>
        <v>6.8410525505948279</v>
      </c>
      <c r="AA106" s="102"/>
      <c r="AB106" s="102"/>
      <c r="AC106" s="102">
        <f>IFERROR(STDEV(AC5:AC103),"N/A")</f>
        <v>14.640127503998499</v>
      </c>
      <c r="AD106" s="102"/>
      <c r="AE106" s="102"/>
      <c r="AF106" s="102">
        <f>IFERROR(STDEV(AF5:AF103),"N/A")</f>
        <v>21.052315787105222</v>
      </c>
      <c r="AG106" s="102"/>
      <c r="AH106" s="102"/>
      <c r="AI106" s="102">
        <f>IFERROR(STDEV(AI5:AI103),"N/A")</f>
        <v>5.1881274720911268</v>
      </c>
      <c r="AJ106" s="102"/>
      <c r="AK106" s="102"/>
      <c r="AL106" s="102" t="str">
        <f>IFERROR(STDEV(AL5:AL103),"N/A")</f>
        <v>N/A</v>
      </c>
      <c r="AM106" s="102"/>
      <c r="AN106" s="102"/>
      <c r="AO106" s="102">
        <f>IFERROR(STDEV(AO5:AO103),"N/A")</f>
        <v>6.8410525505948279</v>
      </c>
      <c r="AP106" s="102"/>
      <c r="AQ106" s="102"/>
      <c r="AR106" s="102">
        <f>IFERROR(STDEV(AR5:AR103),"N/A")</f>
        <v>18.171406109599793</v>
      </c>
      <c r="AS106" s="102"/>
      <c r="AT106" s="102"/>
      <c r="AU106" s="102" t="str">
        <f>IFERROR(STDEV(AU5:AU103),"N/A")</f>
        <v>N/A</v>
      </c>
      <c r="AV106" s="102"/>
      <c r="AW106" s="102"/>
      <c r="AX106" s="102">
        <f>IFERROR(STDEV(AX5:AX103),"N/A")</f>
        <v>7.5277265270908096</v>
      </c>
      <c r="AY106" s="102"/>
      <c r="AZ106" s="102"/>
      <c r="BA106" s="102">
        <f>IFERROR(STDEV(BA5:BA103),"N/A")</f>
        <v>3.8622100754188224</v>
      </c>
      <c r="BB106" s="102"/>
      <c r="BC106" s="102"/>
      <c r="BD106" s="102">
        <f>IFERROR(STDEV(BD5:BD103),"N/A")</f>
        <v>12.096831541082691</v>
      </c>
      <c r="BE106" s="102"/>
      <c r="BF106" s="102"/>
      <c r="BG106" s="102">
        <f>IFERROR(STDEV(BG5:BG103),"N/A")</f>
        <v>8.5391256382996659</v>
      </c>
      <c r="BH106" s="102"/>
      <c r="BI106" s="102"/>
      <c r="BJ106" s="102">
        <f>IFERROR(STDEV(BJ5:BJ103),"N/A")</f>
        <v>7.1414284285428504</v>
      </c>
      <c r="BK106" s="102"/>
      <c r="BL106" s="102"/>
      <c r="BM106" s="102">
        <f>IFERROR(STDEV(BM5:BM103),"N/A")</f>
        <v>6.0663003552412409</v>
      </c>
      <c r="BN106" s="102"/>
      <c r="BO106" s="102"/>
      <c r="BP106" s="102">
        <f>IFERROR(STDEV(BP5:BP103),"N/A")</f>
        <v>15.031712508971838</v>
      </c>
      <c r="BQ106" s="102"/>
      <c r="BR106" s="102"/>
      <c r="BS106" s="102">
        <f>IFERROR(STDEV(BS5:BS103),"N/A")</f>
        <v>9.4868329805051381</v>
      </c>
      <c r="BT106" s="102"/>
      <c r="BU106" s="102"/>
      <c r="BV106" s="102">
        <f>IFERROR(STDEV(BV5:BV103),"N/A")</f>
        <v>9.5169022571122763</v>
      </c>
      <c r="BW106" s="102"/>
      <c r="BX106" s="102"/>
      <c r="BY106" s="102">
        <f>IFERROR(STDEV(BY5:BY103),"N/A")</f>
        <v>12.676750372236562</v>
      </c>
      <c r="BZ106" s="102"/>
      <c r="CA106" s="102"/>
      <c r="CB106" s="102">
        <f>IFERROR(STDEV(CB5:CB103),"N/A")</f>
        <v>12.257650672131263</v>
      </c>
      <c r="CC106" s="102"/>
      <c r="CD106" s="102"/>
      <c r="CE106" s="102" t="str">
        <f>IFERROR(STDEV(CE5:CE103),"N/A")</f>
        <v>N/A</v>
      </c>
      <c r="CF106" s="102"/>
      <c r="CG106" s="102"/>
      <c r="CH106" s="102" t="str">
        <f>IFERROR(STDEV(CH5:CH103),"N/A")</f>
        <v>N/A</v>
      </c>
      <c r="CI106" s="102"/>
      <c r="CJ106" s="102"/>
      <c r="CK106" s="102">
        <f>IFERROR(STDEV(CK5:CK103),"N/A")</f>
        <v>14.966629547095765</v>
      </c>
      <c r="CL106" s="102"/>
      <c r="CM106" s="102"/>
      <c r="CN106" s="102">
        <f>IFERROR(STDEV(CN5:CN103),"N/A")</f>
        <v>7.9246451024635798</v>
      </c>
      <c r="CO106" s="102"/>
      <c r="CP106" s="102"/>
      <c r="CQ106" s="102">
        <f>IFERROR(STDEV(CQ5:CQ103),"N/A")</f>
        <v>6.0553007081949835</v>
      </c>
      <c r="CR106" s="102"/>
      <c r="CS106" s="102"/>
      <c r="CT106" s="102">
        <f>IFERROR(STDEV(CT5:CT103),"N/A")</f>
        <v>8.4950966249164388</v>
      </c>
      <c r="CU106" s="102"/>
      <c r="CV106" s="102"/>
      <c r="CW106" s="102">
        <f>IFERROR(STDEV(CW5:CW103),"N/A")</f>
        <v>7.9812279756939661</v>
      </c>
      <c r="CX106" s="102"/>
      <c r="CY106" s="102"/>
      <c r="CZ106" s="102">
        <f>IFERROR(STDEV(CZ5:CZ103),"N/A")</f>
        <v>16.604216332004345</v>
      </c>
      <c r="DA106" s="102"/>
      <c r="DB106" s="102"/>
      <c r="DC106" s="102">
        <f>IFERROR(STDEV(DC5:DC103),"N/A")</f>
        <v>10.761040841851651</v>
      </c>
      <c r="DD106" s="102"/>
      <c r="DE106" s="102"/>
      <c r="DF106" s="102">
        <f>IFERROR(STDEV(DF5:DF103),"N/A")</f>
        <v>3.3166247903553998</v>
      </c>
      <c r="DG106" s="102"/>
      <c r="DH106" s="102"/>
      <c r="DI106" s="102">
        <f>IFERROR(STDEV(DI5:DI103),"N/A")</f>
        <v>9.8336158151516084</v>
      </c>
      <c r="DJ106" s="102"/>
      <c r="DK106" s="102"/>
      <c r="DL106" s="102">
        <f>IFERROR(STDEV(DL5:DL103),"N/A")</f>
        <v>15.896540504147458</v>
      </c>
      <c r="DM106" s="102"/>
      <c r="DN106" s="102"/>
      <c r="DO106" s="102">
        <f>IFERROR(STDEV(DO5:DO103),"N/A")</f>
        <v>6.5345237010818167</v>
      </c>
      <c r="DP106" s="102"/>
      <c r="DQ106" s="102"/>
      <c r="DR106" s="102">
        <f>IFERROR(STDEV(DR5:DR103),"N/A")</f>
        <v>21.393924371185381</v>
      </c>
      <c r="DS106" s="102"/>
      <c r="DT106" s="102"/>
      <c r="DU106" s="102">
        <f>IFERROR(STDEV(DU5:DU103),"N/A")</f>
        <v>13.464768843169914</v>
      </c>
      <c r="DV106" s="102"/>
      <c r="DW106" s="102"/>
      <c r="DX106" s="102">
        <f>IFERROR(STDEV(DX5:DX103),"N/A")</f>
        <v>14.254823744964362</v>
      </c>
      <c r="DY106" s="102"/>
      <c r="DZ106" s="102"/>
      <c r="EA106" s="102">
        <f>IFERROR(STDEV(EA5:EA103),"N/A")</f>
        <v>10.644247272588103</v>
      </c>
      <c r="EB106" s="102"/>
      <c r="EC106" s="102"/>
      <c r="ED106" s="102" t="str">
        <f>IFERROR(STDEV(ED5:ED103),"N/A")</f>
        <v>N/A</v>
      </c>
      <c r="EE106" s="102"/>
      <c r="EF106" s="102"/>
      <c r="EG106" s="102">
        <f>IFERROR(STDEV(EG5:EG103),"N/A")</f>
        <v>8.4557672626438816</v>
      </c>
      <c r="EH106" s="102"/>
      <c r="EI106" s="102"/>
      <c r="EJ106" s="102">
        <f>IFERROR(STDEV(EJ5:EJ103),"N/A")</f>
        <v>9.4498677239419209</v>
      </c>
      <c r="EK106" s="102"/>
      <c r="EL106" s="102"/>
      <c r="EM106" s="102">
        <f>IFERROR(STDEV(EM5:EM103),"N/A")</f>
        <v>23.212065827926651</v>
      </c>
      <c r="EN106" s="102"/>
      <c r="EO106" s="102"/>
      <c r="EP106" s="102">
        <f>IFERROR(STDEV(EP5:EP103),"N/A")</f>
        <v>7.5960516059331766</v>
      </c>
      <c r="EQ106" s="102"/>
      <c r="ER106" s="102"/>
      <c r="ES106" s="102">
        <f>IFERROR(STDEV(ES5:ES103),"N/A")</f>
        <v>4.1173269183271026</v>
      </c>
      <c r="ET106" s="102"/>
      <c r="EU106" s="102"/>
      <c r="EV106" s="102">
        <f>IFERROR(STDEV(EV5:EV103),"N/A")</f>
        <v>9.4973680564670122</v>
      </c>
      <c r="EW106" s="102"/>
      <c r="EX106" s="102"/>
      <c r="EY106" s="102">
        <f>IFERROR(STDEV(EY5:EY103),"N/A")</f>
        <v>11.600492600378173</v>
      </c>
      <c r="EZ106" s="102"/>
      <c r="FA106" s="102"/>
      <c r="FB106" s="102">
        <f>IFERROR(STDEV(FB5:FB103),"N/A")</f>
        <v>15.853495934125487</v>
      </c>
      <c r="FC106" s="102"/>
      <c r="FD106" s="102"/>
      <c r="FE106" s="102" t="str">
        <f>IFERROR(STDEV(FE5:FE103),"N/A")</f>
        <v>N/A</v>
      </c>
      <c r="FF106" s="102"/>
      <c r="FG106" s="102"/>
      <c r="FH106" s="102">
        <f>IFERROR(STDEV(FH5:FH103),"N/A")</f>
        <v>3.5590260840104371</v>
      </c>
      <c r="FI106" s="102"/>
      <c r="FJ106" s="102"/>
      <c r="FK106" s="102">
        <f>IFERROR(STDEV(FK5:FK103),"N/A")</f>
        <v>5.805170109479997</v>
      </c>
      <c r="FL106" s="102"/>
      <c r="FM106" s="102"/>
      <c r="FN106" s="102">
        <f>IFERROR(STDEV(FN5:FN103),"N/A")</f>
        <v>4.0865633483405102</v>
      </c>
      <c r="FO106" s="102"/>
      <c r="FP106" s="102"/>
      <c r="FQ106" s="102">
        <f>IFERROR(STDEV(FQ5:FQ103),"N/A")</f>
        <v>7.1624018317879923</v>
      </c>
      <c r="FR106" s="102"/>
      <c r="FS106" s="102"/>
      <c r="FT106" s="102">
        <f>IFERROR(STDEV(FT5:FT103),"N/A")</f>
        <v>24.965976848503249</v>
      </c>
      <c r="FU106" s="102"/>
      <c r="FV106" s="102"/>
      <c r="FW106" s="102">
        <f>IFERROR(STDEV(FW5:FW103),"N/A")</f>
        <v>20.717142660125692</v>
      </c>
      <c r="FX106" s="102"/>
      <c r="FY106" s="102"/>
      <c r="FZ106" s="102">
        <f>IFERROR(STDEV(FZ5:FZ103),"N/A")</f>
        <v>8.7349871207689826</v>
      </c>
      <c r="GA106" s="102"/>
      <c r="GB106" s="102"/>
      <c r="GC106" s="102">
        <f>IFERROR(STDEV(GC5:GC103),"N/A")</f>
        <v>5.7271284253105419</v>
      </c>
      <c r="GD106" s="102"/>
      <c r="GE106" s="102"/>
      <c r="GF106" s="102">
        <f>IFERROR(STDEV(GF5:GF103),"N/A")</f>
        <v>8.8317608663278477</v>
      </c>
      <c r="GG106" s="102"/>
      <c r="GH106" s="102"/>
      <c r="GI106" s="102">
        <f>IFERROR(STDEV(GI5:GI103),"N/A")</f>
        <v>7.1763500472036617</v>
      </c>
      <c r="GJ106" s="102"/>
      <c r="GK106" s="102"/>
      <c r="GL106" s="102">
        <f>IFERROR(STDEV(GL5:GL103),"N/A")</f>
        <v>3.7416573867739413</v>
      </c>
      <c r="GM106" s="102"/>
      <c r="GN106" s="102"/>
      <c r="GO106" s="102">
        <f>IFERROR(STDEV(GO5:GO103),"N/A")</f>
        <v>17.512852423291893</v>
      </c>
      <c r="GP106" s="102"/>
      <c r="GQ106" s="102"/>
      <c r="GR106" s="102">
        <f>IFERROR(STDEV(GR5:GR103),"N/A")</f>
        <v>9.574271077563381</v>
      </c>
      <c r="GS106" s="102"/>
      <c r="GT106" s="102"/>
      <c r="GU106" s="102">
        <f>IFERROR(STDEV(GU5:GU103),"N/A")</f>
        <v>9.9498743710661994</v>
      </c>
      <c r="GV106" s="102"/>
      <c r="GW106" s="102"/>
      <c r="GX106" s="102">
        <f>IFERROR(STDEV(GX5:GX103),"N/A")</f>
        <v>6.3874877690685246</v>
      </c>
      <c r="GY106" s="102"/>
      <c r="GZ106" s="102"/>
      <c r="HA106" s="102">
        <f>IFERROR(STDEV(HA5:HA103),"N/A")</f>
        <v>10.456258094238748</v>
      </c>
      <c r="HB106" s="102"/>
      <c r="HC106" s="102"/>
      <c r="HD106" s="102">
        <f>IFERROR(STDEV(HD5:HD103),"N/A")</f>
        <v>11.691877522451209</v>
      </c>
      <c r="HE106" s="102"/>
      <c r="HF106" s="102"/>
      <c r="HG106" s="102" t="str">
        <f>IFERROR(STDEV(HG5:HG103),"N/A")</f>
        <v>N/A</v>
      </c>
      <c r="HH106" s="102"/>
      <c r="HI106" s="102"/>
      <c r="HJ106" s="102" t="str">
        <f>IFERROR(STDEV(HJ5:HJ103),"N/A")</f>
        <v>N/A</v>
      </c>
      <c r="HK106" s="102"/>
      <c r="HL106" s="102"/>
      <c r="HM106" s="102" t="str">
        <f>IFERROR(STDEV(HM5:HM103),"N/A")</f>
        <v>N/A</v>
      </c>
      <c r="HN106" s="102"/>
      <c r="HO106" s="102"/>
      <c r="HP106" s="102" t="str">
        <f>IFERROR(STDEV(HP5:HP103),"N/A")</f>
        <v>N/A</v>
      </c>
      <c r="HQ106" s="102"/>
      <c r="HR106" s="102"/>
      <c r="HS106" s="102" t="str">
        <f>IFERROR(STDEV(HS5:HS103),"N/A")</f>
        <v>N/A</v>
      </c>
      <c r="HT106" s="102"/>
      <c r="HU106" s="102"/>
      <c r="HV106" s="102" t="str">
        <f>IFERROR(STDEV(HV5:HV103),"N/A")</f>
        <v>N/A</v>
      </c>
      <c r="HW106" s="102"/>
      <c r="HX106" s="102"/>
      <c r="HY106" s="102" t="str">
        <f>IFERROR(STDEV(HY5:HY103),"N/A")</f>
        <v>N/A</v>
      </c>
      <c r="HZ106" s="102"/>
      <c r="IA106" s="102"/>
      <c r="IB106" s="102" t="str">
        <f>IFERROR(STDEV(IB5:IB103),"N/A")</f>
        <v>N/A</v>
      </c>
      <c r="IC106" s="102"/>
      <c r="ID106" s="102"/>
      <c r="IE106" s="102" t="str">
        <f>IFERROR(STDEV(IE5:IE103),"N/A")</f>
        <v>N/A</v>
      </c>
      <c r="IF106" s="102"/>
      <c r="IG106" s="102"/>
      <c r="IH106" s="102" t="str">
        <f>IFERROR(STDEV(IH5:IH103),"N/A")</f>
        <v>N/A</v>
      </c>
      <c r="II106" s="102"/>
      <c r="IJ106" s="102"/>
      <c r="IK106" s="102" t="str">
        <f>IFERROR(STDEV(IK5:IK103),"N/A")</f>
        <v>N/A</v>
      </c>
      <c r="IL106" s="102"/>
      <c r="IM106" s="102"/>
      <c r="IN106" s="102" t="str">
        <f>IFERROR(STDEV(IN5:IN103),"N/A")</f>
        <v>N/A</v>
      </c>
      <c r="IO106" s="102"/>
      <c r="IP106" s="102"/>
      <c r="IQ106" s="102" t="str">
        <f>IFERROR(STDEV(IQ5:IQ103),"N/A")</f>
        <v>N/A</v>
      </c>
      <c r="IR106" s="102"/>
      <c r="IS106" s="102"/>
      <c r="IT106" s="102" t="str">
        <f>IFERROR(STDEV(IT5:IT103),"N/A")</f>
        <v>N/A</v>
      </c>
      <c r="IU106" s="102"/>
      <c r="IV106" s="102"/>
      <c r="IW106" s="102" t="str">
        <f>IFERROR(STDEV(IW5:IW103),"N/A")</f>
        <v>N/A</v>
      </c>
      <c r="IX106" s="102"/>
      <c r="IY106" s="102"/>
      <c r="IZ106" s="102" t="str">
        <f>IFERROR(STDEV(IZ5:IZ103),"N/A")</f>
        <v>N/A</v>
      </c>
      <c r="JA106" s="102"/>
      <c r="JB106" s="102"/>
      <c r="JC106" s="102" t="str">
        <f>IFERROR(STDEV(JC5:JC103),"N/A")</f>
        <v>N/A</v>
      </c>
      <c r="JD106" s="102"/>
      <c r="JE106" s="102"/>
      <c r="JF106" s="102" t="str">
        <f>IFERROR(STDEV(JF5:JF103),"N/A")</f>
        <v>N/A</v>
      </c>
      <c r="JG106" s="102"/>
      <c r="JH106" s="102"/>
      <c r="JI106" s="102" t="str">
        <f>IFERROR(STDEV(JI5:JI103),"N/A")</f>
        <v>N/A</v>
      </c>
      <c r="JJ106" s="102"/>
      <c r="JK106" s="102"/>
      <c r="JL106" s="102" t="str">
        <f>IFERROR(STDEV(JL5:JL103),"N/A")</f>
        <v>N/A</v>
      </c>
      <c r="JM106" s="102"/>
      <c r="JN106" s="102"/>
      <c r="JO106" s="102" t="str">
        <f>IFERROR(STDEV(JO5:JO103),"N/A")</f>
        <v>N/A</v>
      </c>
      <c r="JP106" s="102"/>
      <c r="JQ106" s="102"/>
      <c r="JR106" s="102" t="str">
        <f>IFERROR(STDEV(JR5:JR103),"N/A")</f>
        <v>N/A</v>
      </c>
      <c r="JS106" s="102"/>
      <c r="JT106" s="102"/>
      <c r="JU106" s="102" t="str">
        <f>IFERROR(STDEV(JU5:JU103),"N/A")</f>
        <v>N/A</v>
      </c>
      <c r="JV106" s="102"/>
      <c r="JW106" s="102"/>
      <c r="JX106" s="102" t="str">
        <f>IFERROR(STDEV(JX5:JX103),"N/A")</f>
        <v>N/A</v>
      </c>
      <c r="JY106" s="102"/>
      <c r="JZ106" s="102"/>
      <c r="KA106" s="102" t="str">
        <f>IFERROR(STDEV(KA5:KA103),"N/A")</f>
        <v>N/A</v>
      </c>
      <c r="KB106" s="102"/>
      <c r="KC106" s="102"/>
      <c r="KD106" s="102" t="str">
        <f>IFERROR(STDEV(KD5:KD103),"N/A")</f>
        <v>N/A</v>
      </c>
      <c r="KE106" s="102"/>
      <c r="KF106" s="102"/>
      <c r="KG106" s="102" t="str">
        <f>IFERROR(STDEV(KG5:KG103),"N/A")</f>
        <v>N/A</v>
      </c>
      <c r="KH106" s="102"/>
      <c r="KI106" s="102"/>
      <c r="KJ106" s="102" t="str">
        <f>IFERROR(STDEV(KJ5:KJ103),"N/A")</f>
        <v>N/A</v>
      </c>
      <c r="KK106" s="102"/>
      <c r="KL106" s="102"/>
      <c r="KM106" s="102" t="str">
        <f>IFERROR(STDEV(KM5:KM103),"N/A")</f>
        <v>N/A</v>
      </c>
      <c r="KN106" s="102"/>
      <c r="KO106" s="102"/>
      <c r="KP106" s="102" t="str">
        <f>IFERROR(STDEV(KP5:KP103),"N/A")</f>
        <v>N/A</v>
      </c>
      <c r="KQ106" s="102"/>
      <c r="KR106" s="102"/>
      <c r="KS106" s="102" t="str">
        <f>IFERROR(STDEV(KS5:KS103),"N/A")</f>
        <v>N/A</v>
      </c>
      <c r="KT106" s="102"/>
      <c r="KU106" s="102"/>
      <c r="KV106" s="102" t="str">
        <f>IFERROR(STDEV(KV5:KV103),"N/A")</f>
        <v>N/A</v>
      </c>
      <c r="KW106" s="102"/>
      <c r="KX106" s="102"/>
      <c r="KY106" s="102" t="str">
        <f>IFERROR(STDEV(KY5:KY103),"N/A")</f>
        <v>N/A</v>
      </c>
      <c r="KZ106" s="102"/>
      <c r="LA106" s="102"/>
      <c r="LB106" s="21">
        <f>MAX(LB$5:LB$84)</f>
        <v>98</v>
      </c>
      <c r="LD106" s="21">
        <f>MAX(LD$5:LD$84)</f>
        <v>1.0873769895977112</v>
      </c>
      <c r="LF106" s="21">
        <f>MAX(LF$5:LF$84)</f>
        <v>1</v>
      </c>
      <c r="LL106" s="37"/>
    </row>
    <row r="107" spans="1:348" ht="58.2">
      <c r="C107" s="29" t="s">
        <v>20</v>
      </c>
      <c r="D107" s="36"/>
      <c r="H107"/>
      <c r="J107"/>
      <c r="K107" s="4"/>
      <c r="M107" s="36"/>
      <c r="N107" s="102">
        <f>COUNT(N5:N103)</f>
        <v>5</v>
      </c>
      <c r="O107" s="102"/>
      <c r="P107" s="102"/>
      <c r="Q107" s="102">
        <f>COUNT(Q5:Q103)</f>
        <v>5</v>
      </c>
      <c r="R107" s="102"/>
      <c r="S107" s="102"/>
      <c r="T107" s="102">
        <f>COUNT(T5:T103)</f>
        <v>5</v>
      </c>
      <c r="U107" s="102"/>
      <c r="V107" s="102"/>
      <c r="W107" s="102">
        <f>COUNT(W5:W103)</f>
        <v>5</v>
      </c>
      <c r="X107" s="102"/>
      <c r="Y107" s="102"/>
      <c r="Z107" s="102">
        <f>COUNT(Z5:Z103)</f>
        <v>5</v>
      </c>
      <c r="AA107" s="102"/>
      <c r="AB107" s="102"/>
      <c r="AC107" s="102">
        <f>COUNT(AC5:AC103)</f>
        <v>4</v>
      </c>
      <c r="AD107" s="102"/>
      <c r="AE107" s="102"/>
      <c r="AF107" s="102">
        <f>COUNT(AF5:AF103)</f>
        <v>5</v>
      </c>
      <c r="AG107" s="102"/>
      <c r="AH107" s="102"/>
      <c r="AI107" s="102">
        <f>COUNT(AI5:AI103)</f>
        <v>4</v>
      </c>
      <c r="AJ107" s="102"/>
      <c r="AK107" s="102"/>
      <c r="AL107" s="102">
        <f>COUNT(AL5:AL103)</f>
        <v>0</v>
      </c>
      <c r="AM107" s="102"/>
      <c r="AN107" s="102"/>
      <c r="AO107" s="102">
        <f>COUNT(AO5:AO103)</f>
        <v>5</v>
      </c>
      <c r="AP107" s="102"/>
      <c r="AQ107" s="102"/>
      <c r="AR107" s="102">
        <f>COUNT(AR5:AR103)</f>
        <v>5</v>
      </c>
      <c r="AS107" s="102"/>
      <c r="AT107" s="102"/>
      <c r="AU107" s="102">
        <f>COUNT(AU5:AU103)</f>
        <v>0</v>
      </c>
      <c r="AV107" s="102"/>
      <c r="AW107" s="102"/>
      <c r="AX107" s="102">
        <f>COUNT(AX5:AX103)</f>
        <v>4</v>
      </c>
      <c r="AY107" s="102"/>
      <c r="AZ107" s="102"/>
      <c r="BA107" s="102">
        <f>COUNT(BA5:BA103)</f>
        <v>4</v>
      </c>
      <c r="BB107" s="102"/>
      <c r="BC107" s="102"/>
      <c r="BD107" s="102">
        <f>COUNT(BD5:BD103)</f>
        <v>3</v>
      </c>
      <c r="BE107" s="102"/>
      <c r="BF107" s="102"/>
      <c r="BG107" s="102">
        <f>COUNT(BG5:BG103)</f>
        <v>4</v>
      </c>
      <c r="BH107" s="102"/>
      <c r="BI107" s="102"/>
      <c r="BJ107" s="102">
        <f>COUNT(BJ5:BJ103)</f>
        <v>5</v>
      </c>
      <c r="BK107" s="102"/>
      <c r="BL107" s="102"/>
      <c r="BM107" s="102">
        <f>COUNT(BM5:BM103)</f>
        <v>5</v>
      </c>
      <c r="BN107" s="102"/>
      <c r="BO107" s="102"/>
      <c r="BP107" s="102">
        <f>COUNT(BP5:BP103)</f>
        <v>7</v>
      </c>
      <c r="BQ107" s="102"/>
      <c r="BR107" s="102"/>
      <c r="BS107" s="102">
        <f>COUNT(BS5:BS103)</f>
        <v>6</v>
      </c>
      <c r="BT107" s="102"/>
      <c r="BU107" s="102"/>
      <c r="BV107" s="102">
        <f>COUNT(BV5:BV103)</f>
        <v>7</v>
      </c>
      <c r="BW107" s="102"/>
      <c r="BX107" s="102"/>
      <c r="BY107" s="102">
        <f>COUNT(BY5:BY103)</f>
        <v>5</v>
      </c>
      <c r="BZ107" s="102"/>
      <c r="CA107" s="102"/>
      <c r="CB107" s="102">
        <f>COUNT(CB5:CB103)</f>
        <v>4</v>
      </c>
      <c r="CC107" s="102"/>
      <c r="CD107" s="102"/>
      <c r="CE107" s="102">
        <f>COUNT(CE5:CE103)</f>
        <v>0</v>
      </c>
      <c r="CF107" s="102"/>
      <c r="CG107" s="102"/>
      <c r="CH107" s="102">
        <f>COUNT(CH5:CH103)</f>
        <v>0</v>
      </c>
      <c r="CI107" s="102"/>
      <c r="CJ107" s="102"/>
      <c r="CK107" s="102">
        <f>COUNT(CK5:CK103)</f>
        <v>5</v>
      </c>
      <c r="CL107" s="102"/>
      <c r="CM107" s="102"/>
      <c r="CN107" s="102">
        <f>COUNT(CN5:CN103)</f>
        <v>5</v>
      </c>
      <c r="CO107" s="102"/>
      <c r="CP107" s="102"/>
      <c r="CQ107" s="102">
        <f>COUNT(CQ5:CQ103)</f>
        <v>6</v>
      </c>
      <c r="CR107" s="102"/>
      <c r="CS107" s="102"/>
      <c r="CT107" s="102">
        <f>COUNT(CT5:CT103)</f>
        <v>6</v>
      </c>
      <c r="CU107" s="102"/>
      <c r="CV107" s="102"/>
      <c r="CW107" s="102">
        <f>COUNT(CW5:CW103)</f>
        <v>5</v>
      </c>
      <c r="CX107" s="102"/>
      <c r="CY107" s="102"/>
      <c r="CZ107" s="102">
        <f>COUNT(CZ5:CZ103)</f>
        <v>5</v>
      </c>
      <c r="DA107" s="102"/>
      <c r="DB107" s="102"/>
      <c r="DC107" s="102">
        <f>COUNT(DC5:DC103)</f>
        <v>5</v>
      </c>
      <c r="DD107" s="102"/>
      <c r="DE107" s="102"/>
      <c r="DF107" s="102">
        <f>COUNT(DF5:DF103)</f>
        <v>5</v>
      </c>
      <c r="DG107" s="102"/>
      <c r="DH107" s="102"/>
      <c r="DI107" s="102">
        <f>COUNT(DI5:DI103)</f>
        <v>5</v>
      </c>
      <c r="DJ107" s="102"/>
      <c r="DK107" s="102"/>
      <c r="DL107" s="102">
        <f>COUNT(DL5:DL103)</f>
        <v>5</v>
      </c>
      <c r="DM107" s="102"/>
      <c r="DN107" s="102"/>
      <c r="DO107" s="102">
        <f>COUNT(DO5:DO103)</f>
        <v>5</v>
      </c>
      <c r="DP107" s="102"/>
      <c r="DQ107" s="102"/>
      <c r="DR107" s="102">
        <f>COUNT(DR5:DR103)</f>
        <v>5</v>
      </c>
      <c r="DS107" s="102"/>
      <c r="DT107" s="102"/>
      <c r="DU107" s="102">
        <f>COUNT(DU5:DU103)</f>
        <v>5</v>
      </c>
      <c r="DV107" s="102"/>
      <c r="DW107" s="102"/>
      <c r="DX107" s="102">
        <f>COUNT(DX5:DX103)</f>
        <v>5</v>
      </c>
      <c r="DY107" s="102"/>
      <c r="DZ107" s="102"/>
      <c r="EA107" s="102">
        <f>COUNT(EA5:EA103)</f>
        <v>5</v>
      </c>
      <c r="EB107" s="102"/>
      <c r="EC107" s="102"/>
      <c r="ED107" s="102">
        <f>COUNT(ED5:ED103)</f>
        <v>0</v>
      </c>
      <c r="EE107" s="102"/>
      <c r="EF107" s="102"/>
      <c r="EG107" s="102">
        <f>COUNT(EG5:EG103)</f>
        <v>5</v>
      </c>
      <c r="EH107" s="102"/>
      <c r="EI107" s="102"/>
      <c r="EJ107" s="102">
        <f>COUNT(EJ5:EJ103)</f>
        <v>5</v>
      </c>
      <c r="EK107" s="102"/>
      <c r="EL107" s="102"/>
      <c r="EM107" s="102">
        <f>COUNT(EM5:EM103)</f>
        <v>5</v>
      </c>
      <c r="EN107" s="102"/>
      <c r="EO107" s="102"/>
      <c r="EP107" s="102">
        <f>COUNT(EP5:EP103)</f>
        <v>5</v>
      </c>
      <c r="EQ107" s="102"/>
      <c r="ER107" s="102"/>
      <c r="ES107" s="102">
        <f>COUNT(ES5:ES103)</f>
        <v>7</v>
      </c>
      <c r="ET107" s="102"/>
      <c r="EU107" s="102"/>
      <c r="EV107" s="102">
        <f>COUNT(EV5:EV103)</f>
        <v>5</v>
      </c>
      <c r="EW107" s="102"/>
      <c r="EX107" s="102"/>
      <c r="EY107" s="102">
        <f>COUNT(EY5:EY103)</f>
        <v>7</v>
      </c>
      <c r="EZ107" s="102"/>
      <c r="FA107" s="102"/>
      <c r="FB107" s="102">
        <f>COUNT(FB5:FB103)</f>
        <v>4</v>
      </c>
      <c r="FC107" s="102"/>
      <c r="FD107" s="102"/>
      <c r="FE107" s="102">
        <f>COUNT(FE5:FE103)</f>
        <v>0</v>
      </c>
      <c r="FF107" s="102"/>
      <c r="FG107" s="102"/>
      <c r="FH107" s="102">
        <f>COUNT(FH5:FH103)</f>
        <v>4</v>
      </c>
      <c r="FI107" s="102"/>
      <c r="FJ107" s="102"/>
      <c r="FK107" s="102">
        <f>COUNT(FK5:FK103)</f>
        <v>5</v>
      </c>
      <c r="FL107" s="102"/>
      <c r="FM107" s="102"/>
      <c r="FN107" s="102">
        <f>COUNT(FN5:FN103)</f>
        <v>5</v>
      </c>
      <c r="FO107" s="102"/>
      <c r="FP107" s="102"/>
      <c r="FQ107" s="102">
        <f>COUNT(FQ5:FQ103)</f>
        <v>5</v>
      </c>
      <c r="FR107" s="102"/>
      <c r="FS107" s="102"/>
      <c r="FT107" s="102">
        <f>COUNT(FT5:FT103)</f>
        <v>5</v>
      </c>
      <c r="FU107" s="102"/>
      <c r="FV107" s="102"/>
      <c r="FW107" s="102">
        <f>COUNT(FW5:FW103)</f>
        <v>5</v>
      </c>
      <c r="FX107" s="102"/>
      <c r="FY107" s="102"/>
      <c r="FZ107" s="102">
        <f>COUNT(FZ5:FZ103)</f>
        <v>5</v>
      </c>
      <c r="GA107" s="102"/>
      <c r="GB107" s="102"/>
      <c r="GC107" s="102">
        <f>COUNT(GC5:GC103)</f>
        <v>5</v>
      </c>
      <c r="GD107" s="102"/>
      <c r="GE107" s="102"/>
      <c r="GF107" s="102">
        <f>COUNT(GF5:GF103)</f>
        <v>4</v>
      </c>
      <c r="GG107" s="102"/>
      <c r="GH107" s="102"/>
      <c r="GI107" s="102">
        <f>COUNT(GI5:GI103)</f>
        <v>5</v>
      </c>
      <c r="GJ107" s="102"/>
      <c r="GK107" s="102"/>
      <c r="GL107" s="102">
        <f>COUNT(GL5:GL103)</f>
        <v>4</v>
      </c>
      <c r="GM107" s="102"/>
      <c r="GN107" s="102"/>
      <c r="GO107" s="102">
        <f>COUNT(GO5:GO103)</f>
        <v>5</v>
      </c>
      <c r="GP107" s="102"/>
      <c r="GQ107" s="102"/>
      <c r="GR107" s="102">
        <f>COUNT(GR5:GR103)</f>
        <v>4</v>
      </c>
      <c r="GS107" s="102"/>
      <c r="GT107" s="102"/>
      <c r="GU107" s="102">
        <f>COUNT(GU5:GU103)</f>
        <v>5</v>
      </c>
      <c r="GV107" s="102"/>
      <c r="GW107" s="102"/>
      <c r="GX107" s="102">
        <f>COUNT(GX5:GX103)</f>
        <v>5</v>
      </c>
      <c r="GY107" s="102"/>
      <c r="GZ107" s="102"/>
      <c r="HA107" s="102">
        <f>COUNT(HA5:HA103)</f>
        <v>4</v>
      </c>
      <c r="HB107" s="102"/>
      <c r="HC107" s="102"/>
      <c r="HD107" s="102">
        <f>COUNT(HD5:HD103)</f>
        <v>5</v>
      </c>
      <c r="HE107" s="102"/>
      <c r="HF107" s="102"/>
      <c r="HG107" s="102">
        <f>COUNT(HG5:HG103)</f>
        <v>0</v>
      </c>
      <c r="HH107" s="102"/>
      <c r="HI107" s="102"/>
      <c r="HJ107" s="102">
        <f>COUNT(HJ5:HJ103)</f>
        <v>0</v>
      </c>
      <c r="HK107" s="102"/>
      <c r="HL107" s="102"/>
      <c r="HM107" s="102">
        <f>COUNT(HM5:HM103)</f>
        <v>0</v>
      </c>
      <c r="HN107" s="102"/>
      <c r="HO107" s="102"/>
      <c r="HP107" s="102">
        <f>COUNT(HP5:HP103)</f>
        <v>0</v>
      </c>
      <c r="HQ107" s="102"/>
      <c r="HR107" s="102"/>
      <c r="HS107" s="102">
        <f>COUNT(HS5:HS103)</f>
        <v>0</v>
      </c>
      <c r="HT107" s="102"/>
      <c r="HU107" s="102"/>
      <c r="HV107" s="102">
        <f>COUNT(HV5:HV103)</f>
        <v>0</v>
      </c>
      <c r="HW107" s="102"/>
      <c r="HX107" s="102"/>
      <c r="HY107" s="102">
        <f>COUNT(HY5:HY103)</f>
        <v>0</v>
      </c>
      <c r="HZ107" s="102"/>
      <c r="IA107" s="102"/>
      <c r="IB107" s="102">
        <f>COUNT(IB5:IB103)</f>
        <v>0</v>
      </c>
      <c r="IC107" s="102"/>
      <c r="ID107" s="102"/>
      <c r="IE107" s="102">
        <f>COUNT(IE5:IE103)</f>
        <v>0</v>
      </c>
      <c r="IF107" s="102"/>
      <c r="IG107" s="102"/>
      <c r="IH107" s="102">
        <f>COUNT(IH5:IH103)</f>
        <v>0</v>
      </c>
      <c r="II107" s="102"/>
      <c r="IJ107" s="102"/>
      <c r="IK107" s="102">
        <f>COUNT(IK5:IK103)</f>
        <v>0</v>
      </c>
      <c r="IL107" s="102"/>
      <c r="IM107" s="102"/>
      <c r="IN107" s="102">
        <f>COUNT(IN5:IN103)</f>
        <v>0</v>
      </c>
      <c r="IO107" s="102"/>
      <c r="IP107" s="102"/>
      <c r="IQ107" s="102">
        <f>COUNT(IQ5:IQ103)</f>
        <v>0</v>
      </c>
      <c r="IR107" s="102"/>
      <c r="IS107" s="102"/>
      <c r="IT107" s="102">
        <f>COUNT(IT5:IT103)</f>
        <v>0</v>
      </c>
      <c r="IU107" s="102"/>
      <c r="IV107" s="102"/>
      <c r="IW107" s="102">
        <f>COUNT(IW5:IW103)</f>
        <v>0</v>
      </c>
      <c r="IX107" s="102"/>
      <c r="IY107" s="102"/>
      <c r="IZ107" s="102">
        <f>COUNT(IZ5:IZ103)</f>
        <v>0</v>
      </c>
      <c r="JA107" s="102"/>
      <c r="JB107" s="102"/>
      <c r="JC107" s="102">
        <f>COUNT(JC5:JC103)</f>
        <v>0</v>
      </c>
      <c r="JD107" s="102"/>
      <c r="JE107" s="102"/>
      <c r="JF107" s="102">
        <f>COUNT(JF5:JF103)</f>
        <v>0</v>
      </c>
      <c r="JG107" s="102"/>
      <c r="JH107" s="102"/>
      <c r="JI107" s="102">
        <f>COUNT(JI5:JI103)</f>
        <v>0</v>
      </c>
      <c r="JJ107" s="102"/>
      <c r="JK107" s="102"/>
      <c r="JL107" s="102">
        <f>COUNT(JL5:JL103)</f>
        <v>0</v>
      </c>
      <c r="JM107" s="102"/>
      <c r="JN107" s="102"/>
      <c r="JO107" s="102">
        <f>COUNT(JO5:JO103)</f>
        <v>0</v>
      </c>
      <c r="JP107" s="102"/>
      <c r="JQ107" s="102"/>
      <c r="JR107" s="102">
        <f>COUNT(JR5:JR103)</f>
        <v>0</v>
      </c>
      <c r="JS107" s="102"/>
      <c r="JT107" s="102"/>
      <c r="JU107" s="102">
        <f>COUNT(JU5:JU103)</f>
        <v>0</v>
      </c>
      <c r="JV107" s="102"/>
      <c r="JW107" s="102"/>
      <c r="JX107" s="102">
        <f>COUNT(JX5:JX103)</f>
        <v>0</v>
      </c>
      <c r="JY107" s="102"/>
      <c r="JZ107" s="102"/>
      <c r="KA107" s="102">
        <f>COUNT(KA5:KA103)</f>
        <v>0</v>
      </c>
      <c r="KB107" s="102"/>
      <c r="KC107" s="102"/>
      <c r="KD107" s="102">
        <f>COUNT(KD5:KD103)</f>
        <v>0</v>
      </c>
      <c r="KE107" s="102"/>
      <c r="KF107" s="102"/>
      <c r="KG107" s="102">
        <f>COUNT(KG5:KG103)</f>
        <v>0</v>
      </c>
      <c r="KH107" s="102"/>
      <c r="KI107" s="102"/>
      <c r="KJ107" s="102">
        <f>COUNT(KJ5:KJ103)</f>
        <v>0</v>
      </c>
      <c r="KK107" s="102"/>
      <c r="KL107" s="102"/>
      <c r="KM107" s="102">
        <f>COUNT(KM5:KM103)</f>
        <v>0</v>
      </c>
      <c r="KN107" s="102"/>
      <c r="KO107" s="102"/>
      <c r="KP107" s="102">
        <f>COUNT(KP5:KP103)</f>
        <v>0</v>
      </c>
      <c r="KQ107" s="102"/>
      <c r="KR107" s="102"/>
      <c r="KS107" s="102">
        <f>COUNT(KS5:KS103)</f>
        <v>0</v>
      </c>
      <c r="KT107" s="102"/>
      <c r="KU107" s="102"/>
      <c r="KV107" s="102">
        <f>COUNT(KV5:KV103)</f>
        <v>0</v>
      </c>
      <c r="KW107" s="102"/>
      <c r="KX107" s="102"/>
      <c r="KY107" s="102">
        <f>COUNT(KY5:KY103)</f>
        <v>0</v>
      </c>
      <c r="KZ107" s="102"/>
      <c r="LA107" s="102"/>
      <c r="LB107" s="21">
        <f>LB106-LB105</f>
        <v>45.6</v>
      </c>
      <c r="LD107" s="21">
        <f>LD106-LD105</f>
        <v>2.6779350334492884</v>
      </c>
      <c r="LF107" s="21">
        <f>LF106-LF105</f>
        <v>1</v>
      </c>
      <c r="LL107" s="37"/>
    </row>
    <row r="108" spans="1:348">
      <c r="H108"/>
      <c r="J108"/>
      <c r="K108" s="4"/>
      <c r="M108" s="33"/>
      <c r="N108" s="103"/>
      <c r="O108" s="79"/>
      <c r="P108" s="79"/>
      <c r="AX108" s="103"/>
      <c r="FT108" s="103"/>
      <c r="IQ108" s="103"/>
      <c r="IT108" s="103"/>
      <c r="IW108" s="103"/>
      <c r="IZ108" s="103"/>
      <c r="JC108" s="103"/>
      <c r="JD108" s="79"/>
      <c r="JF108" s="103"/>
      <c r="JI108" s="103"/>
      <c r="JL108" s="103"/>
      <c r="JO108" s="103"/>
      <c r="JR108" s="103"/>
      <c r="JU108" s="103"/>
      <c r="JX108" s="103"/>
      <c r="KA108" s="103"/>
      <c r="KD108" s="103"/>
      <c r="KG108" s="103"/>
      <c r="KJ108" s="103"/>
      <c r="KM108" s="103"/>
      <c r="KP108" s="103"/>
      <c r="KS108" s="103"/>
      <c r="KV108" s="103"/>
      <c r="KY108" s="103"/>
      <c r="LL108" s="37"/>
    </row>
    <row r="109" spans="1:348">
      <c r="I109" s="4"/>
      <c r="J109"/>
      <c r="K109" s="4"/>
      <c r="M109" s="33"/>
      <c r="N109" s="103"/>
      <c r="O109" s="80">
        <f>-N105/N106</f>
        <v>-12.618469526684933</v>
      </c>
      <c r="P109" s="79"/>
      <c r="R109" s="80">
        <f>-Q105/Q106</f>
        <v>-7.7802763202711489</v>
      </c>
      <c r="U109" s="80">
        <f t="shared" ref="U109" si="767">-T105/T106</f>
        <v>-22.215133101746741</v>
      </c>
      <c r="X109" s="80">
        <f t="shared" ref="X109" si="768">-W105/W106</f>
        <v>-5.9804646514136772</v>
      </c>
      <c r="AA109" s="80">
        <f t="shared" ref="AA109" si="769">-Z105/Z106</f>
        <v>-11.927989062575596</v>
      </c>
      <c r="AD109" s="80">
        <f t="shared" ref="AD109" si="770">-AC105/AC106</f>
        <v>-5.9767239032653281</v>
      </c>
      <c r="AG109" s="80">
        <f t="shared" ref="AG109" si="771">-AF105/AF106</f>
        <v>-3.8095571437857396</v>
      </c>
      <c r="AJ109" s="80">
        <f t="shared" ref="AJ109" si="772">-AI105/AI106</f>
        <v>-18.166477309396484</v>
      </c>
      <c r="AM109" s="80" t="e">
        <f t="shared" ref="AM109" si="773">-AL105/AL106</f>
        <v>#VALUE!</v>
      </c>
      <c r="AP109" s="80">
        <f t="shared" ref="AP109" si="774">-AO105/AO106</f>
        <v>-12.220341735677939</v>
      </c>
      <c r="AS109" s="80">
        <f t="shared" ref="AS109" si="775">-AR105/AR106</f>
        <v>-4.6116409206070852</v>
      </c>
      <c r="AV109" s="80" t="e">
        <f t="shared" ref="AV109" si="776">-AU105/AU106</f>
        <v>#VALUE!</v>
      </c>
      <c r="AX109" s="103"/>
      <c r="AY109" s="80">
        <f t="shared" ref="AY109" si="777">-AX105/AX106</f>
        <v>-12.354327653284329</v>
      </c>
      <c r="BB109" s="80">
        <f t="shared" ref="BB109" si="778">-BA105/BA106</f>
        <v>-24.014747563917037</v>
      </c>
      <c r="BE109" s="80">
        <f t="shared" ref="BE109" si="779">-BD105/BD106</f>
        <v>-5.9795272082345079</v>
      </c>
      <c r="BH109" s="80">
        <f t="shared" ref="BH109" si="780">-BG105/BG106</f>
        <v>-10.686105798786437</v>
      </c>
      <c r="BK109" s="80">
        <f t="shared" ref="BK109" si="781">-BJ105/BJ106</f>
        <v>-12.462492747849286</v>
      </c>
      <c r="BN109" s="80">
        <f t="shared" ref="BN109" si="782">-BM105/BM106</f>
        <v>-15.429503077461414</v>
      </c>
      <c r="BQ109" s="80">
        <f t="shared" ref="BQ109" si="783">-BP105/BP106</f>
        <v>-5.6927265286875564</v>
      </c>
      <c r="BT109" s="80">
        <f t="shared" ref="BT109" si="784">-BS105/BS106</f>
        <v>-7.3786478737262184</v>
      </c>
      <c r="BW109" s="80">
        <f t="shared" ref="BW109" si="785">-BV105/BV106</f>
        <v>-8.8564232361139315</v>
      </c>
      <c r="BZ109" s="80">
        <f t="shared" ref="BZ109" si="786">-BY105/BY106</f>
        <v>-5.9794503933760579</v>
      </c>
      <c r="CC109" s="80">
        <f t="shared" ref="CC109" si="787">-CB105/CB106</f>
        <v>-6.9140492143968357</v>
      </c>
      <c r="CF109" s="80" t="e">
        <f t="shared" ref="CF109" si="788">-CE105/CE106</f>
        <v>#VALUE!</v>
      </c>
      <c r="CI109" s="80" t="e">
        <f t="shared" ref="CI109" si="789">-CH105/CH106</f>
        <v>#VALUE!</v>
      </c>
      <c r="CL109" s="80">
        <f t="shared" ref="CL109" si="790">-CK105/CK106</f>
        <v>-5.7461167011171241</v>
      </c>
      <c r="CO109" s="80">
        <f t="shared" ref="CO109" si="791">-CN105/CN106</f>
        <v>-10.927934169957737</v>
      </c>
      <c r="CR109" s="80">
        <f t="shared" ref="CR109" si="792">-CQ105/CQ106</f>
        <v>-15.743781841306955</v>
      </c>
      <c r="CU109" s="80">
        <f t="shared" ref="CU109" si="793">-CT105/CT106</f>
        <v>-9.868437880676602</v>
      </c>
      <c r="CX109" s="80">
        <f t="shared" ref="CX109" si="794">-CW105/CW106</f>
        <v>-10.925637040510422</v>
      </c>
      <c r="DA109" s="80">
        <f t="shared" ref="DA109" si="795">-CZ105/CZ106</f>
        <v>-4.6253312089152505</v>
      </c>
      <c r="DD109" s="80">
        <f t="shared" ref="DD109" si="796">-DC105/DC106</f>
        <v>-7.5829096087659762</v>
      </c>
      <c r="DG109" s="80">
        <f t="shared" ref="DG109" si="797">-DF105/DF106</f>
        <v>-24.422418910798854</v>
      </c>
      <c r="DJ109" s="80">
        <f t="shared" ref="DJ109" si="798">-DI105/DI106</f>
        <v>-7.9116371294601491</v>
      </c>
      <c r="DM109" s="80">
        <f t="shared" ref="DM109" si="799">-DL105/DL106</f>
        <v>-5.1080296356817172</v>
      </c>
      <c r="DP109" s="80">
        <f t="shared" ref="DP109" si="800">-DO105/DO106</f>
        <v>-13.130260738941915</v>
      </c>
      <c r="DS109" s="80">
        <f t="shared" ref="DS109" si="801">-DR105/DR106</f>
        <v>-2.7017016138398851</v>
      </c>
      <c r="DV109" s="80">
        <f t="shared" ref="DV109" si="802">-DU105/DU106</f>
        <v>-6.1345278899384414</v>
      </c>
      <c r="DY109" s="80">
        <f t="shared" ref="DY109" si="803">-DX105/DX106</f>
        <v>-5.4858622876782199</v>
      </c>
      <c r="EB109" s="80">
        <f t="shared" ref="EB109" si="804">-EA105/EA106</f>
        <v>-8.1358500777240561</v>
      </c>
      <c r="EE109" s="80" t="e">
        <f t="shared" ref="EE109" si="805">-ED105/ED106</f>
        <v>#VALUE!</v>
      </c>
      <c r="EH109" s="80">
        <f t="shared" ref="EH109" si="806">-EG105/EG106</f>
        <v>-10.407098169407854</v>
      </c>
      <c r="EK109" s="80">
        <f t="shared" ref="EK109" si="807">-EJ105/EJ106</f>
        <v>-8.6350415036244907</v>
      </c>
      <c r="EN109" s="80">
        <f t="shared" ref="EN109" si="808">-EM105/EM106</f>
        <v>-3.291391665281358</v>
      </c>
      <c r="EQ109" s="80">
        <f t="shared" ref="EQ109" si="809">-EP105/EP106</f>
        <v>-11.084706156318433</v>
      </c>
      <c r="ET109" s="80">
        <f t="shared" ref="ET109" si="810">-ES105/ES106</f>
        <v>-20.505675916275145</v>
      </c>
      <c r="EW109" s="80">
        <f t="shared" ref="EW109" si="811">-EV105/EV106</f>
        <v>-9.3499587961670816</v>
      </c>
      <c r="EZ109" s="80">
        <f t="shared" ref="EZ109" si="812">-EY105/EY106</f>
        <v>-7.4381077819834482</v>
      </c>
      <c r="FC109" s="80">
        <f t="shared" ref="FC109" si="813">-FB105/FB106</f>
        <v>-5.4246710225522223</v>
      </c>
      <c r="FF109" s="80" t="e">
        <f t="shared" ref="FF109" si="814">-FE105/FE106</f>
        <v>#VALUE!</v>
      </c>
      <c r="FI109" s="80">
        <f t="shared" ref="FI109" si="815">-FH105/FH106</f>
        <v>-21.635132247537129</v>
      </c>
      <c r="FL109" s="80">
        <f t="shared" ref="FL109" si="816">-FK105/FK106</f>
        <v>-15.641229849874888</v>
      </c>
      <c r="FO109" s="80">
        <f t="shared" ref="FO109" si="817">-FN105/FN106</f>
        <v>-21.827631776764878</v>
      </c>
      <c r="FR109" s="80">
        <f t="shared" ref="FR109" si="818">-FQ105/FQ106</f>
        <v>-11.644138650509138</v>
      </c>
      <c r="FT109" s="103"/>
      <c r="FU109" s="80">
        <f t="shared" ref="FU109" si="819">-FT105/FT106</f>
        <v>-3.1482845825322547</v>
      </c>
      <c r="FX109" s="80">
        <f t="shared" ref="FX109" si="820">-FW105/FW106</f>
        <v>-3.4850365798254326</v>
      </c>
      <c r="GA109" s="80">
        <f t="shared" ref="GA109" si="821">-FZ105/FZ106</f>
        <v>-10.257599554664493</v>
      </c>
      <c r="GD109" s="80">
        <f t="shared" ref="GD109" si="822">-GC105/GC106</f>
        <v>-16.343268921008129</v>
      </c>
      <c r="GG109" s="80">
        <f t="shared" ref="GG109" si="823">-GF105/GF106</f>
        <v>-9.7375824936435222</v>
      </c>
      <c r="GJ109" s="80">
        <f t="shared" ref="GJ109" si="824">-GI105/GI106</f>
        <v>-12.541194257249119</v>
      </c>
      <c r="GM109" s="80">
        <f t="shared" ref="GM109" si="825">-GL105/GL106</f>
        <v>-22.717205562556074</v>
      </c>
      <c r="GP109" s="80">
        <f t="shared" ref="GP109" si="826">-GO105/GO106</f>
        <v>-4.7279562460011908</v>
      </c>
      <c r="GS109" s="80">
        <f t="shared" ref="GS109" si="827">-GR105/GR106</f>
        <v>-8.0946110019399491</v>
      </c>
      <c r="GV109" s="80">
        <f t="shared" ref="GV109" si="828">-GU105/GU106</f>
        <v>-8.3418138666514601</v>
      </c>
      <c r="GY109" s="80">
        <f t="shared" ref="GY109" si="829">-GX105/GX106</f>
        <v>-13.996112905753092</v>
      </c>
      <c r="HB109" s="80">
        <f t="shared" ref="HB109" si="830">-HA105/HA106</f>
        <v>-8.3203761054765639</v>
      </c>
      <c r="HE109" s="80">
        <f t="shared" ref="HE109" si="831">-HD105/HD106</f>
        <v>-6.6541921817608278</v>
      </c>
      <c r="HH109" s="80" t="e">
        <f t="shared" ref="HH109" si="832">-HG105/HG106</f>
        <v>#VALUE!</v>
      </c>
      <c r="HK109" s="80" t="e">
        <f t="shared" ref="HK109" si="833">-HJ105/HJ106</f>
        <v>#VALUE!</v>
      </c>
      <c r="HN109" s="80" t="e">
        <f t="shared" ref="HN109" si="834">-HM105/HM106</f>
        <v>#VALUE!</v>
      </c>
      <c r="HQ109" s="80" t="e">
        <f t="shared" ref="HQ109" si="835">-HP105/HP106</f>
        <v>#VALUE!</v>
      </c>
      <c r="HT109" s="80" t="e">
        <f t="shared" ref="HT109" si="836">-HS105/HS106</f>
        <v>#VALUE!</v>
      </c>
      <c r="HW109" s="80" t="e">
        <f t="shared" ref="HW109" si="837">-HV105/HV106</f>
        <v>#VALUE!</v>
      </c>
      <c r="HZ109" s="80" t="e">
        <f t="shared" ref="HZ109:IC109" si="838">-HY105/HY106</f>
        <v>#VALUE!</v>
      </c>
      <c r="IC109" s="80" t="e">
        <f t="shared" si="838"/>
        <v>#VALUE!</v>
      </c>
      <c r="IF109" s="80" t="e">
        <f t="shared" ref="IF109" si="839">-IE105/IE106</f>
        <v>#VALUE!</v>
      </c>
      <c r="II109" s="80" t="e">
        <f t="shared" ref="II109" si="840">-IH105/IH106</f>
        <v>#VALUE!</v>
      </c>
      <c r="IL109" s="80" t="e">
        <f t="shared" ref="IL109" si="841">-IK105/IK106</f>
        <v>#VALUE!</v>
      </c>
      <c r="IO109" s="80" t="e">
        <f t="shared" ref="IO109" si="842">-IN105/IN106</f>
        <v>#VALUE!</v>
      </c>
      <c r="IQ109" s="103"/>
      <c r="IR109" s="80" t="e">
        <f t="shared" ref="IR109" si="843">-IQ105/IQ106</f>
        <v>#VALUE!</v>
      </c>
      <c r="IT109" s="103"/>
      <c r="IU109" s="80" t="e">
        <f t="shared" ref="IU109" si="844">-IT105/IT106</f>
        <v>#VALUE!</v>
      </c>
      <c r="IW109" s="103"/>
      <c r="IX109" s="80" t="e">
        <f t="shared" ref="IX109" si="845">-IW105/IW106</f>
        <v>#VALUE!</v>
      </c>
      <c r="IZ109" s="103"/>
      <c r="JA109" s="80" t="e">
        <f t="shared" ref="JA109" si="846">-IZ105/IZ106</f>
        <v>#VALUE!</v>
      </c>
      <c r="JC109" s="103"/>
      <c r="JD109" s="80" t="e">
        <f t="shared" ref="JD109" si="847">-JC105/JC106</f>
        <v>#VALUE!</v>
      </c>
      <c r="JF109" s="103"/>
      <c r="JG109" s="80" t="e">
        <f t="shared" ref="JG109" si="848">-JF105/JF106</f>
        <v>#VALUE!</v>
      </c>
      <c r="JI109" s="103"/>
      <c r="JJ109" s="80" t="e">
        <f t="shared" ref="JJ109" si="849">-JI105/JI106</f>
        <v>#VALUE!</v>
      </c>
      <c r="JL109" s="103"/>
      <c r="JM109" s="80" t="e">
        <f t="shared" ref="JM109" si="850">-JL105/JL106</f>
        <v>#VALUE!</v>
      </c>
      <c r="JO109" s="103"/>
      <c r="JP109" s="80" t="e">
        <f t="shared" ref="JP109" si="851">-JO105/JO106</f>
        <v>#VALUE!</v>
      </c>
      <c r="JR109" s="103"/>
      <c r="JS109" s="80" t="e">
        <f t="shared" ref="JS109" si="852">-JR105/JR106</f>
        <v>#VALUE!</v>
      </c>
      <c r="JU109" s="103"/>
      <c r="JV109" s="80" t="e">
        <f t="shared" ref="JV109" si="853">-JU105/JU106</f>
        <v>#VALUE!</v>
      </c>
      <c r="JX109" s="103"/>
      <c r="JY109" s="80" t="e">
        <f t="shared" ref="JY109" si="854">-JX105/JX106</f>
        <v>#VALUE!</v>
      </c>
      <c r="KA109" s="103"/>
      <c r="KB109" s="80" t="e">
        <f t="shared" ref="KB109" si="855">-KA105/KA106</f>
        <v>#VALUE!</v>
      </c>
      <c r="KD109" s="103"/>
      <c r="KE109" s="80" t="e">
        <f t="shared" ref="KE109" si="856">-KD105/KD106</f>
        <v>#VALUE!</v>
      </c>
      <c r="KG109" s="103"/>
      <c r="KH109" s="80" t="e">
        <f t="shared" ref="KH109" si="857">-KG105/KG106</f>
        <v>#VALUE!</v>
      </c>
      <c r="KJ109" s="103"/>
      <c r="KK109" s="80" t="e">
        <f t="shared" ref="KK109" si="858">-KJ105/KJ106</f>
        <v>#VALUE!</v>
      </c>
      <c r="KM109" s="103"/>
      <c r="KN109" s="80" t="e">
        <f t="shared" ref="KN109" si="859">-KM105/KM106</f>
        <v>#VALUE!</v>
      </c>
      <c r="KP109" s="103"/>
      <c r="KQ109" s="80" t="e">
        <f t="shared" ref="KQ109" si="860">-KP105/KP106</f>
        <v>#VALUE!</v>
      </c>
      <c r="KS109" s="103"/>
      <c r="KT109" s="80" t="e">
        <f t="shared" ref="KT109" si="861">-KS105/KS106</f>
        <v>#VALUE!</v>
      </c>
      <c r="KV109" s="103"/>
      <c r="KW109" s="80" t="e">
        <f t="shared" ref="KW109" si="862">-KV105/KV106</f>
        <v>#VALUE!</v>
      </c>
      <c r="KY109" s="103"/>
      <c r="KZ109" s="80" t="e">
        <f t="shared" ref="KZ109" si="863">-KY105/KY106</f>
        <v>#VALUE!</v>
      </c>
      <c r="LL109" s="37"/>
    </row>
    <row r="110" spans="1:348">
      <c r="I110" s="4"/>
      <c r="J110"/>
      <c r="K110" s="33"/>
      <c r="L110" s="30"/>
      <c r="N110" s="79"/>
      <c r="O110" s="102"/>
      <c r="Q110" s="80"/>
      <c r="R110" s="103"/>
      <c r="T110" s="79"/>
      <c r="U110" s="103"/>
      <c r="W110" s="79"/>
      <c r="X110" s="103"/>
      <c r="Z110" s="79"/>
      <c r="AA110" s="103"/>
      <c r="AC110" s="79"/>
      <c r="AD110" s="103"/>
      <c r="AF110" s="79"/>
      <c r="AG110" s="103"/>
      <c r="AI110" s="79"/>
      <c r="AJ110" s="103"/>
      <c r="AL110" s="79"/>
      <c r="AM110" s="103"/>
      <c r="AO110" s="79"/>
      <c r="AP110" s="103"/>
      <c r="AR110" s="79"/>
      <c r="AS110" s="103"/>
      <c r="AU110" s="79"/>
      <c r="AV110" s="103"/>
      <c r="AX110" s="79"/>
      <c r="AY110" s="102"/>
      <c r="BA110" s="79"/>
      <c r="BB110" s="103"/>
      <c r="BD110" s="79"/>
      <c r="BE110" s="103"/>
      <c r="BG110" s="79"/>
      <c r="BH110" s="103"/>
      <c r="BJ110" s="79"/>
      <c r="BK110" s="103"/>
      <c r="BM110" s="79"/>
      <c r="BN110" s="103"/>
      <c r="BP110" s="79"/>
      <c r="BQ110" s="103"/>
      <c r="BS110" s="79"/>
      <c r="BT110" s="103"/>
      <c r="BV110" s="79"/>
      <c r="BW110" s="103"/>
      <c r="BY110" s="79"/>
      <c r="BZ110" s="103"/>
      <c r="CB110" s="79"/>
      <c r="CC110" s="103"/>
      <c r="CE110" s="79"/>
      <c r="CF110" s="103"/>
      <c r="CH110" s="79"/>
      <c r="CI110" s="103"/>
      <c r="CK110" s="79"/>
      <c r="CL110" s="103"/>
      <c r="CN110" s="79"/>
      <c r="CO110" s="103"/>
      <c r="CQ110" s="79"/>
      <c r="CR110" s="103"/>
      <c r="CT110" s="79"/>
      <c r="CU110" s="103"/>
      <c r="CW110" s="79"/>
      <c r="CX110" s="103"/>
      <c r="CZ110" s="79"/>
      <c r="DA110" s="103"/>
      <c r="DC110" s="79"/>
      <c r="DD110" s="103"/>
      <c r="DF110" s="79"/>
      <c r="DG110" s="103"/>
      <c r="DI110" s="79"/>
      <c r="DJ110" s="103"/>
      <c r="DL110" s="79"/>
      <c r="DM110" s="103"/>
      <c r="DO110" s="79"/>
      <c r="DP110" s="103"/>
      <c r="DR110" s="79"/>
      <c r="DS110" s="103"/>
      <c r="DU110" s="79"/>
      <c r="DV110" s="103"/>
      <c r="DX110" s="79"/>
      <c r="DY110" s="103"/>
      <c r="EA110" s="79"/>
      <c r="EB110" s="103"/>
      <c r="ED110" s="79"/>
      <c r="EE110" s="103"/>
      <c r="EG110" s="79"/>
      <c r="EH110" s="103"/>
      <c r="EJ110" s="79"/>
      <c r="EK110" s="103"/>
      <c r="EM110" s="79"/>
      <c r="EN110" s="103"/>
      <c r="EP110" s="79"/>
      <c r="EQ110" s="103"/>
      <c r="ES110" s="79"/>
      <c r="ET110" s="103"/>
      <c r="EV110" s="79"/>
      <c r="EW110" s="103"/>
      <c r="EY110" s="79"/>
      <c r="EZ110" s="103"/>
      <c r="FB110" s="79"/>
      <c r="FC110" s="103"/>
      <c r="FE110" s="79"/>
      <c r="FF110" s="103"/>
      <c r="FH110" s="79"/>
      <c r="FI110" s="103"/>
      <c r="FK110" s="79"/>
      <c r="FL110" s="103"/>
      <c r="FN110" s="79"/>
      <c r="FO110" s="103"/>
      <c r="FQ110" s="79"/>
      <c r="FR110" s="103"/>
      <c r="FW110" s="79"/>
      <c r="FX110" s="103"/>
      <c r="FZ110" s="79"/>
      <c r="GA110" s="103"/>
      <c r="GC110" s="79"/>
      <c r="GD110" s="103"/>
      <c r="GF110" s="79"/>
      <c r="GG110" s="103"/>
      <c r="GI110" s="79"/>
      <c r="GJ110" s="103"/>
      <c r="GL110" s="79"/>
      <c r="GM110" s="103"/>
      <c r="GO110" s="79"/>
      <c r="GP110" s="103"/>
      <c r="GR110" s="79"/>
      <c r="GS110" s="103"/>
      <c r="GU110" s="79"/>
      <c r="GV110" s="103"/>
      <c r="GX110" s="79"/>
      <c r="GY110" s="103"/>
      <c r="HA110" s="79"/>
      <c r="HB110" s="103"/>
      <c r="HD110" s="79"/>
      <c r="HE110" s="103"/>
      <c r="HG110" s="79"/>
      <c r="HH110" s="103"/>
      <c r="HJ110" s="79"/>
      <c r="HK110" s="103"/>
      <c r="HM110" s="79"/>
      <c r="HN110" s="103"/>
      <c r="HP110" s="79"/>
      <c r="HQ110" s="103"/>
      <c r="HS110" s="79"/>
      <c r="HT110" s="103"/>
      <c r="HV110" s="79"/>
      <c r="HW110" s="103"/>
      <c r="HY110" s="79"/>
      <c r="HZ110" s="103"/>
      <c r="IB110" s="79"/>
      <c r="IC110" s="103"/>
      <c r="IE110" s="79"/>
      <c r="IF110" s="103"/>
      <c r="IH110" s="79"/>
      <c r="II110" s="103"/>
      <c r="IK110" s="79"/>
      <c r="IL110" s="103"/>
      <c r="IN110" s="79"/>
      <c r="IO110" s="103"/>
      <c r="IU110" s="103"/>
      <c r="IX110" s="103"/>
      <c r="JA110" s="103"/>
      <c r="JD110" s="103"/>
      <c r="JF110" s="79"/>
      <c r="JG110" s="103"/>
      <c r="JJ110" s="103"/>
      <c r="JM110" s="103"/>
      <c r="JP110" s="103"/>
      <c r="JS110" s="103"/>
      <c r="JV110" s="103"/>
      <c r="KB110" s="103"/>
      <c r="KE110" s="103"/>
      <c r="KH110" s="103"/>
      <c r="KK110" s="103"/>
      <c r="KN110" s="103"/>
      <c r="KQ110" s="103"/>
      <c r="KW110" s="103"/>
      <c r="LJ110" s="37"/>
    </row>
    <row r="1048556" spans="110:185">
      <c r="DF1048556" s="102" t="s">
        <v>36</v>
      </c>
      <c r="DL1048556" s="102" t="s">
        <v>37</v>
      </c>
      <c r="GC1048556" s="102" t="s">
        <v>38</v>
      </c>
    </row>
  </sheetData>
  <sheetProtection selectLockedCells="1"/>
  <sortState xmlns:xlrd2="http://schemas.microsoft.com/office/spreadsheetml/2017/richdata2" ref="C5:L52">
    <sortCondition ref="K5:K52"/>
    <sortCondition ref="H5:H52"/>
    <sortCondition ref="D5:D52"/>
  </sortState>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75" priority="1337" stopIfTrue="1" operator="lessThan">
      <formula>6</formula>
    </cfRule>
    <cfRule type="cellIs" dxfId="574" priority="1338" stopIfTrue="1" operator="equal">
      <formula>6</formula>
    </cfRule>
    <cfRule type="cellIs" dxfId="573" priority="1339" stopIfTrue="1" operator="greaterThan">
      <formula>6</formula>
    </cfRule>
  </conditionalFormatting>
  <conditionalFormatting sqref="A5:B103">
    <cfRule type="cellIs" dxfId="572" priority="1324" operator="greaterThan">
      <formula>$A$2</formula>
    </cfRule>
    <cfRule type="cellIs" dxfId="571" priority="1325" operator="equal">
      <formula>$A$2</formula>
    </cfRule>
    <cfRule type="cellIs" dxfId="570" priority="1326" operator="lessThan">
      <formula>$A$2</formula>
    </cfRule>
    <cfRule type="cellIs" dxfId="569" priority="1331" operator="greaterThan">
      <formula>4</formula>
    </cfRule>
    <cfRule type="cellIs" dxfId="568" priority="1332" operator="equal">
      <formula>4</formula>
    </cfRule>
    <cfRule type="cellIs" dxfId="567" priority="1333" operator="lessThan">
      <formula>4</formula>
    </cfRule>
  </conditionalFormatting>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66" priority="1328" operator="equal">
      <formula>$C$1</formula>
    </cfRule>
    <cfRule type="cellIs" dxfId="565" priority="1329" operator="lessThan">
      <formula>$C$1</formula>
    </cfRule>
    <cfRule type="cellIs" dxfId="564" priority="1330" operator="greaterThan">
      <formula>$C$1</formula>
    </cfRule>
  </conditionalFormatting>
  <conditionalFormatting sqref="B5:B103">
    <cfRule type="cellIs" dxfId="563" priority="1318" operator="greaterThan">
      <formula>A5</formula>
    </cfRule>
    <cfRule type="cellIs" dxfId="562" priority="1319" operator="equal">
      <formula>A5</formula>
    </cfRule>
    <cfRule type="cellIs" dxfId="561" priority="1320"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60" priority="1317"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59" priority="1314" operator="greaterThan">
      <formula>N1</formula>
    </cfRule>
    <cfRule type="cellIs" dxfId="558" priority="1315" operator="equal">
      <formula>N1</formula>
    </cfRule>
    <cfRule type="cellIs" dxfId="557" priority="1316" operator="lessThan">
      <formula>N1</formula>
    </cfRule>
  </conditionalFormatting>
  <conditionalFormatting sqref="FT2 FW2 FN2 FK2 EM2">
    <cfRule type="cellIs" dxfId="556" priority="1311" operator="greaterThan">
      <formula>EM1</formula>
    </cfRule>
    <cfRule type="cellIs" dxfId="555" priority="1312" operator="equal">
      <formula>EM1</formula>
    </cfRule>
    <cfRule type="cellIs" dxfId="554" priority="1313" operator="lessThan">
      <formula>EM1</formula>
    </cfRule>
  </conditionalFormatting>
  <conditionalFormatting sqref="B5">
    <cfRule type="cellIs" dxfId="553" priority="1180" operator="greaterThan">
      <formula>A5</formula>
    </cfRule>
    <cfRule type="cellIs" dxfId="552" priority="1181" operator="equal">
      <formula>A5</formula>
    </cfRule>
    <cfRule type="cellIs" dxfId="551" priority="1182" operator="lessThan">
      <formula>A5</formula>
    </cfRule>
  </conditionalFormatting>
  <conditionalFormatting sqref="FQ2">
    <cfRule type="cellIs" dxfId="550" priority="1090" operator="lessThan">
      <formula>FQ1</formula>
    </cfRule>
  </conditionalFormatting>
  <conditionalFormatting sqref="FQ2">
    <cfRule type="cellIs" dxfId="549" priority="1087" operator="greaterThan">
      <formula>FQ1</formula>
    </cfRule>
    <cfRule type="cellIs" dxfId="548" priority="1088" operator="equal">
      <formula>FQ1</formula>
    </cfRule>
    <cfRule type="cellIs" dxfId="547" priority="1089" operator="lessThan">
      <formula>FQ1</formula>
    </cfRule>
  </conditionalFormatting>
  <conditionalFormatting sqref="B6">
    <cfRule type="cellIs" dxfId="546" priority="942" operator="greaterThan">
      <formula>A6</formula>
    </cfRule>
    <cfRule type="cellIs" dxfId="545" priority="943" operator="equal">
      <formula>A6</formula>
    </cfRule>
    <cfRule type="cellIs" dxfId="544" priority="944" operator="lessThan">
      <formula>A6</formula>
    </cfRule>
  </conditionalFormatting>
  <conditionalFormatting sqref="IK2 IH2 HJ2 KY2 IQ2 GU2 IE2 HP2 FZ2 IB2 HG2 HV2 HM2 GF2 GR2 GC2 GI2 HY2 HD2 GO2 GL2 HS2 HA2 GX2">
    <cfRule type="cellIs" dxfId="543" priority="935" operator="lessThan">
      <formula>FZ1</formula>
    </cfRule>
  </conditionalFormatting>
  <conditionalFormatting sqref="GU2 IE2 HP2 FZ2 IB2 HG2 HV2 HM2 GF2 GR2 GC2 GI2 HY2 HD2 GO2 GL2 HS2 HA2 GX2">
    <cfRule type="cellIs" dxfId="542" priority="932" operator="greaterThan">
      <formula>FZ1</formula>
    </cfRule>
    <cfRule type="cellIs" dxfId="541" priority="933" operator="equal">
      <formula>FZ1</formula>
    </cfRule>
    <cfRule type="cellIs" dxfId="540" priority="934" operator="lessThan">
      <formula>FZ1</formula>
    </cfRule>
  </conditionalFormatting>
  <conditionalFormatting sqref="IQ2 KY2 IK2 IH2 HJ2">
    <cfRule type="cellIs" dxfId="539" priority="929" operator="greaterThan">
      <formula>HJ1</formula>
    </cfRule>
    <cfRule type="cellIs" dxfId="538" priority="930" operator="equal">
      <formula>HJ1</formula>
    </cfRule>
    <cfRule type="cellIs" dxfId="537" priority="931" operator="lessThan">
      <formula>HJ1</formula>
    </cfRule>
  </conditionalFormatting>
  <conditionalFormatting sqref="IN2">
    <cfRule type="cellIs" dxfId="536" priority="928" operator="lessThan">
      <formula>IN1</formula>
    </cfRule>
  </conditionalFormatting>
  <conditionalFormatting sqref="IN2">
    <cfRule type="cellIs" dxfId="535" priority="925" operator="greaterThan">
      <formula>IN1</formula>
    </cfRule>
    <cfRule type="cellIs" dxfId="534" priority="926" operator="equal">
      <formula>IN1</formula>
    </cfRule>
    <cfRule type="cellIs" dxfId="533" priority="927" operator="lessThan">
      <formula>IN1</formula>
    </cfRule>
  </conditionalFormatting>
  <conditionalFormatting sqref="B6">
    <cfRule type="cellIs" dxfId="532" priority="858" operator="greaterThan">
      <formula>A6</formula>
    </cfRule>
    <cfRule type="cellIs" dxfId="531" priority="859" operator="equal">
      <formula>A6</formula>
    </cfRule>
    <cfRule type="cellIs" dxfId="530" priority="860" operator="lessThan">
      <formula>A6</formula>
    </cfRule>
  </conditionalFormatting>
  <conditionalFormatting sqref="B5:B6">
    <cfRule type="cellIs" dxfId="529" priority="842" operator="greaterThan">
      <formula>A5</formula>
    </cfRule>
    <cfRule type="cellIs" dxfId="528" priority="843" operator="equal">
      <formula>A5</formula>
    </cfRule>
    <cfRule type="cellIs" dxfId="527" priority="844"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26" priority="841"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25" priority="838" operator="greaterThan">
      <formula>N1</formula>
    </cfRule>
    <cfRule type="cellIs" dxfId="524" priority="839" operator="equal">
      <formula>N1</formula>
    </cfRule>
    <cfRule type="cellIs" dxfId="523" priority="840" operator="lessThan">
      <formula>N1</formula>
    </cfRule>
  </conditionalFormatting>
  <conditionalFormatting sqref="FT2 FW2 FN2 FK2 EM2">
    <cfRule type="cellIs" dxfId="522" priority="835" operator="greaterThan">
      <formula>EM1</formula>
    </cfRule>
    <cfRule type="cellIs" dxfId="521" priority="836" operator="equal">
      <formula>EM1</formula>
    </cfRule>
    <cfRule type="cellIs" dxfId="520" priority="837" operator="lessThan">
      <formula>EM1</formula>
    </cfRule>
  </conditionalFormatting>
  <conditionalFormatting sqref="B5">
    <cfRule type="cellIs" dxfId="519" priority="829" operator="greaterThan">
      <formula>A5</formula>
    </cfRule>
    <cfRule type="cellIs" dxfId="518" priority="830" operator="equal">
      <formula>A5</formula>
    </cfRule>
    <cfRule type="cellIs" dxfId="517" priority="831" operator="lessThan">
      <formula>A5</formula>
    </cfRule>
  </conditionalFormatting>
  <conditionalFormatting sqref="FQ2">
    <cfRule type="cellIs" dxfId="516" priority="828" operator="lessThan">
      <formula>FQ1</formula>
    </cfRule>
  </conditionalFormatting>
  <conditionalFormatting sqref="FQ2">
    <cfRule type="cellIs" dxfId="515" priority="825" operator="greaterThan">
      <formula>FQ1</formula>
    </cfRule>
    <cfRule type="cellIs" dxfId="514" priority="826" operator="equal">
      <formula>FQ1</formula>
    </cfRule>
    <cfRule type="cellIs" dxfId="513" priority="827" operator="lessThan">
      <formula>FQ1</formula>
    </cfRule>
  </conditionalFormatting>
  <conditionalFormatting sqref="B6">
    <cfRule type="cellIs" dxfId="512" priority="822" operator="greaterThan">
      <formula>A6</formula>
    </cfRule>
    <cfRule type="cellIs" dxfId="511" priority="823" operator="equal">
      <formula>A6</formula>
    </cfRule>
    <cfRule type="cellIs" dxfId="510" priority="824" operator="lessThan">
      <formula>A6</formula>
    </cfRule>
  </conditionalFormatting>
  <conditionalFormatting sqref="IK2 IH2 HJ2 KY2 IQ2 GU2 IE2 HP2 FZ2 IB2 HG2 HV2 HM2 GF2 GR2 GC2 GI2 HY2 HD2 GO2 GL2 HS2 HA2 GX2">
    <cfRule type="cellIs" dxfId="509" priority="815" operator="lessThan">
      <formula>FZ1</formula>
    </cfRule>
  </conditionalFormatting>
  <conditionalFormatting sqref="GU2 IE2 HP2 FZ2 IB2 HG2 HV2 HM2 GF2 GR2 GC2 GI2 HY2 HD2 GO2 GL2 HS2 HA2 GX2">
    <cfRule type="cellIs" dxfId="508" priority="812" operator="greaterThan">
      <formula>FZ1</formula>
    </cfRule>
    <cfRule type="cellIs" dxfId="507" priority="813" operator="equal">
      <formula>FZ1</formula>
    </cfRule>
    <cfRule type="cellIs" dxfId="506" priority="814" operator="lessThan">
      <formula>FZ1</formula>
    </cfRule>
  </conditionalFormatting>
  <conditionalFormatting sqref="IQ2 KY2 IK2 IH2 HJ2">
    <cfRule type="cellIs" dxfId="505" priority="809" operator="greaterThan">
      <formula>HJ1</formula>
    </cfRule>
    <cfRule type="cellIs" dxfId="504" priority="810" operator="equal">
      <formula>HJ1</formula>
    </cfRule>
    <cfRule type="cellIs" dxfId="503" priority="811" operator="lessThan">
      <formula>HJ1</formula>
    </cfRule>
  </conditionalFormatting>
  <conditionalFormatting sqref="IN2">
    <cfRule type="cellIs" dxfId="502" priority="808" operator="lessThan">
      <formula>IN1</formula>
    </cfRule>
  </conditionalFormatting>
  <conditionalFormatting sqref="IN2">
    <cfRule type="cellIs" dxfId="501" priority="805" operator="greaterThan">
      <formula>IN1</formula>
    </cfRule>
    <cfRule type="cellIs" dxfId="500" priority="806" operator="equal">
      <formula>IN1</formula>
    </cfRule>
    <cfRule type="cellIs" dxfId="499" priority="807" operator="lessThan">
      <formula>IN1</formula>
    </cfRule>
  </conditionalFormatting>
  <conditionalFormatting sqref="B6">
    <cfRule type="cellIs" dxfId="498" priority="738" operator="greaterThan">
      <formula>A6</formula>
    </cfRule>
    <cfRule type="cellIs" dxfId="497" priority="739" operator="equal">
      <formula>A6</formula>
    </cfRule>
    <cfRule type="cellIs" dxfId="496" priority="740" operator="lessThan">
      <formula>A6</formula>
    </cfRule>
  </conditionalFormatting>
  <conditionalFormatting sqref="EM2">
    <cfRule type="cellIs" dxfId="495" priority="701" operator="greaterThan">
      <formula>EM1</formula>
    </cfRule>
    <cfRule type="cellIs" dxfId="494" priority="702" operator="equal">
      <formula>EM1</formula>
    </cfRule>
    <cfRule type="cellIs" dxfId="493" priority="703" operator="lessThan">
      <formula>EM1</formula>
    </cfRule>
  </conditionalFormatting>
  <conditionalFormatting sqref="EM2">
    <cfRule type="cellIs" dxfId="492" priority="698" operator="greaterThan">
      <formula>EM1</formula>
    </cfRule>
    <cfRule type="cellIs" dxfId="491" priority="699" operator="equal">
      <formula>EM1</formula>
    </cfRule>
    <cfRule type="cellIs" dxfId="490" priority="700" operator="lessThan">
      <formula>EM1</formula>
    </cfRule>
  </conditionalFormatting>
  <conditionalFormatting sqref="FK2">
    <cfRule type="cellIs" dxfId="489" priority="695" operator="greaterThan">
      <formula>FK1</formula>
    </cfRule>
    <cfRule type="cellIs" dxfId="488" priority="696" operator="equal">
      <formula>FK1</formula>
    </cfRule>
    <cfRule type="cellIs" dxfId="487" priority="697" operator="lessThan">
      <formula>FK1</formula>
    </cfRule>
  </conditionalFormatting>
  <conditionalFormatting sqref="FK2">
    <cfRule type="cellIs" dxfId="486" priority="692" operator="greaterThan">
      <formula>FK1</formula>
    </cfRule>
    <cfRule type="cellIs" dxfId="485" priority="693" operator="equal">
      <formula>FK1</formula>
    </cfRule>
    <cfRule type="cellIs" dxfId="484" priority="694" operator="lessThan">
      <formula>FK1</formula>
    </cfRule>
  </conditionalFormatting>
  <conditionalFormatting sqref="FN2">
    <cfRule type="cellIs" dxfId="483" priority="689" operator="greaterThan">
      <formula>FN1</formula>
    </cfRule>
    <cfRule type="cellIs" dxfId="482" priority="690" operator="equal">
      <formula>FN1</formula>
    </cfRule>
    <cfRule type="cellIs" dxfId="481" priority="691" operator="lessThan">
      <formula>FN1</formula>
    </cfRule>
  </conditionalFormatting>
  <conditionalFormatting sqref="FN2">
    <cfRule type="cellIs" dxfId="480" priority="686" operator="greaterThan">
      <formula>FN1</formula>
    </cfRule>
    <cfRule type="cellIs" dxfId="479" priority="687" operator="equal">
      <formula>FN1</formula>
    </cfRule>
    <cfRule type="cellIs" dxfId="478" priority="688" operator="lessThan">
      <formula>FN1</formula>
    </cfRule>
  </conditionalFormatting>
  <conditionalFormatting sqref="FQ2">
    <cfRule type="cellIs" dxfId="477" priority="685" operator="lessThan">
      <formula>FQ1</formula>
    </cfRule>
  </conditionalFormatting>
  <conditionalFormatting sqref="FQ2">
    <cfRule type="cellIs" dxfId="476" priority="682" operator="greaterThan">
      <formula>FQ1</formula>
    </cfRule>
    <cfRule type="cellIs" dxfId="475" priority="683" operator="equal">
      <formula>FQ1</formula>
    </cfRule>
    <cfRule type="cellIs" dxfId="474" priority="684" operator="lessThan">
      <formula>FQ1</formula>
    </cfRule>
  </conditionalFormatting>
  <conditionalFormatting sqref="FQ2">
    <cfRule type="cellIs" dxfId="473" priority="681" operator="lessThan">
      <formula>FQ1</formula>
    </cfRule>
  </conditionalFormatting>
  <conditionalFormatting sqref="FQ2">
    <cfRule type="cellIs" dxfId="472" priority="678" operator="greaterThan">
      <formula>FQ1</formula>
    </cfRule>
    <cfRule type="cellIs" dxfId="471" priority="679" operator="equal">
      <formula>FQ1</formula>
    </cfRule>
    <cfRule type="cellIs" dxfId="470" priority="680" operator="lessThan">
      <formula>FQ1</formula>
    </cfRule>
  </conditionalFormatting>
  <conditionalFormatting sqref="FT2">
    <cfRule type="cellIs" dxfId="469" priority="675" operator="greaterThan">
      <formula>FT1</formula>
    </cfRule>
    <cfRule type="cellIs" dxfId="468" priority="676" operator="equal">
      <formula>FT1</formula>
    </cfRule>
    <cfRule type="cellIs" dxfId="467" priority="677" operator="lessThan">
      <formula>FT1</formula>
    </cfRule>
  </conditionalFormatting>
  <conditionalFormatting sqref="FT2">
    <cfRule type="cellIs" dxfId="466" priority="672" operator="greaterThan">
      <formula>FT1</formula>
    </cfRule>
    <cfRule type="cellIs" dxfId="465" priority="673" operator="equal">
      <formula>FT1</formula>
    </cfRule>
    <cfRule type="cellIs" dxfId="464" priority="674" operator="lessThan">
      <formula>FT1</formula>
    </cfRule>
  </conditionalFormatting>
  <conditionalFormatting sqref="FW2">
    <cfRule type="cellIs" dxfId="463" priority="669" operator="greaterThan">
      <formula>FW1</formula>
    </cfRule>
    <cfRule type="cellIs" dxfId="462" priority="670" operator="equal">
      <formula>FW1</formula>
    </cfRule>
    <cfRule type="cellIs" dxfId="461" priority="671" operator="lessThan">
      <formula>FW1</formula>
    </cfRule>
  </conditionalFormatting>
  <conditionalFormatting sqref="FW2">
    <cfRule type="cellIs" dxfId="460" priority="666" operator="greaterThan">
      <formula>FW1</formula>
    </cfRule>
    <cfRule type="cellIs" dxfId="459" priority="667" operator="equal">
      <formula>FW1</formula>
    </cfRule>
    <cfRule type="cellIs" dxfId="458" priority="668" operator="lessThan">
      <formula>FW1</formula>
    </cfRule>
  </conditionalFormatting>
  <conditionalFormatting sqref="FZ2">
    <cfRule type="cellIs" dxfId="457" priority="665" operator="lessThan">
      <formula>FZ1</formula>
    </cfRule>
  </conditionalFormatting>
  <conditionalFormatting sqref="FZ2">
    <cfRule type="cellIs" dxfId="456" priority="662" operator="greaterThan">
      <formula>FZ1</formula>
    </cfRule>
    <cfRule type="cellIs" dxfId="455" priority="663" operator="equal">
      <formula>FZ1</formula>
    </cfRule>
    <cfRule type="cellIs" dxfId="454" priority="664" operator="lessThan">
      <formula>FZ1</formula>
    </cfRule>
  </conditionalFormatting>
  <conditionalFormatting sqref="FZ2">
    <cfRule type="cellIs" dxfId="453" priority="661" operator="lessThan">
      <formula>FZ1</formula>
    </cfRule>
  </conditionalFormatting>
  <conditionalFormatting sqref="FZ2">
    <cfRule type="cellIs" dxfId="452" priority="658" operator="greaterThan">
      <formula>FZ1</formula>
    </cfRule>
    <cfRule type="cellIs" dxfId="451" priority="659" operator="equal">
      <formula>FZ1</formula>
    </cfRule>
    <cfRule type="cellIs" dxfId="450" priority="660" operator="lessThan">
      <formula>FZ1</formula>
    </cfRule>
  </conditionalFormatting>
  <conditionalFormatting sqref="GC2">
    <cfRule type="cellIs" dxfId="449" priority="657" operator="lessThan">
      <formula>GC1</formula>
    </cfRule>
  </conditionalFormatting>
  <conditionalFormatting sqref="GC2">
    <cfRule type="cellIs" dxfId="448" priority="654" operator="greaterThan">
      <formula>GC1</formula>
    </cfRule>
    <cfRule type="cellIs" dxfId="447" priority="655" operator="equal">
      <formula>GC1</formula>
    </cfRule>
    <cfRule type="cellIs" dxfId="446" priority="656" operator="lessThan">
      <formula>GC1</formula>
    </cfRule>
  </conditionalFormatting>
  <conditionalFormatting sqref="GC2">
    <cfRule type="cellIs" dxfId="445" priority="653" operator="lessThan">
      <formula>GC1</formula>
    </cfRule>
  </conditionalFormatting>
  <conditionalFormatting sqref="GC2">
    <cfRule type="cellIs" dxfId="444" priority="650" operator="greaterThan">
      <formula>GC1</formula>
    </cfRule>
    <cfRule type="cellIs" dxfId="443" priority="651" operator="equal">
      <formula>GC1</formula>
    </cfRule>
    <cfRule type="cellIs" dxfId="442" priority="652" operator="lessThan">
      <formula>GC1</formula>
    </cfRule>
  </conditionalFormatting>
  <conditionalFormatting sqref="GF2">
    <cfRule type="cellIs" dxfId="441" priority="649" operator="lessThan">
      <formula>GF1</formula>
    </cfRule>
  </conditionalFormatting>
  <conditionalFormatting sqref="GF2">
    <cfRule type="cellIs" dxfId="440" priority="646" operator="greaterThan">
      <formula>GF1</formula>
    </cfRule>
    <cfRule type="cellIs" dxfId="439" priority="647" operator="equal">
      <formula>GF1</formula>
    </cfRule>
    <cfRule type="cellIs" dxfId="438" priority="648" operator="lessThan">
      <formula>GF1</formula>
    </cfRule>
  </conditionalFormatting>
  <conditionalFormatting sqref="GF2">
    <cfRule type="cellIs" dxfId="437" priority="645" operator="lessThan">
      <formula>GF1</formula>
    </cfRule>
  </conditionalFormatting>
  <conditionalFormatting sqref="GF2">
    <cfRule type="cellIs" dxfId="436" priority="642" operator="greaterThan">
      <formula>GF1</formula>
    </cfRule>
    <cfRule type="cellIs" dxfId="435" priority="643" operator="equal">
      <formula>GF1</formula>
    </cfRule>
    <cfRule type="cellIs" dxfId="434" priority="644" operator="lessThan">
      <formula>GF1</formula>
    </cfRule>
  </conditionalFormatting>
  <conditionalFormatting sqref="GI2">
    <cfRule type="cellIs" dxfId="433" priority="641" operator="lessThan">
      <formula>GI1</formula>
    </cfRule>
  </conditionalFormatting>
  <conditionalFormatting sqref="GI2">
    <cfRule type="cellIs" dxfId="432" priority="638" operator="greaterThan">
      <formula>GI1</formula>
    </cfRule>
    <cfRule type="cellIs" dxfId="431" priority="639" operator="equal">
      <formula>GI1</formula>
    </cfRule>
    <cfRule type="cellIs" dxfId="430" priority="640" operator="lessThan">
      <formula>GI1</formula>
    </cfRule>
  </conditionalFormatting>
  <conditionalFormatting sqref="GI2">
    <cfRule type="cellIs" dxfId="429" priority="637" operator="lessThan">
      <formula>GI1</formula>
    </cfRule>
  </conditionalFormatting>
  <conditionalFormatting sqref="GI2">
    <cfRule type="cellIs" dxfId="428" priority="634" operator="greaterThan">
      <formula>GI1</formula>
    </cfRule>
    <cfRule type="cellIs" dxfId="427" priority="635" operator="equal">
      <formula>GI1</formula>
    </cfRule>
    <cfRule type="cellIs" dxfId="426" priority="636" operator="lessThan">
      <formula>GI1</formula>
    </cfRule>
  </conditionalFormatting>
  <conditionalFormatting sqref="GL2">
    <cfRule type="cellIs" dxfId="425" priority="633" operator="lessThan">
      <formula>GL1</formula>
    </cfRule>
  </conditionalFormatting>
  <conditionalFormatting sqref="GL2">
    <cfRule type="cellIs" dxfId="424" priority="630" operator="greaterThan">
      <formula>GL1</formula>
    </cfRule>
    <cfRule type="cellIs" dxfId="423" priority="631" operator="equal">
      <formula>GL1</formula>
    </cfRule>
    <cfRule type="cellIs" dxfId="422" priority="632" operator="lessThan">
      <formula>GL1</formula>
    </cfRule>
  </conditionalFormatting>
  <conditionalFormatting sqref="GL2">
    <cfRule type="cellIs" dxfId="421" priority="629" operator="lessThan">
      <formula>GL1</formula>
    </cfRule>
  </conditionalFormatting>
  <conditionalFormatting sqref="GL2">
    <cfRule type="cellIs" dxfId="420" priority="626" operator="greaterThan">
      <formula>GL1</formula>
    </cfRule>
    <cfRule type="cellIs" dxfId="419" priority="627" operator="equal">
      <formula>GL1</formula>
    </cfRule>
    <cfRule type="cellIs" dxfId="418" priority="628" operator="lessThan">
      <formula>GL1</formula>
    </cfRule>
  </conditionalFormatting>
  <conditionalFormatting sqref="GO2">
    <cfRule type="cellIs" dxfId="417" priority="625" operator="lessThan">
      <formula>GO1</formula>
    </cfRule>
  </conditionalFormatting>
  <conditionalFormatting sqref="GO2">
    <cfRule type="cellIs" dxfId="416" priority="622" operator="greaterThan">
      <formula>GO1</formula>
    </cfRule>
    <cfRule type="cellIs" dxfId="415" priority="623" operator="equal">
      <formula>GO1</formula>
    </cfRule>
    <cfRule type="cellIs" dxfId="414" priority="624" operator="lessThan">
      <formula>GO1</formula>
    </cfRule>
  </conditionalFormatting>
  <conditionalFormatting sqref="GO2">
    <cfRule type="cellIs" dxfId="413" priority="621" operator="lessThan">
      <formula>GO1</formula>
    </cfRule>
  </conditionalFormatting>
  <conditionalFormatting sqref="GO2">
    <cfRule type="cellIs" dxfId="412" priority="618" operator="greaterThan">
      <formula>GO1</formula>
    </cfRule>
    <cfRule type="cellIs" dxfId="411" priority="619" operator="equal">
      <formula>GO1</formula>
    </cfRule>
    <cfRule type="cellIs" dxfId="410" priority="620" operator="lessThan">
      <formula>GO1</formula>
    </cfRule>
  </conditionalFormatting>
  <conditionalFormatting sqref="GR2">
    <cfRule type="cellIs" dxfId="409" priority="617" operator="lessThan">
      <formula>GR1</formula>
    </cfRule>
  </conditionalFormatting>
  <conditionalFormatting sqref="GR2">
    <cfRule type="cellIs" dxfId="408" priority="614" operator="greaterThan">
      <formula>GR1</formula>
    </cfRule>
    <cfRule type="cellIs" dxfId="407" priority="615" operator="equal">
      <formula>GR1</formula>
    </cfRule>
    <cfRule type="cellIs" dxfId="406" priority="616" operator="lessThan">
      <formula>GR1</formula>
    </cfRule>
  </conditionalFormatting>
  <conditionalFormatting sqref="GR2">
    <cfRule type="cellIs" dxfId="405" priority="613" operator="lessThan">
      <formula>GR1</formula>
    </cfRule>
  </conditionalFormatting>
  <conditionalFormatting sqref="GR2">
    <cfRule type="cellIs" dxfId="404" priority="610" operator="greaterThan">
      <formula>GR1</formula>
    </cfRule>
    <cfRule type="cellIs" dxfId="403" priority="611" operator="equal">
      <formula>GR1</formula>
    </cfRule>
    <cfRule type="cellIs" dxfId="402" priority="612" operator="lessThan">
      <formula>GR1</formula>
    </cfRule>
  </conditionalFormatting>
  <conditionalFormatting sqref="GU2">
    <cfRule type="cellIs" dxfId="401" priority="609" operator="lessThan">
      <formula>GU1</formula>
    </cfRule>
  </conditionalFormatting>
  <conditionalFormatting sqref="GU2">
    <cfRule type="cellIs" dxfId="400" priority="606" operator="greaterThan">
      <formula>GU1</formula>
    </cfRule>
    <cfRule type="cellIs" dxfId="399" priority="607" operator="equal">
      <formula>GU1</formula>
    </cfRule>
    <cfRule type="cellIs" dxfId="398" priority="608" operator="lessThan">
      <formula>GU1</formula>
    </cfRule>
  </conditionalFormatting>
  <conditionalFormatting sqref="GU2">
    <cfRule type="cellIs" dxfId="397" priority="605" operator="lessThan">
      <formula>GU1</formula>
    </cfRule>
  </conditionalFormatting>
  <conditionalFormatting sqref="GU2">
    <cfRule type="cellIs" dxfId="396" priority="602" operator="greaterThan">
      <formula>GU1</formula>
    </cfRule>
    <cfRule type="cellIs" dxfId="395" priority="603" operator="equal">
      <formula>GU1</formula>
    </cfRule>
    <cfRule type="cellIs" dxfId="394" priority="604" operator="lessThan">
      <formula>GU1</formula>
    </cfRule>
  </conditionalFormatting>
  <conditionalFormatting sqref="GX2">
    <cfRule type="cellIs" dxfId="393" priority="601" operator="lessThan">
      <formula>GX1</formula>
    </cfRule>
  </conditionalFormatting>
  <conditionalFormatting sqref="GX2">
    <cfRule type="cellIs" dxfId="392" priority="598" operator="greaterThan">
      <formula>GX1</formula>
    </cfRule>
    <cfRule type="cellIs" dxfId="391" priority="599" operator="equal">
      <formula>GX1</formula>
    </cfRule>
    <cfRule type="cellIs" dxfId="390" priority="600" operator="lessThan">
      <formula>GX1</formula>
    </cfRule>
  </conditionalFormatting>
  <conditionalFormatting sqref="GX2">
    <cfRule type="cellIs" dxfId="389" priority="597" operator="lessThan">
      <formula>GX1</formula>
    </cfRule>
  </conditionalFormatting>
  <conditionalFormatting sqref="GX2">
    <cfRule type="cellIs" dxfId="388" priority="594" operator="greaterThan">
      <formula>GX1</formula>
    </cfRule>
    <cfRule type="cellIs" dxfId="387" priority="595" operator="equal">
      <formula>GX1</formula>
    </cfRule>
    <cfRule type="cellIs" dxfId="386" priority="596" operator="lessThan">
      <formula>GX1</formula>
    </cfRule>
  </conditionalFormatting>
  <conditionalFormatting sqref="HA2">
    <cfRule type="cellIs" dxfId="385" priority="593" operator="lessThan">
      <formula>HA1</formula>
    </cfRule>
  </conditionalFormatting>
  <conditionalFormatting sqref="HA2">
    <cfRule type="cellIs" dxfId="384" priority="590" operator="greaterThan">
      <formula>HA1</formula>
    </cfRule>
    <cfRule type="cellIs" dxfId="383" priority="591" operator="equal">
      <formula>HA1</formula>
    </cfRule>
    <cfRule type="cellIs" dxfId="382" priority="592" operator="lessThan">
      <formula>HA1</formula>
    </cfRule>
  </conditionalFormatting>
  <conditionalFormatting sqref="HA2">
    <cfRule type="cellIs" dxfId="381" priority="589" operator="lessThan">
      <formula>HA1</formula>
    </cfRule>
  </conditionalFormatting>
  <conditionalFormatting sqref="HA2">
    <cfRule type="cellIs" dxfId="380" priority="586" operator="greaterThan">
      <formula>HA1</formula>
    </cfRule>
    <cfRule type="cellIs" dxfId="379" priority="587" operator="equal">
      <formula>HA1</formula>
    </cfRule>
    <cfRule type="cellIs" dxfId="378" priority="588" operator="lessThan">
      <formula>HA1</formula>
    </cfRule>
  </conditionalFormatting>
  <conditionalFormatting sqref="HD2">
    <cfRule type="cellIs" dxfId="377" priority="585" operator="lessThan">
      <formula>HD1</formula>
    </cfRule>
  </conditionalFormatting>
  <conditionalFormatting sqref="HD2">
    <cfRule type="cellIs" dxfId="376" priority="582" operator="greaterThan">
      <formula>HD1</formula>
    </cfRule>
    <cfRule type="cellIs" dxfId="375" priority="583" operator="equal">
      <formula>HD1</formula>
    </cfRule>
    <cfRule type="cellIs" dxfId="374" priority="584" operator="lessThan">
      <formula>HD1</formula>
    </cfRule>
  </conditionalFormatting>
  <conditionalFormatting sqref="HD2">
    <cfRule type="cellIs" dxfId="373" priority="581" operator="lessThan">
      <formula>HD1</formula>
    </cfRule>
  </conditionalFormatting>
  <conditionalFormatting sqref="HD2">
    <cfRule type="cellIs" dxfId="372" priority="578" operator="greaterThan">
      <formula>HD1</formula>
    </cfRule>
    <cfRule type="cellIs" dxfId="371" priority="579" operator="equal">
      <formula>HD1</formula>
    </cfRule>
    <cfRule type="cellIs" dxfId="370" priority="580" operator="lessThan">
      <formula>HD1</formula>
    </cfRule>
  </conditionalFormatting>
  <conditionalFormatting sqref="HG2">
    <cfRule type="cellIs" dxfId="369" priority="577" operator="lessThan">
      <formula>HG1</formula>
    </cfRule>
  </conditionalFormatting>
  <conditionalFormatting sqref="HG2">
    <cfRule type="cellIs" dxfId="368" priority="574" operator="greaterThan">
      <formula>HG1</formula>
    </cfRule>
    <cfRule type="cellIs" dxfId="367" priority="575" operator="equal">
      <formula>HG1</formula>
    </cfRule>
    <cfRule type="cellIs" dxfId="366" priority="576" operator="lessThan">
      <formula>HG1</formula>
    </cfRule>
  </conditionalFormatting>
  <conditionalFormatting sqref="HG2">
    <cfRule type="cellIs" dxfId="365" priority="573" operator="lessThan">
      <formula>HG1</formula>
    </cfRule>
  </conditionalFormatting>
  <conditionalFormatting sqref="HG2">
    <cfRule type="cellIs" dxfId="364" priority="570" operator="greaterThan">
      <formula>HG1</formula>
    </cfRule>
    <cfRule type="cellIs" dxfId="363" priority="571" operator="equal">
      <formula>HG1</formula>
    </cfRule>
    <cfRule type="cellIs" dxfId="362" priority="572" operator="lessThan">
      <formula>HG1</formula>
    </cfRule>
  </conditionalFormatting>
  <conditionalFormatting sqref="HJ2">
    <cfRule type="cellIs" dxfId="361" priority="569" operator="lessThan">
      <formula>HJ1</formula>
    </cfRule>
  </conditionalFormatting>
  <conditionalFormatting sqref="HJ2">
    <cfRule type="cellIs" dxfId="360" priority="566" operator="greaterThan">
      <formula>HJ1</formula>
    </cfRule>
    <cfRule type="cellIs" dxfId="359" priority="567" operator="equal">
      <formula>HJ1</formula>
    </cfRule>
    <cfRule type="cellIs" dxfId="358" priority="568" operator="lessThan">
      <formula>HJ1</formula>
    </cfRule>
  </conditionalFormatting>
  <conditionalFormatting sqref="HJ2">
    <cfRule type="cellIs" dxfId="357" priority="565" operator="lessThan">
      <formula>HJ1</formula>
    </cfRule>
  </conditionalFormatting>
  <conditionalFormatting sqref="HJ2">
    <cfRule type="cellIs" dxfId="356" priority="562" operator="greaterThan">
      <formula>HJ1</formula>
    </cfRule>
    <cfRule type="cellIs" dxfId="355" priority="563" operator="equal">
      <formula>HJ1</formula>
    </cfRule>
    <cfRule type="cellIs" dxfId="354" priority="564" operator="lessThan">
      <formula>HJ1</formula>
    </cfRule>
  </conditionalFormatting>
  <conditionalFormatting sqref="HM2">
    <cfRule type="cellIs" dxfId="353" priority="561" operator="lessThan">
      <formula>HM1</formula>
    </cfRule>
  </conditionalFormatting>
  <conditionalFormatting sqref="HM2">
    <cfRule type="cellIs" dxfId="352" priority="558" operator="greaterThan">
      <formula>HM1</formula>
    </cfRule>
    <cfRule type="cellIs" dxfId="351" priority="559" operator="equal">
      <formula>HM1</formula>
    </cfRule>
    <cfRule type="cellIs" dxfId="350" priority="560" operator="lessThan">
      <formula>HM1</formula>
    </cfRule>
  </conditionalFormatting>
  <conditionalFormatting sqref="HM2">
    <cfRule type="cellIs" dxfId="349" priority="557" operator="lessThan">
      <formula>HM1</formula>
    </cfRule>
  </conditionalFormatting>
  <conditionalFormatting sqref="HM2">
    <cfRule type="cellIs" dxfId="348" priority="554" operator="greaterThan">
      <formula>HM1</formula>
    </cfRule>
    <cfRule type="cellIs" dxfId="347" priority="555" operator="equal">
      <formula>HM1</formula>
    </cfRule>
    <cfRule type="cellIs" dxfId="346" priority="556" operator="lessThan">
      <formula>HM1</formula>
    </cfRule>
  </conditionalFormatting>
  <conditionalFormatting sqref="HP2">
    <cfRule type="cellIs" dxfId="345" priority="553" operator="lessThan">
      <formula>HP1</formula>
    </cfRule>
  </conditionalFormatting>
  <conditionalFormatting sqref="HP2">
    <cfRule type="cellIs" dxfId="344" priority="550" operator="greaterThan">
      <formula>HP1</formula>
    </cfRule>
    <cfRule type="cellIs" dxfId="343" priority="551" operator="equal">
      <formula>HP1</formula>
    </cfRule>
    <cfRule type="cellIs" dxfId="342" priority="552" operator="lessThan">
      <formula>HP1</formula>
    </cfRule>
  </conditionalFormatting>
  <conditionalFormatting sqref="HP2">
    <cfRule type="cellIs" dxfId="341" priority="549" operator="lessThan">
      <formula>HP1</formula>
    </cfRule>
  </conditionalFormatting>
  <conditionalFormatting sqref="HP2">
    <cfRule type="cellIs" dxfId="340" priority="546" operator="greaterThan">
      <formula>HP1</formula>
    </cfRule>
    <cfRule type="cellIs" dxfId="339" priority="547" operator="equal">
      <formula>HP1</formula>
    </cfRule>
    <cfRule type="cellIs" dxfId="338" priority="548" operator="lessThan">
      <formula>HP1</formula>
    </cfRule>
  </conditionalFormatting>
  <conditionalFormatting sqref="HS2">
    <cfRule type="cellIs" dxfId="337" priority="545" operator="lessThan">
      <formula>HS1</formula>
    </cfRule>
  </conditionalFormatting>
  <conditionalFormatting sqref="HS2">
    <cfRule type="cellIs" dxfId="336" priority="542" operator="greaterThan">
      <formula>HS1</formula>
    </cfRule>
    <cfRule type="cellIs" dxfId="335" priority="543" operator="equal">
      <formula>HS1</formula>
    </cfRule>
    <cfRule type="cellIs" dxfId="334" priority="544" operator="lessThan">
      <formula>HS1</formula>
    </cfRule>
  </conditionalFormatting>
  <conditionalFormatting sqref="HS2">
    <cfRule type="cellIs" dxfId="333" priority="541" operator="lessThan">
      <formula>HS1</formula>
    </cfRule>
  </conditionalFormatting>
  <conditionalFormatting sqref="HS2">
    <cfRule type="cellIs" dxfId="332" priority="538" operator="greaterThan">
      <formula>HS1</formula>
    </cfRule>
    <cfRule type="cellIs" dxfId="331" priority="539" operator="equal">
      <formula>HS1</formula>
    </cfRule>
    <cfRule type="cellIs" dxfId="330" priority="540" operator="lessThan">
      <formula>HS1</formula>
    </cfRule>
  </conditionalFormatting>
  <conditionalFormatting sqref="HV2">
    <cfRule type="cellIs" dxfId="329" priority="537" operator="lessThan">
      <formula>HV1</formula>
    </cfRule>
  </conditionalFormatting>
  <conditionalFormatting sqref="HV2">
    <cfRule type="cellIs" dxfId="328" priority="534" operator="greaterThan">
      <formula>HV1</formula>
    </cfRule>
    <cfRule type="cellIs" dxfId="327" priority="535" operator="equal">
      <formula>HV1</formula>
    </cfRule>
    <cfRule type="cellIs" dxfId="326" priority="536" operator="lessThan">
      <formula>HV1</formula>
    </cfRule>
  </conditionalFormatting>
  <conditionalFormatting sqref="HV2">
    <cfRule type="cellIs" dxfId="325" priority="533" operator="lessThan">
      <formula>HV1</formula>
    </cfRule>
  </conditionalFormatting>
  <conditionalFormatting sqref="HV2">
    <cfRule type="cellIs" dxfId="324" priority="530" operator="greaterThan">
      <formula>HV1</formula>
    </cfRule>
    <cfRule type="cellIs" dxfId="323" priority="531" operator="equal">
      <formula>HV1</formula>
    </cfRule>
    <cfRule type="cellIs" dxfId="322" priority="532" operator="lessThan">
      <formula>HV1</formula>
    </cfRule>
  </conditionalFormatting>
  <conditionalFormatting sqref="HY2">
    <cfRule type="cellIs" dxfId="321" priority="529" operator="lessThan">
      <formula>HY1</formula>
    </cfRule>
  </conditionalFormatting>
  <conditionalFormatting sqref="HY2">
    <cfRule type="cellIs" dxfId="320" priority="526" operator="greaterThan">
      <formula>HY1</formula>
    </cfRule>
    <cfRule type="cellIs" dxfId="319" priority="527" operator="equal">
      <formula>HY1</formula>
    </cfRule>
    <cfRule type="cellIs" dxfId="318" priority="528" operator="lessThan">
      <formula>HY1</formula>
    </cfRule>
  </conditionalFormatting>
  <conditionalFormatting sqref="HY2">
    <cfRule type="cellIs" dxfId="317" priority="525" operator="lessThan">
      <formula>HY1</formula>
    </cfRule>
  </conditionalFormatting>
  <conditionalFormatting sqref="HY2">
    <cfRule type="cellIs" dxfId="316" priority="522" operator="greaterThan">
      <formula>HY1</formula>
    </cfRule>
    <cfRule type="cellIs" dxfId="315" priority="523" operator="equal">
      <formula>HY1</formula>
    </cfRule>
    <cfRule type="cellIs" dxfId="314" priority="524" operator="lessThan">
      <formula>HY1</formula>
    </cfRule>
  </conditionalFormatting>
  <conditionalFormatting sqref="IB2">
    <cfRule type="cellIs" dxfId="313" priority="521" operator="lessThan">
      <formula>IB1</formula>
    </cfRule>
  </conditionalFormatting>
  <conditionalFormatting sqref="IB2">
    <cfRule type="cellIs" dxfId="312" priority="518" operator="greaterThan">
      <formula>IB1</formula>
    </cfRule>
    <cfRule type="cellIs" dxfId="311" priority="519" operator="equal">
      <formula>IB1</formula>
    </cfRule>
    <cfRule type="cellIs" dxfId="310" priority="520" operator="lessThan">
      <formula>IB1</formula>
    </cfRule>
  </conditionalFormatting>
  <conditionalFormatting sqref="IB2">
    <cfRule type="cellIs" dxfId="309" priority="517" operator="lessThan">
      <formula>IB1</formula>
    </cfRule>
  </conditionalFormatting>
  <conditionalFormatting sqref="IB2">
    <cfRule type="cellIs" dxfId="308" priority="514" operator="greaterThan">
      <formula>IB1</formula>
    </cfRule>
    <cfRule type="cellIs" dxfId="307" priority="515" operator="equal">
      <formula>IB1</formula>
    </cfRule>
    <cfRule type="cellIs" dxfId="306" priority="516" operator="lessThan">
      <formula>IB1</formula>
    </cfRule>
  </conditionalFormatting>
  <conditionalFormatting sqref="IE2">
    <cfRule type="cellIs" dxfId="305" priority="513" operator="lessThan">
      <formula>IE1</formula>
    </cfRule>
  </conditionalFormatting>
  <conditionalFormatting sqref="IE2">
    <cfRule type="cellIs" dxfId="304" priority="510" operator="greaterThan">
      <formula>IE1</formula>
    </cfRule>
    <cfRule type="cellIs" dxfId="303" priority="511" operator="equal">
      <formula>IE1</formula>
    </cfRule>
    <cfRule type="cellIs" dxfId="302" priority="512" operator="lessThan">
      <formula>IE1</formula>
    </cfRule>
  </conditionalFormatting>
  <conditionalFormatting sqref="IE2">
    <cfRule type="cellIs" dxfId="301" priority="509" operator="lessThan">
      <formula>IE1</formula>
    </cfRule>
  </conditionalFormatting>
  <conditionalFormatting sqref="IE2">
    <cfRule type="cellIs" dxfId="300" priority="506" operator="greaterThan">
      <formula>IE1</formula>
    </cfRule>
    <cfRule type="cellIs" dxfId="299" priority="507" operator="equal">
      <formula>IE1</formula>
    </cfRule>
    <cfRule type="cellIs" dxfId="298" priority="508" operator="lessThan">
      <formula>IE1</formula>
    </cfRule>
  </conditionalFormatting>
  <conditionalFormatting sqref="IH2">
    <cfRule type="cellIs" dxfId="297" priority="505" operator="lessThan">
      <formula>IH1</formula>
    </cfRule>
  </conditionalFormatting>
  <conditionalFormatting sqref="IH2">
    <cfRule type="cellIs" dxfId="296" priority="502" operator="greaterThan">
      <formula>IH1</formula>
    </cfRule>
    <cfRule type="cellIs" dxfId="295" priority="503" operator="equal">
      <formula>IH1</formula>
    </cfRule>
    <cfRule type="cellIs" dxfId="294" priority="504" operator="lessThan">
      <formula>IH1</formula>
    </cfRule>
  </conditionalFormatting>
  <conditionalFormatting sqref="IH2">
    <cfRule type="cellIs" dxfId="293" priority="501" operator="lessThan">
      <formula>IH1</formula>
    </cfRule>
  </conditionalFormatting>
  <conditionalFormatting sqref="IH2">
    <cfRule type="cellIs" dxfId="292" priority="498" operator="greaterThan">
      <formula>IH1</formula>
    </cfRule>
    <cfRule type="cellIs" dxfId="291" priority="499" operator="equal">
      <formula>IH1</formula>
    </cfRule>
    <cfRule type="cellIs" dxfId="290" priority="500" operator="lessThan">
      <formula>IH1</formula>
    </cfRule>
  </conditionalFormatting>
  <conditionalFormatting sqref="IK2">
    <cfRule type="cellIs" dxfId="289" priority="497" operator="lessThan">
      <formula>IK1</formula>
    </cfRule>
  </conditionalFormatting>
  <conditionalFormatting sqref="IK2">
    <cfRule type="cellIs" dxfId="288" priority="494" operator="greaterThan">
      <formula>IK1</formula>
    </cfRule>
    <cfRule type="cellIs" dxfId="287" priority="495" operator="equal">
      <formula>IK1</formula>
    </cfRule>
    <cfRule type="cellIs" dxfId="286" priority="496" operator="lessThan">
      <formula>IK1</formula>
    </cfRule>
  </conditionalFormatting>
  <conditionalFormatting sqref="IK2">
    <cfRule type="cellIs" dxfId="285" priority="493" operator="lessThan">
      <formula>IK1</formula>
    </cfRule>
  </conditionalFormatting>
  <conditionalFormatting sqref="IK2">
    <cfRule type="cellIs" dxfId="284" priority="490" operator="greaterThan">
      <formula>IK1</formula>
    </cfRule>
    <cfRule type="cellIs" dxfId="283" priority="491" operator="equal">
      <formula>IK1</formula>
    </cfRule>
    <cfRule type="cellIs" dxfId="282" priority="492" operator="lessThan">
      <formula>IK1</formula>
    </cfRule>
  </conditionalFormatting>
  <conditionalFormatting sqref="IN2">
    <cfRule type="cellIs" dxfId="281" priority="489" operator="lessThan">
      <formula>IN1</formula>
    </cfRule>
  </conditionalFormatting>
  <conditionalFormatting sqref="IN2">
    <cfRule type="cellIs" dxfId="280" priority="486" operator="greaterThan">
      <formula>IN1</formula>
    </cfRule>
    <cfRule type="cellIs" dxfId="279" priority="487" operator="equal">
      <formula>IN1</formula>
    </cfRule>
    <cfRule type="cellIs" dxfId="278" priority="488" operator="lessThan">
      <formula>IN1</formula>
    </cfRule>
  </conditionalFormatting>
  <conditionalFormatting sqref="IN2">
    <cfRule type="cellIs" dxfId="277" priority="485" operator="lessThan">
      <formula>IN1</formula>
    </cfRule>
  </conditionalFormatting>
  <conditionalFormatting sqref="IN2">
    <cfRule type="cellIs" dxfId="276" priority="482" operator="greaterThan">
      <formula>IN1</formula>
    </cfRule>
    <cfRule type="cellIs" dxfId="275" priority="483" operator="equal">
      <formula>IN1</formula>
    </cfRule>
    <cfRule type="cellIs" dxfId="274" priority="484" operator="lessThan">
      <formula>IN1</formula>
    </cfRule>
  </conditionalFormatting>
  <conditionalFormatting sqref="IQ2">
    <cfRule type="cellIs" dxfId="273" priority="481" operator="lessThan">
      <formula>IQ1</formula>
    </cfRule>
  </conditionalFormatting>
  <conditionalFormatting sqref="IQ2">
    <cfRule type="cellIs" dxfId="272" priority="478" operator="greaterThan">
      <formula>IQ1</formula>
    </cfRule>
    <cfRule type="cellIs" dxfId="271" priority="479" operator="equal">
      <formula>IQ1</formula>
    </cfRule>
    <cfRule type="cellIs" dxfId="270" priority="480" operator="lessThan">
      <formula>IQ1</formula>
    </cfRule>
  </conditionalFormatting>
  <conditionalFormatting sqref="IQ2">
    <cfRule type="cellIs" dxfId="269" priority="477" operator="lessThan">
      <formula>IQ1</formula>
    </cfRule>
  </conditionalFormatting>
  <conditionalFormatting sqref="IQ2">
    <cfRule type="cellIs" dxfId="268" priority="474" operator="greaterThan">
      <formula>IQ1</formula>
    </cfRule>
    <cfRule type="cellIs" dxfId="267" priority="475" operator="equal">
      <formula>IQ1</formula>
    </cfRule>
    <cfRule type="cellIs" dxfId="266" priority="476" operator="lessThan">
      <formula>IQ1</formula>
    </cfRule>
  </conditionalFormatting>
  <conditionalFormatting sqref="IT1 IW1 IZ1 JC1 JF1 KP1 KS1">
    <cfRule type="cellIs" dxfId="265" priority="471" stopIfTrue="1" operator="lessThan">
      <formula>6</formula>
    </cfRule>
    <cfRule type="cellIs" dxfId="264" priority="472" stopIfTrue="1" operator="equal">
      <formula>6</formula>
    </cfRule>
    <cfRule type="cellIs" dxfId="263" priority="473" stopIfTrue="1" operator="greaterThan">
      <formula>6</formula>
    </cfRule>
  </conditionalFormatting>
  <conditionalFormatting sqref="IT1 IW1 IZ1 JC1 JF1 KP1 KS1">
    <cfRule type="cellIs" dxfId="262" priority="468" operator="equal">
      <formula>$C$1</formula>
    </cfRule>
    <cfRule type="cellIs" dxfId="261" priority="469" operator="lessThan">
      <formula>$C$1</formula>
    </cfRule>
    <cfRule type="cellIs" dxfId="260" priority="470" operator="greaterThan">
      <formula>$C$1</formula>
    </cfRule>
  </conditionalFormatting>
  <conditionalFormatting sqref="JF2 JC2 KS2 IZ2 IW2 IT2">
    <cfRule type="cellIs" dxfId="259" priority="467" operator="lessThan">
      <formula>IT1</formula>
    </cfRule>
  </conditionalFormatting>
  <conditionalFormatting sqref="IZ2 IW2 IT2">
    <cfRule type="cellIs" dxfId="258" priority="464" operator="greaterThan">
      <formula>IT1</formula>
    </cfRule>
    <cfRule type="cellIs" dxfId="257" priority="465" operator="equal">
      <formula>IT1</formula>
    </cfRule>
    <cfRule type="cellIs" dxfId="256" priority="466" operator="lessThan">
      <formula>IT1</formula>
    </cfRule>
  </conditionalFormatting>
  <conditionalFormatting sqref="KS2 JF2 JC2">
    <cfRule type="cellIs" dxfId="255" priority="461" operator="greaterThan">
      <formula>JC1</formula>
    </cfRule>
    <cfRule type="cellIs" dxfId="254" priority="462" operator="equal">
      <formula>JC1</formula>
    </cfRule>
    <cfRule type="cellIs" dxfId="253" priority="463" operator="lessThan">
      <formula>JC1</formula>
    </cfRule>
  </conditionalFormatting>
  <conditionalFormatting sqref="KP2">
    <cfRule type="cellIs" dxfId="252" priority="460" operator="lessThan">
      <formula>KP1</formula>
    </cfRule>
  </conditionalFormatting>
  <conditionalFormatting sqref="KP2">
    <cfRule type="cellIs" dxfId="251" priority="457" operator="greaterThan">
      <formula>KP1</formula>
    </cfRule>
    <cfRule type="cellIs" dxfId="250" priority="458" operator="equal">
      <formula>KP1</formula>
    </cfRule>
    <cfRule type="cellIs" dxfId="249" priority="459" operator="lessThan">
      <formula>KP1</formula>
    </cfRule>
  </conditionalFormatting>
  <conditionalFormatting sqref="JF2 JC2 KS2 IZ2 IW2 IT2">
    <cfRule type="cellIs" dxfId="248" priority="456" operator="lessThan">
      <formula>IT1</formula>
    </cfRule>
  </conditionalFormatting>
  <conditionalFormatting sqref="IZ2 IW2 IT2">
    <cfRule type="cellIs" dxfId="247" priority="453" operator="greaterThan">
      <formula>IT1</formula>
    </cfRule>
    <cfRule type="cellIs" dxfId="246" priority="454" operator="equal">
      <formula>IT1</formula>
    </cfRule>
    <cfRule type="cellIs" dxfId="245" priority="455" operator="lessThan">
      <formula>IT1</formula>
    </cfRule>
  </conditionalFormatting>
  <conditionalFormatting sqref="KS2 JF2 JC2">
    <cfRule type="cellIs" dxfId="244" priority="450" operator="greaterThan">
      <formula>JC1</formula>
    </cfRule>
    <cfRule type="cellIs" dxfId="243" priority="451" operator="equal">
      <formula>JC1</formula>
    </cfRule>
    <cfRule type="cellIs" dxfId="242" priority="452" operator="lessThan">
      <formula>JC1</formula>
    </cfRule>
  </conditionalFormatting>
  <conditionalFormatting sqref="KP2">
    <cfRule type="cellIs" dxfId="241" priority="449" operator="lessThan">
      <formula>KP1</formula>
    </cfRule>
  </conditionalFormatting>
  <conditionalFormatting sqref="KP2">
    <cfRule type="cellIs" dxfId="240" priority="446" operator="greaterThan">
      <formula>KP1</formula>
    </cfRule>
    <cfRule type="cellIs" dxfId="239" priority="447" operator="equal">
      <formula>KP1</formula>
    </cfRule>
    <cfRule type="cellIs" dxfId="238" priority="448" operator="lessThan">
      <formula>KP1</formula>
    </cfRule>
  </conditionalFormatting>
  <conditionalFormatting sqref="IT2">
    <cfRule type="cellIs" dxfId="237" priority="445" operator="lessThan">
      <formula>IT1</formula>
    </cfRule>
  </conditionalFormatting>
  <conditionalFormatting sqref="IT2">
    <cfRule type="cellIs" dxfId="236" priority="442" operator="greaterThan">
      <formula>IT1</formula>
    </cfRule>
    <cfRule type="cellIs" dxfId="235" priority="443" operator="equal">
      <formula>IT1</formula>
    </cfRule>
    <cfRule type="cellIs" dxfId="234" priority="444" operator="lessThan">
      <formula>IT1</formula>
    </cfRule>
  </conditionalFormatting>
  <conditionalFormatting sqref="IT2">
    <cfRule type="cellIs" dxfId="233" priority="441" operator="lessThan">
      <formula>IT1</formula>
    </cfRule>
  </conditionalFormatting>
  <conditionalFormatting sqref="IT2">
    <cfRule type="cellIs" dxfId="232" priority="438" operator="greaterThan">
      <formula>IT1</formula>
    </cfRule>
    <cfRule type="cellIs" dxfId="231" priority="439" operator="equal">
      <formula>IT1</formula>
    </cfRule>
    <cfRule type="cellIs" dxfId="230" priority="440" operator="lessThan">
      <formula>IT1</formula>
    </cfRule>
  </conditionalFormatting>
  <conditionalFormatting sqref="IW2">
    <cfRule type="cellIs" dxfId="229" priority="437" operator="lessThan">
      <formula>IW1</formula>
    </cfRule>
  </conditionalFormatting>
  <conditionalFormatting sqref="IW2">
    <cfRule type="cellIs" dxfId="228" priority="434" operator="greaterThan">
      <formula>IW1</formula>
    </cfRule>
    <cfRule type="cellIs" dxfId="227" priority="435" operator="equal">
      <formula>IW1</formula>
    </cfRule>
    <cfRule type="cellIs" dxfId="226" priority="436" operator="lessThan">
      <formula>IW1</formula>
    </cfRule>
  </conditionalFormatting>
  <conditionalFormatting sqref="IW2">
    <cfRule type="cellIs" dxfId="225" priority="433" operator="lessThan">
      <formula>IW1</formula>
    </cfRule>
  </conditionalFormatting>
  <conditionalFormatting sqref="IW2">
    <cfRule type="cellIs" dxfId="224" priority="430" operator="greaterThan">
      <formula>IW1</formula>
    </cfRule>
    <cfRule type="cellIs" dxfId="223" priority="431" operator="equal">
      <formula>IW1</formula>
    </cfRule>
    <cfRule type="cellIs" dxfId="222" priority="432" operator="lessThan">
      <formula>IW1</formula>
    </cfRule>
  </conditionalFormatting>
  <conditionalFormatting sqref="IZ2">
    <cfRule type="cellIs" dxfId="221" priority="429" operator="lessThan">
      <formula>IZ1</formula>
    </cfRule>
  </conditionalFormatting>
  <conditionalFormatting sqref="IZ2">
    <cfRule type="cellIs" dxfId="220" priority="426" operator="greaterThan">
      <formula>IZ1</formula>
    </cfRule>
    <cfRule type="cellIs" dxfId="219" priority="427" operator="equal">
      <formula>IZ1</formula>
    </cfRule>
    <cfRule type="cellIs" dxfId="218" priority="428" operator="lessThan">
      <formula>IZ1</formula>
    </cfRule>
  </conditionalFormatting>
  <conditionalFormatting sqref="IZ2">
    <cfRule type="cellIs" dxfId="217" priority="425" operator="lessThan">
      <formula>IZ1</formula>
    </cfRule>
  </conditionalFormatting>
  <conditionalFormatting sqref="IZ2">
    <cfRule type="cellIs" dxfId="216" priority="422" operator="greaterThan">
      <formula>IZ1</formula>
    </cfRule>
    <cfRule type="cellIs" dxfId="215" priority="423" operator="equal">
      <formula>IZ1</formula>
    </cfRule>
    <cfRule type="cellIs" dxfId="214" priority="424" operator="lessThan">
      <formula>IZ1</formula>
    </cfRule>
  </conditionalFormatting>
  <conditionalFormatting sqref="JC2">
    <cfRule type="cellIs" dxfId="213" priority="421" operator="lessThan">
      <formula>JC1</formula>
    </cfRule>
  </conditionalFormatting>
  <conditionalFormatting sqref="JC2">
    <cfRule type="cellIs" dxfId="212" priority="418" operator="greaterThan">
      <formula>JC1</formula>
    </cfRule>
    <cfRule type="cellIs" dxfId="211" priority="419" operator="equal">
      <formula>JC1</formula>
    </cfRule>
    <cfRule type="cellIs" dxfId="210" priority="420" operator="lessThan">
      <formula>JC1</formula>
    </cfRule>
  </conditionalFormatting>
  <conditionalFormatting sqref="JC2">
    <cfRule type="cellIs" dxfId="209" priority="417" operator="lessThan">
      <formula>JC1</formula>
    </cfRule>
  </conditionalFormatting>
  <conditionalFormatting sqref="JC2">
    <cfRule type="cellIs" dxfId="208" priority="414" operator="greaterThan">
      <formula>JC1</formula>
    </cfRule>
    <cfRule type="cellIs" dxfId="207" priority="415" operator="equal">
      <formula>JC1</formula>
    </cfRule>
    <cfRule type="cellIs" dxfId="206" priority="416" operator="lessThan">
      <formula>JC1</formula>
    </cfRule>
  </conditionalFormatting>
  <conditionalFormatting sqref="JF2">
    <cfRule type="cellIs" dxfId="205" priority="413" operator="lessThan">
      <formula>JF1</formula>
    </cfRule>
  </conditionalFormatting>
  <conditionalFormatting sqref="JF2">
    <cfRule type="cellIs" dxfId="204" priority="410" operator="greaterThan">
      <formula>JF1</formula>
    </cfRule>
    <cfRule type="cellIs" dxfId="203" priority="411" operator="equal">
      <formula>JF1</formula>
    </cfRule>
    <cfRule type="cellIs" dxfId="202" priority="412" operator="lessThan">
      <formula>JF1</formula>
    </cfRule>
  </conditionalFormatting>
  <conditionalFormatting sqref="JF2">
    <cfRule type="cellIs" dxfId="201" priority="409" operator="lessThan">
      <formula>JF1</formula>
    </cfRule>
  </conditionalFormatting>
  <conditionalFormatting sqref="JF2">
    <cfRule type="cellIs" dxfId="200" priority="406" operator="greaterThan">
      <formula>JF1</formula>
    </cfRule>
    <cfRule type="cellIs" dxfId="199" priority="407" operator="equal">
      <formula>JF1</formula>
    </cfRule>
    <cfRule type="cellIs" dxfId="198" priority="408" operator="lessThan">
      <formula>JF1</formula>
    </cfRule>
  </conditionalFormatting>
  <conditionalFormatting sqref="KP2">
    <cfRule type="cellIs" dxfId="197" priority="405" operator="lessThan">
      <formula>KP1</formula>
    </cfRule>
  </conditionalFormatting>
  <conditionalFormatting sqref="KP2">
    <cfRule type="cellIs" dxfId="196" priority="402" operator="greaterThan">
      <formula>KP1</formula>
    </cfRule>
    <cfRule type="cellIs" dxfId="195" priority="403" operator="equal">
      <formula>KP1</formula>
    </cfRule>
    <cfRule type="cellIs" dxfId="194" priority="404" operator="lessThan">
      <formula>KP1</formula>
    </cfRule>
  </conditionalFormatting>
  <conditionalFormatting sqref="KP2">
    <cfRule type="cellIs" dxfId="193" priority="401" operator="lessThan">
      <formula>KP1</formula>
    </cfRule>
  </conditionalFormatting>
  <conditionalFormatting sqref="KP2">
    <cfRule type="cellIs" dxfId="192" priority="398" operator="greaterThan">
      <formula>KP1</formula>
    </cfRule>
    <cfRule type="cellIs" dxfId="191" priority="399" operator="equal">
      <formula>KP1</formula>
    </cfRule>
    <cfRule type="cellIs" dxfId="190" priority="400" operator="lessThan">
      <formula>KP1</formula>
    </cfRule>
  </conditionalFormatting>
  <conditionalFormatting sqref="KS2">
    <cfRule type="cellIs" dxfId="189" priority="397" operator="lessThan">
      <formula>KS1</formula>
    </cfRule>
  </conditionalFormatting>
  <conditionalFormatting sqref="KS2">
    <cfRule type="cellIs" dxfId="188" priority="394" operator="greaterThan">
      <formula>KS1</formula>
    </cfRule>
    <cfRule type="cellIs" dxfId="187" priority="395" operator="equal">
      <formula>KS1</formula>
    </cfRule>
    <cfRule type="cellIs" dxfId="186" priority="396" operator="lessThan">
      <formula>KS1</formula>
    </cfRule>
  </conditionalFormatting>
  <conditionalFormatting sqref="KS2">
    <cfRule type="cellIs" dxfId="185" priority="393" operator="lessThan">
      <formula>KS1</formula>
    </cfRule>
  </conditionalFormatting>
  <conditionalFormatting sqref="KS2">
    <cfRule type="cellIs" dxfId="184" priority="390" operator="greaterThan">
      <formula>KS1</formula>
    </cfRule>
    <cfRule type="cellIs" dxfId="183" priority="391" operator="equal">
      <formula>KS1</formula>
    </cfRule>
    <cfRule type="cellIs" dxfId="182" priority="392" operator="lessThan">
      <formula>KS1</formula>
    </cfRule>
  </conditionalFormatting>
  <conditionalFormatting sqref="KV1">
    <cfRule type="cellIs" dxfId="181" priority="387" stopIfTrue="1" operator="lessThan">
      <formula>6</formula>
    </cfRule>
    <cfRule type="cellIs" dxfId="180" priority="388" stopIfTrue="1" operator="equal">
      <formula>6</formula>
    </cfRule>
    <cfRule type="cellIs" dxfId="179" priority="389" stopIfTrue="1" operator="greaterThan">
      <formula>6</formula>
    </cfRule>
  </conditionalFormatting>
  <conditionalFormatting sqref="KV1">
    <cfRule type="cellIs" dxfId="178" priority="384" operator="equal">
      <formula>$C$1</formula>
    </cfRule>
    <cfRule type="cellIs" dxfId="177" priority="385" operator="lessThan">
      <formula>$C$1</formula>
    </cfRule>
    <cfRule type="cellIs" dxfId="176" priority="386" operator="greaterThan">
      <formula>$C$1</formula>
    </cfRule>
  </conditionalFormatting>
  <conditionalFormatting sqref="KV2">
    <cfRule type="cellIs" dxfId="175" priority="383" operator="lessThan">
      <formula>KV1</formula>
    </cfRule>
  </conditionalFormatting>
  <conditionalFormatting sqref="KV2">
    <cfRule type="cellIs" dxfId="174" priority="380" operator="greaterThan">
      <formula>KV1</formula>
    </cfRule>
    <cfRule type="cellIs" dxfId="173" priority="381" operator="equal">
      <formula>KV1</formula>
    </cfRule>
    <cfRule type="cellIs" dxfId="172" priority="382" operator="lessThan">
      <formula>KV1</formula>
    </cfRule>
  </conditionalFormatting>
  <conditionalFormatting sqref="KV2">
    <cfRule type="cellIs" dxfId="171" priority="372" operator="lessThan">
      <formula>KV1</formula>
    </cfRule>
  </conditionalFormatting>
  <conditionalFormatting sqref="KV2">
    <cfRule type="cellIs" dxfId="170" priority="369" operator="greaterThan">
      <formula>KV1</formula>
    </cfRule>
    <cfRule type="cellIs" dxfId="169" priority="370" operator="equal">
      <formula>KV1</formula>
    </cfRule>
    <cfRule type="cellIs" dxfId="168" priority="371" operator="lessThan">
      <formula>KV1</formula>
    </cfRule>
  </conditionalFormatting>
  <conditionalFormatting sqref="KV2">
    <cfRule type="cellIs" dxfId="167" priority="361" operator="lessThan">
      <formula>KV1</formula>
    </cfRule>
  </conditionalFormatting>
  <conditionalFormatting sqref="KV2">
    <cfRule type="cellIs" dxfId="166" priority="358" operator="greaterThan">
      <formula>KV1</formula>
    </cfRule>
    <cfRule type="cellIs" dxfId="165" priority="359" operator="equal">
      <formula>KV1</formula>
    </cfRule>
    <cfRule type="cellIs" dxfId="164" priority="360" operator="lessThan">
      <formula>KV1</formula>
    </cfRule>
  </conditionalFormatting>
  <conditionalFormatting sqref="KV2">
    <cfRule type="cellIs" dxfId="163" priority="357" operator="lessThan">
      <formula>KV1</formula>
    </cfRule>
  </conditionalFormatting>
  <conditionalFormatting sqref="KV2">
    <cfRule type="cellIs" dxfId="162" priority="354" operator="greaterThan">
      <formula>KV1</formula>
    </cfRule>
    <cfRule type="cellIs" dxfId="161" priority="355" operator="equal">
      <formula>KV1</formula>
    </cfRule>
    <cfRule type="cellIs" dxfId="160" priority="356" operator="lessThan">
      <formula>KV1</formula>
    </cfRule>
  </conditionalFormatting>
  <conditionalFormatting sqref="JI1 JL1 JO1 JR1 JU1 JX1">
    <cfRule type="cellIs" dxfId="159" priority="219" stopIfTrue="1" operator="lessThan">
      <formula>6</formula>
    </cfRule>
    <cfRule type="cellIs" dxfId="158" priority="220" stopIfTrue="1" operator="equal">
      <formula>6</formula>
    </cfRule>
    <cfRule type="cellIs" dxfId="157" priority="221" stopIfTrue="1" operator="greaterThan">
      <formula>6</formula>
    </cfRule>
  </conditionalFormatting>
  <conditionalFormatting sqref="JI1 JL1 JO1 JR1 JU1 JX1">
    <cfRule type="cellIs" dxfId="156" priority="216" operator="equal">
      <formula>$C$1</formula>
    </cfRule>
    <cfRule type="cellIs" dxfId="155" priority="217" operator="lessThan">
      <formula>$C$1</formula>
    </cfRule>
    <cfRule type="cellIs" dxfId="154" priority="218" operator="greaterThan">
      <formula>$C$1</formula>
    </cfRule>
  </conditionalFormatting>
  <conditionalFormatting sqref="JR2 JO2 JX2 JL2 JI2">
    <cfRule type="cellIs" dxfId="153" priority="215" operator="lessThan">
      <formula>JI1</formula>
    </cfRule>
  </conditionalFormatting>
  <conditionalFormatting sqref="JL2 JI2">
    <cfRule type="cellIs" dxfId="152" priority="212" operator="greaterThan">
      <formula>JI1</formula>
    </cfRule>
    <cfRule type="cellIs" dxfId="151" priority="213" operator="equal">
      <formula>JI1</formula>
    </cfRule>
    <cfRule type="cellIs" dxfId="150" priority="214" operator="lessThan">
      <formula>JI1</formula>
    </cfRule>
  </conditionalFormatting>
  <conditionalFormatting sqref="JX2 JR2 JO2">
    <cfRule type="cellIs" dxfId="149" priority="209" operator="greaterThan">
      <formula>JO1</formula>
    </cfRule>
    <cfRule type="cellIs" dxfId="148" priority="210" operator="equal">
      <formula>JO1</formula>
    </cfRule>
    <cfRule type="cellIs" dxfId="147" priority="211" operator="lessThan">
      <formula>JO1</formula>
    </cfRule>
  </conditionalFormatting>
  <conditionalFormatting sqref="JU2">
    <cfRule type="cellIs" dxfId="146" priority="208" operator="lessThan">
      <formula>JU1</formula>
    </cfRule>
  </conditionalFormatting>
  <conditionalFormatting sqref="JU2">
    <cfRule type="cellIs" dxfId="145" priority="205" operator="greaterThan">
      <formula>JU1</formula>
    </cfRule>
    <cfRule type="cellIs" dxfId="144" priority="206" operator="equal">
      <formula>JU1</formula>
    </cfRule>
    <cfRule type="cellIs" dxfId="143" priority="207" operator="lessThan">
      <formula>JU1</formula>
    </cfRule>
  </conditionalFormatting>
  <conditionalFormatting sqref="JR2 JO2 JX2 JL2 JI2">
    <cfRule type="cellIs" dxfId="142" priority="204" operator="lessThan">
      <formula>JI1</formula>
    </cfRule>
  </conditionalFormatting>
  <conditionalFormatting sqref="JL2 JI2">
    <cfRule type="cellIs" dxfId="141" priority="201" operator="greaterThan">
      <formula>JI1</formula>
    </cfRule>
    <cfRule type="cellIs" dxfId="140" priority="202" operator="equal">
      <formula>JI1</formula>
    </cfRule>
    <cfRule type="cellIs" dxfId="139" priority="203" operator="lessThan">
      <formula>JI1</formula>
    </cfRule>
  </conditionalFormatting>
  <conditionalFormatting sqref="JX2 JR2 JO2">
    <cfRule type="cellIs" dxfId="138" priority="198" operator="greaterThan">
      <formula>JO1</formula>
    </cfRule>
    <cfRule type="cellIs" dxfId="137" priority="199" operator="equal">
      <formula>JO1</formula>
    </cfRule>
    <cfRule type="cellIs" dxfId="136" priority="200" operator="lessThan">
      <formula>JO1</formula>
    </cfRule>
  </conditionalFormatting>
  <conditionalFormatting sqref="JU2">
    <cfRule type="cellIs" dxfId="135" priority="197" operator="lessThan">
      <formula>JU1</formula>
    </cfRule>
  </conditionalFormatting>
  <conditionalFormatting sqref="JU2">
    <cfRule type="cellIs" dxfId="134" priority="194" operator="greaterThan">
      <formula>JU1</formula>
    </cfRule>
    <cfRule type="cellIs" dxfId="133" priority="195" operator="equal">
      <formula>JU1</formula>
    </cfRule>
    <cfRule type="cellIs" dxfId="132" priority="196" operator="lessThan">
      <formula>JU1</formula>
    </cfRule>
  </conditionalFormatting>
  <conditionalFormatting sqref="JI2">
    <cfRule type="cellIs" dxfId="131" priority="193" operator="lessThan">
      <formula>JI1</formula>
    </cfRule>
  </conditionalFormatting>
  <conditionalFormatting sqref="JI2">
    <cfRule type="cellIs" dxfId="130" priority="190" operator="greaterThan">
      <formula>JI1</formula>
    </cfRule>
    <cfRule type="cellIs" dxfId="129" priority="191" operator="equal">
      <formula>JI1</formula>
    </cfRule>
    <cfRule type="cellIs" dxfId="128" priority="192" operator="lessThan">
      <formula>JI1</formula>
    </cfRule>
  </conditionalFormatting>
  <conditionalFormatting sqref="JI2">
    <cfRule type="cellIs" dxfId="127" priority="189" operator="lessThan">
      <formula>JI1</formula>
    </cfRule>
  </conditionalFormatting>
  <conditionalFormatting sqref="JI2">
    <cfRule type="cellIs" dxfId="126" priority="186" operator="greaterThan">
      <formula>JI1</formula>
    </cfRule>
    <cfRule type="cellIs" dxfId="125" priority="187" operator="equal">
      <formula>JI1</formula>
    </cfRule>
    <cfRule type="cellIs" dxfId="124" priority="188" operator="lessThan">
      <formula>JI1</formula>
    </cfRule>
  </conditionalFormatting>
  <conditionalFormatting sqref="JL2">
    <cfRule type="cellIs" dxfId="123" priority="185" operator="lessThan">
      <formula>JL1</formula>
    </cfRule>
  </conditionalFormatting>
  <conditionalFormatting sqref="JL2">
    <cfRule type="cellIs" dxfId="122" priority="182" operator="greaterThan">
      <formula>JL1</formula>
    </cfRule>
    <cfRule type="cellIs" dxfId="121" priority="183" operator="equal">
      <formula>JL1</formula>
    </cfRule>
    <cfRule type="cellIs" dxfId="120" priority="184" operator="lessThan">
      <formula>JL1</formula>
    </cfRule>
  </conditionalFormatting>
  <conditionalFormatting sqref="JL2">
    <cfRule type="cellIs" dxfId="119" priority="181" operator="lessThan">
      <formula>JL1</formula>
    </cfRule>
  </conditionalFormatting>
  <conditionalFormatting sqref="JL2">
    <cfRule type="cellIs" dxfId="118" priority="178" operator="greaterThan">
      <formula>JL1</formula>
    </cfRule>
    <cfRule type="cellIs" dxfId="117" priority="179" operator="equal">
      <formula>JL1</formula>
    </cfRule>
    <cfRule type="cellIs" dxfId="116" priority="180" operator="lessThan">
      <formula>JL1</formula>
    </cfRule>
  </conditionalFormatting>
  <conditionalFormatting sqref="JO2">
    <cfRule type="cellIs" dxfId="115" priority="177" operator="lessThan">
      <formula>JO1</formula>
    </cfRule>
  </conditionalFormatting>
  <conditionalFormatting sqref="JO2">
    <cfRule type="cellIs" dxfId="114" priority="174" operator="greaterThan">
      <formula>JO1</formula>
    </cfRule>
    <cfRule type="cellIs" dxfId="113" priority="175" operator="equal">
      <formula>JO1</formula>
    </cfRule>
    <cfRule type="cellIs" dxfId="112" priority="176" operator="lessThan">
      <formula>JO1</formula>
    </cfRule>
  </conditionalFormatting>
  <conditionalFormatting sqref="JO2">
    <cfRule type="cellIs" dxfId="111" priority="173" operator="lessThan">
      <formula>JO1</formula>
    </cfRule>
  </conditionalFormatting>
  <conditionalFormatting sqref="JO2">
    <cfRule type="cellIs" dxfId="110" priority="170" operator="greaterThan">
      <formula>JO1</formula>
    </cfRule>
    <cfRule type="cellIs" dxfId="109" priority="171" operator="equal">
      <formula>JO1</formula>
    </cfRule>
    <cfRule type="cellIs" dxfId="108" priority="172" operator="lessThan">
      <formula>JO1</formula>
    </cfRule>
  </conditionalFormatting>
  <conditionalFormatting sqref="JR2">
    <cfRule type="cellIs" dxfId="107" priority="169" operator="lessThan">
      <formula>JR1</formula>
    </cfRule>
  </conditionalFormatting>
  <conditionalFormatting sqref="JR2">
    <cfRule type="cellIs" dxfId="106" priority="166" operator="greaterThan">
      <formula>JR1</formula>
    </cfRule>
    <cfRule type="cellIs" dxfId="105" priority="167" operator="equal">
      <formula>JR1</formula>
    </cfRule>
    <cfRule type="cellIs" dxfId="104" priority="168" operator="lessThan">
      <formula>JR1</formula>
    </cfRule>
  </conditionalFormatting>
  <conditionalFormatting sqref="JR2">
    <cfRule type="cellIs" dxfId="103" priority="165" operator="lessThan">
      <formula>JR1</formula>
    </cfRule>
  </conditionalFormatting>
  <conditionalFormatting sqref="JR2">
    <cfRule type="cellIs" dxfId="102" priority="162" operator="greaterThan">
      <formula>JR1</formula>
    </cfRule>
    <cfRule type="cellIs" dxfId="101" priority="163" operator="equal">
      <formula>JR1</formula>
    </cfRule>
    <cfRule type="cellIs" dxfId="100" priority="164" operator="lessThan">
      <formula>JR1</formula>
    </cfRule>
  </conditionalFormatting>
  <conditionalFormatting sqref="JU2">
    <cfRule type="cellIs" dxfId="99" priority="161" operator="lessThan">
      <formula>JU1</formula>
    </cfRule>
  </conditionalFormatting>
  <conditionalFormatting sqref="JU2">
    <cfRule type="cellIs" dxfId="98" priority="158" operator="greaterThan">
      <formula>JU1</formula>
    </cfRule>
    <cfRule type="cellIs" dxfId="97" priority="159" operator="equal">
      <formula>JU1</formula>
    </cfRule>
    <cfRule type="cellIs" dxfId="96" priority="160" operator="lessThan">
      <formula>JU1</formula>
    </cfRule>
  </conditionalFormatting>
  <conditionalFormatting sqref="JU2">
    <cfRule type="cellIs" dxfId="95" priority="157" operator="lessThan">
      <formula>JU1</formula>
    </cfRule>
  </conditionalFormatting>
  <conditionalFormatting sqref="JU2">
    <cfRule type="cellIs" dxfId="94" priority="154" operator="greaterThan">
      <formula>JU1</formula>
    </cfRule>
    <cfRule type="cellIs" dxfId="93" priority="155" operator="equal">
      <formula>JU1</formula>
    </cfRule>
    <cfRule type="cellIs" dxfId="92" priority="156" operator="lessThan">
      <formula>JU1</formula>
    </cfRule>
  </conditionalFormatting>
  <conditionalFormatting sqref="JX2">
    <cfRule type="cellIs" dxfId="91" priority="153" operator="lessThan">
      <formula>JX1</formula>
    </cfRule>
  </conditionalFormatting>
  <conditionalFormatting sqref="JX2">
    <cfRule type="cellIs" dxfId="90" priority="150" operator="greaterThan">
      <formula>JX1</formula>
    </cfRule>
    <cfRule type="cellIs" dxfId="89" priority="151" operator="equal">
      <formula>JX1</formula>
    </cfRule>
    <cfRule type="cellIs" dxfId="88" priority="152" operator="lessThan">
      <formula>JX1</formula>
    </cfRule>
  </conditionalFormatting>
  <conditionalFormatting sqref="JX2">
    <cfRule type="cellIs" dxfId="87" priority="149" operator="lessThan">
      <formula>JX1</formula>
    </cfRule>
  </conditionalFormatting>
  <conditionalFormatting sqref="JX2">
    <cfRule type="cellIs" dxfId="86" priority="146" operator="greaterThan">
      <formula>JX1</formula>
    </cfRule>
    <cfRule type="cellIs" dxfId="85" priority="147" operator="equal">
      <formula>JX1</formula>
    </cfRule>
    <cfRule type="cellIs" dxfId="84" priority="148" operator="lessThan">
      <formula>JX1</formula>
    </cfRule>
  </conditionalFormatting>
  <conditionalFormatting sqref="KA1 KD1 KG1 KJ1 KM1">
    <cfRule type="cellIs" dxfId="83" priority="143" stopIfTrue="1" operator="lessThan">
      <formula>6</formula>
    </cfRule>
    <cfRule type="cellIs" dxfId="82" priority="144" stopIfTrue="1" operator="equal">
      <formula>6</formula>
    </cfRule>
    <cfRule type="cellIs" dxfId="81" priority="145" stopIfTrue="1" operator="greaterThan">
      <formula>6</formula>
    </cfRule>
  </conditionalFormatting>
  <conditionalFormatting sqref="KA1 KD1 KG1 KJ1 KM1">
    <cfRule type="cellIs" dxfId="80" priority="140" operator="equal">
      <formula>$C$1</formula>
    </cfRule>
    <cfRule type="cellIs" dxfId="79" priority="141" operator="lessThan">
      <formula>$C$1</formula>
    </cfRule>
    <cfRule type="cellIs" dxfId="78" priority="142" operator="greaterThan">
      <formula>$C$1</formula>
    </cfRule>
  </conditionalFormatting>
  <conditionalFormatting sqref="KM2 KJ2 KG2 KD2 KA2">
    <cfRule type="cellIs" dxfId="77" priority="139" operator="lessThan">
      <formula>KA1</formula>
    </cfRule>
  </conditionalFormatting>
  <conditionalFormatting sqref="KG2 KD2 KA2">
    <cfRule type="cellIs" dxfId="76" priority="136" operator="greaterThan">
      <formula>KA1</formula>
    </cfRule>
    <cfRule type="cellIs" dxfId="75" priority="137" operator="equal">
      <formula>KA1</formula>
    </cfRule>
    <cfRule type="cellIs" dxfId="74" priority="138" operator="lessThan">
      <formula>KA1</formula>
    </cfRule>
  </conditionalFormatting>
  <conditionalFormatting sqref="KM2 KJ2">
    <cfRule type="cellIs" dxfId="73" priority="133" operator="greaterThan">
      <formula>KJ1</formula>
    </cfRule>
    <cfRule type="cellIs" dxfId="72" priority="134" operator="equal">
      <formula>KJ1</formula>
    </cfRule>
    <cfRule type="cellIs" dxfId="71" priority="135" operator="lessThan">
      <formula>KJ1</formula>
    </cfRule>
  </conditionalFormatting>
  <conditionalFormatting sqref="KM2 KJ2 KG2 KD2 KA2">
    <cfRule type="cellIs" dxfId="70" priority="132" operator="lessThan">
      <formula>KA1</formula>
    </cfRule>
  </conditionalFormatting>
  <conditionalFormatting sqref="KG2 KD2 KA2">
    <cfRule type="cellIs" dxfId="69" priority="129" operator="greaterThan">
      <formula>KA1</formula>
    </cfRule>
    <cfRule type="cellIs" dxfId="68" priority="130" operator="equal">
      <formula>KA1</formula>
    </cfRule>
    <cfRule type="cellIs" dxfId="67" priority="131" operator="lessThan">
      <formula>KA1</formula>
    </cfRule>
  </conditionalFormatting>
  <conditionalFormatting sqref="KM2 KJ2">
    <cfRule type="cellIs" dxfId="66" priority="126" operator="greaterThan">
      <formula>KJ1</formula>
    </cfRule>
    <cfRule type="cellIs" dxfId="65" priority="127" operator="equal">
      <formula>KJ1</formula>
    </cfRule>
    <cfRule type="cellIs" dxfId="64" priority="128" operator="lessThan">
      <formula>KJ1</formula>
    </cfRule>
  </conditionalFormatting>
  <conditionalFormatting sqref="KA2">
    <cfRule type="cellIs" dxfId="63" priority="125" operator="lessThan">
      <formula>KA1</formula>
    </cfRule>
  </conditionalFormatting>
  <conditionalFormatting sqref="KA2">
    <cfRule type="cellIs" dxfId="62" priority="122" operator="greaterThan">
      <formula>KA1</formula>
    </cfRule>
    <cfRule type="cellIs" dxfId="61" priority="123" operator="equal">
      <formula>KA1</formula>
    </cfRule>
    <cfRule type="cellIs" dxfId="60" priority="124" operator="lessThan">
      <formula>KA1</formula>
    </cfRule>
  </conditionalFormatting>
  <conditionalFormatting sqref="KA2">
    <cfRule type="cellIs" dxfId="59" priority="121" operator="lessThan">
      <formula>KA1</formula>
    </cfRule>
  </conditionalFormatting>
  <conditionalFormatting sqref="KA2">
    <cfRule type="cellIs" dxfId="58" priority="118" operator="greaterThan">
      <formula>KA1</formula>
    </cfRule>
    <cfRule type="cellIs" dxfId="57" priority="119" operator="equal">
      <formula>KA1</formula>
    </cfRule>
    <cfRule type="cellIs" dxfId="56" priority="120" operator="lessThan">
      <formula>KA1</formula>
    </cfRule>
  </conditionalFormatting>
  <conditionalFormatting sqref="KD2">
    <cfRule type="cellIs" dxfId="55" priority="117" operator="lessThan">
      <formula>KD1</formula>
    </cfRule>
  </conditionalFormatting>
  <conditionalFormatting sqref="KD2">
    <cfRule type="cellIs" dxfId="54" priority="114" operator="greaterThan">
      <formula>KD1</formula>
    </cfRule>
    <cfRule type="cellIs" dxfId="53" priority="115" operator="equal">
      <formula>KD1</formula>
    </cfRule>
    <cfRule type="cellIs" dxfId="52" priority="116" operator="lessThan">
      <formula>KD1</formula>
    </cfRule>
  </conditionalFormatting>
  <conditionalFormatting sqref="KD2">
    <cfRule type="cellIs" dxfId="51" priority="113" operator="lessThan">
      <formula>KD1</formula>
    </cfRule>
  </conditionalFormatting>
  <conditionalFormatting sqref="KD2">
    <cfRule type="cellIs" dxfId="50" priority="110" operator="greaterThan">
      <formula>KD1</formula>
    </cfRule>
    <cfRule type="cellIs" dxfId="49" priority="111" operator="equal">
      <formula>KD1</formula>
    </cfRule>
    <cfRule type="cellIs" dxfId="48" priority="112" operator="lessThan">
      <formula>KD1</formula>
    </cfRule>
  </conditionalFormatting>
  <conditionalFormatting sqref="KG2">
    <cfRule type="cellIs" dxfId="47" priority="109" operator="lessThan">
      <formula>KG1</formula>
    </cfRule>
  </conditionalFormatting>
  <conditionalFormatting sqref="KG2">
    <cfRule type="cellIs" dxfId="46" priority="106" operator="greaterThan">
      <formula>KG1</formula>
    </cfRule>
    <cfRule type="cellIs" dxfId="45" priority="107" operator="equal">
      <formula>KG1</formula>
    </cfRule>
    <cfRule type="cellIs" dxfId="44" priority="108" operator="lessThan">
      <formula>KG1</formula>
    </cfRule>
  </conditionalFormatting>
  <conditionalFormatting sqref="KG2">
    <cfRule type="cellIs" dxfId="43" priority="105" operator="lessThan">
      <formula>KG1</formula>
    </cfRule>
  </conditionalFormatting>
  <conditionalFormatting sqref="KG2">
    <cfRule type="cellIs" dxfId="42" priority="102" operator="greaterThan">
      <formula>KG1</formula>
    </cfRule>
    <cfRule type="cellIs" dxfId="41" priority="103" operator="equal">
      <formula>KG1</formula>
    </cfRule>
    <cfRule type="cellIs" dxfId="40" priority="104" operator="lessThan">
      <formula>KG1</formula>
    </cfRule>
  </conditionalFormatting>
  <conditionalFormatting sqref="KJ2">
    <cfRule type="cellIs" dxfId="39" priority="101" operator="lessThan">
      <formula>KJ1</formula>
    </cfRule>
  </conditionalFormatting>
  <conditionalFormatting sqref="KJ2">
    <cfRule type="cellIs" dxfId="38" priority="98" operator="greaterThan">
      <formula>KJ1</formula>
    </cfRule>
    <cfRule type="cellIs" dxfId="37" priority="99" operator="equal">
      <formula>KJ1</formula>
    </cfRule>
    <cfRule type="cellIs" dxfId="36" priority="100" operator="lessThan">
      <formula>KJ1</formula>
    </cfRule>
  </conditionalFormatting>
  <conditionalFormatting sqref="KJ2">
    <cfRule type="cellIs" dxfId="35" priority="97" operator="lessThan">
      <formula>KJ1</formula>
    </cfRule>
  </conditionalFormatting>
  <conditionalFormatting sqref="KJ2">
    <cfRule type="cellIs" dxfId="34" priority="94" operator="greaterThan">
      <formula>KJ1</formula>
    </cfRule>
    <cfRule type="cellIs" dxfId="33" priority="95" operator="equal">
      <formula>KJ1</formula>
    </cfRule>
    <cfRule type="cellIs" dxfId="32" priority="96" operator="lessThan">
      <formula>KJ1</formula>
    </cfRule>
  </conditionalFormatting>
  <conditionalFormatting sqref="KM2">
    <cfRule type="cellIs" dxfId="31" priority="93" operator="lessThan">
      <formula>KM1</formula>
    </cfRule>
  </conditionalFormatting>
  <conditionalFormatting sqref="KM2">
    <cfRule type="cellIs" dxfId="30" priority="90" operator="greaterThan">
      <formula>KM1</formula>
    </cfRule>
    <cfRule type="cellIs" dxfId="29" priority="91" operator="equal">
      <formula>KM1</formula>
    </cfRule>
    <cfRule type="cellIs" dxfId="28" priority="92" operator="lessThan">
      <formula>KM1</formula>
    </cfRule>
  </conditionalFormatting>
  <conditionalFormatting sqref="KM2">
    <cfRule type="cellIs" dxfId="27" priority="89" operator="lessThan">
      <formula>KM1</formula>
    </cfRule>
  </conditionalFormatting>
  <conditionalFormatting sqref="KM2">
    <cfRule type="cellIs" dxfId="26" priority="86" operator="greaterThan">
      <formula>KM1</formula>
    </cfRule>
    <cfRule type="cellIs" dxfId="25" priority="87" operator="equal">
      <formula>KM1</formula>
    </cfRule>
    <cfRule type="cellIs" dxfId="24" priority="88" operator="lessThan">
      <formula>KM1</formula>
    </cfRule>
  </conditionalFormatting>
  <conditionalFormatting sqref="B6">
    <cfRule type="cellIs" dxfId="23" priority="44" operator="greaterThan">
      <formula>A6</formula>
    </cfRule>
    <cfRule type="cellIs" dxfId="22" priority="45" operator="equal">
      <formula>A6</formula>
    </cfRule>
    <cfRule type="cellIs" dxfId="21" priority="46" operator="lessThan">
      <formula>A6</formula>
    </cfRule>
  </conditionalFormatting>
  <conditionalFormatting sqref="B6">
    <cfRule type="cellIs" dxfId="20" priority="41" operator="greaterThan">
      <formula>A6</formula>
    </cfRule>
    <cfRule type="cellIs" dxfId="19" priority="42" operator="equal">
      <formula>A6</formula>
    </cfRule>
    <cfRule type="cellIs" dxfId="18" priority="43" operator="lessThan">
      <formula>A6</formula>
    </cfRule>
  </conditionalFormatting>
  <conditionalFormatting sqref="M6:M10 M22:M46 M51 M54:M60 M12:M14">
    <cfRule type="cellIs" dxfId="17" priority="7" operator="equal">
      <formula>"N"</formula>
    </cfRule>
    <cfRule type="cellIs" dxfId="16" priority="8" operator="equal">
      <formula>"Y"</formula>
    </cfRule>
  </conditionalFormatting>
  <conditionalFormatting sqref="M68">
    <cfRule type="cellIs" dxfId="15" priority="3" operator="equal">
      <formula>"N"</formula>
    </cfRule>
    <cfRule type="cellIs" dxfId="14" priority="4" operator="equal">
      <formula>"Y"</formula>
    </cfRule>
  </conditionalFormatting>
  <conditionalFormatting sqref="M5">
    <cfRule type="cellIs" dxfId="13" priority="9" operator="equal">
      <formula>"N"</formula>
    </cfRule>
    <cfRule type="cellIs" dxfId="12" priority="10" operator="equal">
      <formula>"Y"</formula>
    </cfRule>
  </conditionalFormatting>
  <conditionalFormatting sqref="M67">
    <cfRule type="cellIs" dxfId="11" priority="5" operator="equal">
      <formula>"N"</formula>
    </cfRule>
    <cfRule type="cellIs" dxfId="10" priority="6" operator="equal">
      <formula>"Y"</formula>
    </cfRule>
  </conditionalFormatting>
  <conditionalFormatting sqref="M69">
    <cfRule type="cellIs" dxfId="9" priority="1" operator="equal">
      <formula>"N"</formula>
    </cfRule>
    <cfRule type="cellIs" dxfId="8" priority="2" operator="equal">
      <formula>"Y"</formula>
    </cfRule>
  </conditionalFormatting>
  <pageMargins left="0.7" right="0.7" top="0.75" bottom="0.75" header="0.3" footer="0.3"/>
  <pageSetup orientation="portrait" r:id="rId1"/>
  <ignoredErrors>
    <ignoredError sqref="LK5 LK16" formula="1"/>
    <ignoredError sqref="LO16" unlockedFormula="1"/>
    <ignoredError sqref="HZ109 IC109:KZ109"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M101"/>
  <sheetViews>
    <sheetView zoomScale="85" zoomScaleNormal="85" workbookViewId="0">
      <selection activeCell="P1" sqref="P1:Q1048576"/>
    </sheetView>
  </sheetViews>
  <sheetFormatPr defaultRowHeight="14.4"/>
  <cols>
    <col min="1" max="3" width="20.5546875" customWidth="1"/>
    <col min="4" max="4" width="25.5546875" customWidth="1"/>
    <col min="5" max="5" width="20.5546875" customWidth="1"/>
    <col min="6" max="6" width="50.6640625" style="43" customWidth="1"/>
  </cols>
  <sheetData>
    <row r="1" spans="1:20" ht="52.2">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8">
      <c r="A2" s="286" t="s">
        <v>592</v>
      </c>
      <c r="B2" s="289"/>
      <c r="C2" s="289"/>
      <c r="D2" s="119" t="s">
        <v>111</v>
      </c>
      <c r="E2" s="119" t="s">
        <v>9</v>
      </c>
      <c r="F2" s="119" t="s">
        <v>112</v>
      </c>
      <c r="G2" s="50">
        <v>83.4</v>
      </c>
      <c r="H2" s="57">
        <v>39</v>
      </c>
      <c r="I2" s="50">
        <v>0.30330281872556741</v>
      </c>
      <c r="J2" s="57">
        <v>25</v>
      </c>
      <c r="K2" s="50">
        <v>0.67</v>
      </c>
      <c r="L2" s="57">
        <v>22</v>
      </c>
      <c r="M2" s="58">
        <v>41.995614035087726</v>
      </c>
      <c r="N2" s="58">
        <v>42.68023532051275</v>
      </c>
      <c r="O2" s="58">
        <v>41.75</v>
      </c>
      <c r="P2" s="58">
        <v>76.425849355600477</v>
      </c>
      <c r="Q2" s="60">
        <v>28</v>
      </c>
      <c r="R2" s="55"/>
      <c r="S2" s="61">
        <v>4</v>
      </c>
      <c r="T2" s="61">
        <v>28</v>
      </c>
    </row>
    <row r="3" spans="1:20" ht="18">
      <c r="A3" s="286" t="s">
        <v>593</v>
      </c>
      <c r="B3" s="286" t="s">
        <v>594</v>
      </c>
      <c r="C3" s="289"/>
      <c r="D3" s="119" t="s">
        <v>94</v>
      </c>
      <c r="E3" s="119" t="s">
        <v>9</v>
      </c>
      <c r="F3" s="119" t="s">
        <v>115</v>
      </c>
      <c r="G3" s="50">
        <v>62.6</v>
      </c>
      <c r="H3" s="57">
        <v>61</v>
      </c>
      <c r="I3" s="50">
        <v>-1.2937237048192602</v>
      </c>
      <c r="J3" s="57">
        <v>60</v>
      </c>
      <c r="K3" s="50">
        <v>0</v>
      </c>
      <c r="L3" s="57">
        <v>60</v>
      </c>
      <c r="M3" s="58">
        <v>30.592105263157897</v>
      </c>
      <c r="N3" s="58">
        <v>27.771112212625098</v>
      </c>
      <c r="O3" s="58">
        <v>25</v>
      </c>
      <c r="P3" s="58">
        <v>33.363217475782989</v>
      </c>
      <c r="Q3" s="60">
        <v>61</v>
      </c>
      <c r="R3" s="55"/>
      <c r="S3" s="61">
        <v>9</v>
      </c>
      <c r="T3" s="61">
        <v>61</v>
      </c>
    </row>
    <row r="4" spans="1:20" ht="18">
      <c r="A4" s="286" t="s">
        <v>595</v>
      </c>
      <c r="B4" s="286" t="s">
        <v>596</v>
      </c>
      <c r="C4" s="286" t="s">
        <v>597</v>
      </c>
      <c r="D4" s="119" t="s">
        <v>94</v>
      </c>
      <c r="E4" s="119" t="s">
        <v>9</v>
      </c>
      <c r="F4" s="119" t="s">
        <v>118</v>
      </c>
      <c r="G4" s="50">
        <v>76.2</v>
      </c>
      <c r="H4" s="57">
        <v>51</v>
      </c>
      <c r="I4" s="50">
        <v>-1.0232873135563723</v>
      </c>
      <c r="J4" s="57">
        <v>56</v>
      </c>
      <c r="K4" s="50">
        <v>0.17333333333333334</v>
      </c>
      <c r="L4" s="57">
        <v>52</v>
      </c>
      <c r="M4" s="58">
        <v>38.048245614035089</v>
      </c>
      <c r="N4" s="58">
        <v>30.295785028478988</v>
      </c>
      <c r="O4" s="58">
        <v>29.333333333333336</v>
      </c>
      <c r="P4" s="58">
        <v>47.677363975847413</v>
      </c>
      <c r="Q4" s="60">
        <v>51</v>
      </c>
      <c r="R4" s="55"/>
      <c r="S4" s="61">
        <v>7</v>
      </c>
      <c r="T4" s="61">
        <v>51</v>
      </c>
    </row>
    <row r="5" spans="1:20" ht="18">
      <c r="A5" s="286" t="s">
        <v>598</v>
      </c>
      <c r="B5" s="286" t="s">
        <v>599</v>
      </c>
      <c r="C5" s="289"/>
      <c r="D5" s="119" t="s">
        <v>5</v>
      </c>
      <c r="E5" s="119" t="s">
        <v>9</v>
      </c>
      <c r="F5" s="119" t="s">
        <v>121</v>
      </c>
      <c r="G5" s="50">
        <v>89.4</v>
      </c>
      <c r="H5" s="57">
        <v>18</v>
      </c>
      <c r="I5" s="50">
        <v>0.54560897980476064</v>
      </c>
      <c r="J5" s="57">
        <v>17</v>
      </c>
      <c r="K5" s="50">
        <v>0.66666666666666663</v>
      </c>
      <c r="L5" s="57">
        <v>23</v>
      </c>
      <c r="M5" s="58">
        <v>45.285087719298247</v>
      </c>
      <c r="N5" s="58">
        <v>44.942296928175182</v>
      </c>
      <c r="O5" s="58">
        <v>41.666666666666664</v>
      </c>
      <c r="P5" s="58">
        <v>81.894051314140086</v>
      </c>
      <c r="Q5" s="60">
        <v>19</v>
      </c>
      <c r="R5" s="55"/>
      <c r="S5" s="61">
        <v>3</v>
      </c>
      <c r="T5" s="61">
        <v>19</v>
      </c>
    </row>
    <row r="6" spans="1:20" ht="18">
      <c r="A6" s="286" t="s">
        <v>600</v>
      </c>
      <c r="B6" s="286" t="s">
        <v>601</v>
      </c>
      <c r="C6" s="286" t="s">
        <v>602</v>
      </c>
      <c r="D6" s="119" t="s">
        <v>7</v>
      </c>
      <c r="E6" s="119" t="s">
        <v>9</v>
      </c>
      <c r="F6" s="119" t="s">
        <v>124</v>
      </c>
      <c r="G6" s="50">
        <v>95.6</v>
      </c>
      <c r="H6" s="57">
        <v>4</v>
      </c>
      <c r="I6" s="50">
        <v>1.0317930553091217</v>
      </c>
      <c r="J6" s="57">
        <v>3</v>
      </c>
      <c r="K6" s="50">
        <v>0.93333333333333324</v>
      </c>
      <c r="L6" s="57">
        <v>3</v>
      </c>
      <c r="M6" s="58">
        <v>48.68421052631578</v>
      </c>
      <c r="N6" s="58">
        <v>49.481093327561098</v>
      </c>
      <c r="O6" s="58">
        <v>48.333333333333329</v>
      </c>
      <c r="P6" s="58">
        <v>96.498637187210193</v>
      </c>
      <c r="Q6" s="60">
        <v>4</v>
      </c>
      <c r="R6" s="55"/>
      <c r="S6" s="61">
        <v>1</v>
      </c>
      <c r="T6" s="61">
        <v>4</v>
      </c>
    </row>
    <row r="7" spans="1:20" ht="18">
      <c r="A7" s="286" t="s">
        <v>603</v>
      </c>
      <c r="B7" s="286"/>
      <c r="C7" s="289"/>
      <c r="D7" s="119" t="s">
        <v>7</v>
      </c>
      <c r="E7" s="119" t="s">
        <v>9</v>
      </c>
      <c r="F7" s="119" t="s">
        <v>127</v>
      </c>
      <c r="G7" s="50">
        <v>95.4</v>
      </c>
      <c r="H7" s="57">
        <v>6</v>
      </c>
      <c r="I7" s="50">
        <v>0.92017287060125441</v>
      </c>
      <c r="J7" s="57">
        <v>6</v>
      </c>
      <c r="K7" s="50">
        <v>0.88333333333333319</v>
      </c>
      <c r="L7" s="57">
        <v>6</v>
      </c>
      <c r="M7" s="58">
        <v>48.574561403508774</v>
      </c>
      <c r="N7" s="58">
        <v>48.439057362221632</v>
      </c>
      <c r="O7" s="58">
        <v>47.083333333333329</v>
      </c>
      <c r="P7" s="58">
        <v>94.096952099063742</v>
      </c>
      <c r="Q7" s="60">
        <v>6</v>
      </c>
      <c r="R7" s="55"/>
      <c r="S7" s="61">
        <v>2</v>
      </c>
      <c r="T7" s="61">
        <v>6</v>
      </c>
    </row>
    <row r="8" spans="1:20" ht="18">
      <c r="A8" s="290" t="s">
        <v>604</v>
      </c>
      <c r="B8" s="290" t="s">
        <v>605</v>
      </c>
      <c r="C8" s="291"/>
      <c r="D8" s="277" t="s">
        <v>129</v>
      </c>
      <c r="E8" s="277" t="s">
        <v>9</v>
      </c>
      <c r="F8" s="277" t="s">
        <v>131</v>
      </c>
      <c r="G8" s="50" t="s">
        <v>93</v>
      </c>
      <c r="H8" s="57" t="s">
        <v>93</v>
      </c>
      <c r="I8" s="50" t="s">
        <v>93</v>
      </c>
      <c r="J8" s="57" t="s">
        <v>93</v>
      </c>
      <c r="K8" s="50" t="s">
        <v>93</v>
      </c>
      <c r="L8" s="57" t="s">
        <v>93</v>
      </c>
      <c r="M8" s="58" t="s">
        <v>93</v>
      </c>
      <c r="N8" s="58" t="s">
        <v>93</v>
      </c>
      <c r="O8" s="58" t="s">
        <v>93</v>
      </c>
      <c r="P8" s="58" t="s">
        <v>93</v>
      </c>
      <c r="Q8" s="60" t="s">
        <v>93</v>
      </c>
      <c r="R8" s="55"/>
      <c r="S8" s="61" t="s">
        <v>93</v>
      </c>
      <c r="T8" s="61" t="s">
        <v>93</v>
      </c>
    </row>
    <row r="9" spans="1:20" ht="18">
      <c r="A9" s="286" t="s">
        <v>606</v>
      </c>
      <c r="B9" s="286" t="s">
        <v>607</v>
      </c>
      <c r="C9" s="286" t="s">
        <v>608</v>
      </c>
      <c r="D9" s="119" t="s">
        <v>129</v>
      </c>
      <c r="E9" s="119" t="s">
        <v>9</v>
      </c>
      <c r="F9" s="119" t="s">
        <v>134</v>
      </c>
      <c r="G9" s="50">
        <v>73.2</v>
      </c>
      <c r="H9" s="57">
        <v>56</v>
      </c>
      <c r="I9" s="50">
        <v>-0.30636160355991315</v>
      </c>
      <c r="J9" s="57">
        <v>43</v>
      </c>
      <c r="K9" s="50">
        <v>0.36666666666666664</v>
      </c>
      <c r="L9" s="57">
        <v>43</v>
      </c>
      <c r="M9" s="58">
        <v>36.403508771929829</v>
      </c>
      <c r="N9" s="58">
        <v>36.98868180380731</v>
      </c>
      <c r="O9" s="58">
        <v>34.166666666666664</v>
      </c>
      <c r="P9" s="58">
        <v>57.558857242403803</v>
      </c>
      <c r="Q9" s="60">
        <v>44</v>
      </c>
      <c r="R9" s="55"/>
      <c r="S9" s="61">
        <v>6</v>
      </c>
      <c r="T9" s="61">
        <v>44</v>
      </c>
    </row>
    <row r="10" spans="1:20" ht="18">
      <c r="A10" s="286" t="s">
        <v>609</v>
      </c>
      <c r="B10" s="286" t="s">
        <v>610</v>
      </c>
      <c r="C10" s="289"/>
      <c r="D10" s="119" t="s">
        <v>129</v>
      </c>
      <c r="E10" s="119" t="s">
        <v>9</v>
      </c>
      <c r="F10" s="119" t="s">
        <v>137</v>
      </c>
      <c r="G10" s="50">
        <v>64.400000000000006</v>
      </c>
      <c r="H10" s="57">
        <v>60</v>
      </c>
      <c r="I10" s="50">
        <v>-0.85480873583027717</v>
      </c>
      <c r="J10" s="57">
        <v>52</v>
      </c>
      <c r="K10" s="50">
        <v>0.16666666666666666</v>
      </c>
      <c r="L10" s="57">
        <v>53</v>
      </c>
      <c r="M10" s="58">
        <v>31.578947368421055</v>
      </c>
      <c r="N10" s="58">
        <v>31.868625441163385</v>
      </c>
      <c r="O10" s="58">
        <v>29.166666666666664</v>
      </c>
      <c r="P10" s="58">
        <v>42.6142394762511</v>
      </c>
      <c r="Q10" s="60">
        <v>58</v>
      </c>
      <c r="R10" s="55"/>
      <c r="S10" s="61">
        <v>8</v>
      </c>
      <c r="T10" s="61">
        <v>58</v>
      </c>
    </row>
    <row r="11" spans="1:20" ht="27.6">
      <c r="A11" s="46" t="s">
        <v>611</v>
      </c>
      <c r="B11" s="286" t="s">
        <v>612</v>
      </c>
      <c r="C11" s="289"/>
      <c r="D11" s="119" t="s">
        <v>129</v>
      </c>
      <c r="E11" s="119" t="s">
        <v>9</v>
      </c>
      <c r="F11" s="119" t="s">
        <v>140</v>
      </c>
      <c r="G11" s="50">
        <v>82.2</v>
      </c>
      <c r="H11" s="57">
        <v>41</v>
      </c>
      <c r="I11" s="50">
        <v>-4.9239714501917622E-2</v>
      </c>
      <c r="J11" s="57">
        <v>40</v>
      </c>
      <c r="K11" s="50">
        <v>0.48333333333333328</v>
      </c>
      <c r="L11" s="57">
        <v>37</v>
      </c>
      <c r="M11" s="58">
        <v>41.337719298245617</v>
      </c>
      <c r="N11" s="58">
        <v>39.389056400710913</v>
      </c>
      <c r="O11" s="58">
        <v>37.083333333333329</v>
      </c>
      <c r="P11" s="58">
        <v>67.810109032289859</v>
      </c>
      <c r="Q11" s="60">
        <v>39</v>
      </c>
      <c r="R11" s="55"/>
      <c r="S11" s="61">
        <v>5</v>
      </c>
      <c r="T11" s="61">
        <v>39</v>
      </c>
    </row>
    <row r="12" spans="1:20" ht="18">
      <c r="A12" s="120" t="s">
        <v>613</v>
      </c>
      <c r="B12" s="120"/>
      <c r="C12" s="120"/>
      <c r="D12" s="120" t="s">
        <v>111</v>
      </c>
      <c r="E12" s="120" t="s">
        <v>4</v>
      </c>
      <c r="F12" s="120" t="s">
        <v>143</v>
      </c>
      <c r="G12" s="65">
        <v>89</v>
      </c>
      <c r="H12" s="115">
        <v>19</v>
      </c>
      <c r="I12" s="65">
        <v>0.63952352407683044</v>
      </c>
      <c r="J12" s="115">
        <v>12</v>
      </c>
      <c r="K12" s="65">
        <v>0.8125</v>
      </c>
      <c r="L12" s="115">
        <v>9</v>
      </c>
      <c r="M12" s="69">
        <v>45.065789473684212</v>
      </c>
      <c r="N12" s="69">
        <v>45.819040978152231</v>
      </c>
      <c r="O12" s="69">
        <v>45.3125</v>
      </c>
      <c r="P12" s="69">
        <v>86.19733045183645</v>
      </c>
      <c r="Q12" s="71">
        <v>12</v>
      </c>
      <c r="R12" s="68"/>
      <c r="S12" s="72">
        <v>1</v>
      </c>
      <c r="T12" s="72">
        <v>12</v>
      </c>
    </row>
    <row r="13" spans="1:20" ht="18">
      <c r="A13" s="120" t="s">
        <v>614</v>
      </c>
      <c r="B13" s="120" t="s">
        <v>614</v>
      </c>
      <c r="C13" s="120"/>
      <c r="D13" s="120" t="s">
        <v>5</v>
      </c>
      <c r="E13" s="120" t="s">
        <v>4</v>
      </c>
      <c r="F13" s="120" t="s">
        <v>146</v>
      </c>
      <c r="G13" s="65">
        <v>83.2</v>
      </c>
      <c r="H13" s="115">
        <v>40</v>
      </c>
      <c r="I13" s="65">
        <v>2.4722316455570593E-2</v>
      </c>
      <c r="J13" s="115">
        <v>36</v>
      </c>
      <c r="K13" s="65">
        <v>0.42000000000000004</v>
      </c>
      <c r="L13" s="115">
        <v>40</v>
      </c>
      <c r="M13" s="69">
        <v>41.885964912280706</v>
      </c>
      <c r="N13" s="69">
        <v>40.079532738202779</v>
      </c>
      <c r="O13" s="69">
        <v>35.5</v>
      </c>
      <c r="P13" s="69">
        <v>67.465497650483485</v>
      </c>
      <c r="Q13" s="71">
        <v>40</v>
      </c>
      <c r="R13" s="68"/>
      <c r="S13" s="72">
        <v>6</v>
      </c>
      <c r="T13" s="73">
        <v>40</v>
      </c>
    </row>
    <row r="14" spans="1:20" ht="18">
      <c r="A14" s="120" t="s">
        <v>615</v>
      </c>
      <c r="B14" s="120" t="s">
        <v>615</v>
      </c>
      <c r="C14" s="120"/>
      <c r="D14" s="120" t="s">
        <v>5</v>
      </c>
      <c r="E14" s="120" t="s">
        <v>4</v>
      </c>
      <c r="F14" s="120" t="s">
        <v>149</v>
      </c>
      <c r="G14" s="65">
        <v>87.8</v>
      </c>
      <c r="H14" s="115">
        <v>23</v>
      </c>
      <c r="I14" s="65">
        <v>0.22078750493910482</v>
      </c>
      <c r="J14" s="115">
        <v>29</v>
      </c>
      <c r="K14" s="65">
        <v>0.68333333333333335</v>
      </c>
      <c r="L14" s="115">
        <v>20</v>
      </c>
      <c r="M14" s="69">
        <v>44.40789473684211</v>
      </c>
      <c r="N14" s="69">
        <v>41.909909372013367</v>
      </c>
      <c r="O14" s="69">
        <v>42.083333333333329</v>
      </c>
      <c r="P14" s="69">
        <v>78.401137442188826</v>
      </c>
      <c r="Q14" s="71">
        <v>25</v>
      </c>
      <c r="R14" s="68"/>
      <c r="S14" s="72">
        <v>3</v>
      </c>
      <c r="T14" s="73">
        <v>25</v>
      </c>
    </row>
    <row r="15" spans="1:20" ht="18">
      <c r="A15" s="120" t="s">
        <v>616</v>
      </c>
      <c r="B15" s="120" t="s">
        <v>616</v>
      </c>
      <c r="C15" s="120"/>
      <c r="D15" s="120" t="s">
        <v>95</v>
      </c>
      <c r="E15" s="120" t="s">
        <v>4</v>
      </c>
      <c r="F15" s="120" t="s">
        <v>152</v>
      </c>
      <c r="G15" s="65">
        <v>85.8</v>
      </c>
      <c r="H15" s="115">
        <v>35</v>
      </c>
      <c r="I15" s="65">
        <v>0.3163320716110351</v>
      </c>
      <c r="J15" s="115">
        <v>24</v>
      </c>
      <c r="K15" s="65">
        <v>0.55000000000000004</v>
      </c>
      <c r="L15" s="115">
        <v>33</v>
      </c>
      <c r="M15" s="69">
        <v>43.311403508771932</v>
      </c>
      <c r="N15" s="69">
        <v>42.801870579795775</v>
      </c>
      <c r="O15" s="69">
        <v>38.75</v>
      </c>
      <c r="P15" s="69">
        <v>74.863274088567707</v>
      </c>
      <c r="Q15" s="71">
        <v>31</v>
      </c>
      <c r="R15" s="68"/>
      <c r="S15" s="72">
        <v>4</v>
      </c>
      <c r="T15" s="73">
        <v>31</v>
      </c>
    </row>
    <row r="16" spans="1:20" ht="18">
      <c r="A16" s="120" t="s">
        <v>617</v>
      </c>
      <c r="B16" s="120"/>
      <c r="C16" s="120"/>
      <c r="D16" s="120" t="s">
        <v>13</v>
      </c>
      <c r="E16" s="120" t="s">
        <v>4</v>
      </c>
      <c r="F16" s="120" t="s">
        <v>155</v>
      </c>
      <c r="G16" s="65">
        <v>86.4</v>
      </c>
      <c r="H16" s="115">
        <v>31</v>
      </c>
      <c r="I16" s="65">
        <v>8.5339501487288041E-2</v>
      </c>
      <c r="J16" s="115">
        <v>35</v>
      </c>
      <c r="K16" s="65">
        <v>0.51666666666666672</v>
      </c>
      <c r="L16" s="115">
        <v>35</v>
      </c>
      <c r="M16" s="69">
        <v>43.640350877192986</v>
      </c>
      <c r="N16" s="69">
        <v>40.645427581380133</v>
      </c>
      <c r="O16" s="69">
        <v>37.916666666666671</v>
      </c>
      <c r="P16" s="69">
        <v>72.202445125239791</v>
      </c>
      <c r="Q16" s="71">
        <v>34</v>
      </c>
      <c r="R16" s="68"/>
      <c r="S16" s="72">
        <v>5</v>
      </c>
      <c r="T16" s="73">
        <v>34</v>
      </c>
    </row>
    <row r="17" spans="1:39" ht="18">
      <c r="A17" s="120" t="s">
        <v>618</v>
      </c>
      <c r="B17" s="120"/>
      <c r="C17" s="120"/>
      <c r="D17" s="120" t="s">
        <v>13</v>
      </c>
      <c r="E17" s="120" t="s">
        <v>4</v>
      </c>
      <c r="F17" s="120" t="s">
        <v>158</v>
      </c>
      <c r="G17" s="65">
        <v>87.8</v>
      </c>
      <c r="H17" s="115">
        <v>23</v>
      </c>
      <c r="I17" s="65">
        <v>0.71906189572726575</v>
      </c>
      <c r="J17" s="115">
        <v>10</v>
      </c>
      <c r="K17" s="65">
        <v>0.8</v>
      </c>
      <c r="L17" s="115">
        <v>11</v>
      </c>
      <c r="M17" s="69">
        <v>44.40789473684211</v>
      </c>
      <c r="N17" s="69">
        <v>46.56157553049335</v>
      </c>
      <c r="O17" s="69">
        <v>45</v>
      </c>
      <c r="P17" s="69">
        <v>85.969470267335453</v>
      </c>
      <c r="Q17" s="71">
        <v>13</v>
      </c>
      <c r="R17" s="68"/>
      <c r="S17" s="72">
        <v>2</v>
      </c>
      <c r="T17" s="73">
        <v>13</v>
      </c>
    </row>
    <row r="18" spans="1:39" ht="18">
      <c r="A18" s="120" t="s">
        <v>619</v>
      </c>
      <c r="B18" s="120" t="s">
        <v>619</v>
      </c>
      <c r="C18" s="120"/>
      <c r="D18" s="120" t="s">
        <v>129</v>
      </c>
      <c r="E18" s="120" t="s">
        <v>4</v>
      </c>
      <c r="F18" s="120" t="s">
        <v>161</v>
      </c>
      <c r="G18" s="65">
        <v>66.599999999999994</v>
      </c>
      <c r="H18" s="115">
        <v>58</v>
      </c>
      <c r="I18" s="65">
        <v>-0.96495948841431467</v>
      </c>
      <c r="J18" s="115">
        <v>54</v>
      </c>
      <c r="K18" s="65">
        <v>0.2</v>
      </c>
      <c r="L18" s="115">
        <v>51</v>
      </c>
      <c r="M18" s="69">
        <v>32.785087719298247</v>
      </c>
      <c r="N18" s="69">
        <v>30.840307434862098</v>
      </c>
      <c r="O18" s="69">
        <v>30</v>
      </c>
      <c r="P18" s="69">
        <v>43.625395154160344</v>
      </c>
      <c r="Q18" s="71">
        <v>57</v>
      </c>
      <c r="R18" s="68"/>
      <c r="S18" s="72">
        <v>7</v>
      </c>
      <c r="T18" s="73">
        <v>57</v>
      </c>
    </row>
    <row r="19" spans="1:39" ht="18">
      <c r="A19" s="286" t="s">
        <v>620</v>
      </c>
      <c r="B19" s="286" t="s">
        <v>621</v>
      </c>
      <c r="C19" s="76"/>
      <c r="D19" s="119" t="s">
        <v>5</v>
      </c>
      <c r="E19" s="119" t="s">
        <v>2</v>
      </c>
      <c r="F19" s="119" t="s">
        <v>164</v>
      </c>
      <c r="G19" s="106">
        <v>93.6</v>
      </c>
      <c r="H19" s="108">
        <v>8</v>
      </c>
      <c r="I19" s="106">
        <v>0.68121073778123542</v>
      </c>
      <c r="J19" s="108">
        <v>11</v>
      </c>
      <c r="K19" s="106">
        <v>0.8</v>
      </c>
      <c r="L19" s="108">
        <v>11</v>
      </c>
      <c r="M19" s="109">
        <v>47.587719298245617</v>
      </c>
      <c r="N19" s="109">
        <v>46.208214102067686</v>
      </c>
      <c r="O19" s="109">
        <v>45</v>
      </c>
      <c r="P19" s="109">
        <v>88.795933400313288</v>
      </c>
      <c r="Q19" s="111">
        <v>9</v>
      </c>
      <c r="R19" s="64"/>
      <c r="S19" s="112">
        <v>4</v>
      </c>
      <c r="T19" s="113">
        <v>9</v>
      </c>
    </row>
    <row r="20" spans="1:39" ht="18">
      <c r="A20" s="286" t="s">
        <v>622</v>
      </c>
      <c r="B20" s="76"/>
      <c r="C20" s="76"/>
      <c r="D20" s="119" t="s">
        <v>5</v>
      </c>
      <c r="E20" s="119" t="s">
        <v>2</v>
      </c>
      <c r="F20" s="119" t="s">
        <v>167</v>
      </c>
      <c r="G20" s="106">
        <v>86.4</v>
      </c>
      <c r="H20" s="108">
        <v>31</v>
      </c>
      <c r="I20" s="106">
        <v>0.23043344411205688</v>
      </c>
      <c r="J20" s="108">
        <v>27</v>
      </c>
      <c r="K20" s="106">
        <v>0.6</v>
      </c>
      <c r="L20" s="108">
        <v>29</v>
      </c>
      <c r="M20" s="109">
        <v>43.640350877192986</v>
      </c>
      <c r="N20" s="109">
        <v>41.999959532421173</v>
      </c>
      <c r="O20" s="109">
        <v>40</v>
      </c>
      <c r="P20" s="109">
        <v>75.640310409614159</v>
      </c>
      <c r="Q20" s="111">
        <v>30</v>
      </c>
      <c r="R20" s="64"/>
      <c r="S20" s="112">
        <v>12</v>
      </c>
      <c r="T20" s="113">
        <v>30</v>
      </c>
    </row>
    <row r="21" spans="1:39" ht="27.6">
      <c r="A21" s="286" t="s">
        <v>623</v>
      </c>
      <c r="B21" s="76"/>
      <c r="C21" s="76"/>
      <c r="D21" s="119" t="s">
        <v>5</v>
      </c>
      <c r="E21" s="119" t="s">
        <v>2</v>
      </c>
      <c r="F21" s="119" t="s">
        <v>170</v>
      </c>
      <c r="G21" s="106">
        <v>77.5</v>
      </c>
      <c r="H21" s="108">
        <v>47</v>
      </c>
      <c r="I21" s="106">
        <v>-0.6838312130711659</v>
      </c>
      <c r="J21" s="108">
        <v>48</v>
      </c>
      <c r="K21" s="106">
        <v>0.22916666666666666</v>
      </c>
      <c r="L21" s="108">
        <v>49</v>
      </c>
      <c r="M21" s="109">
        <v>38.760964912280699</v>
      </c>
      <c r="N21" s="109">
        <v>33.464794883508716</v>
      </c>
      <c r="O21" s="109">
        <v>30.729166666666664</v>
      </c>
      <c r="P21" s="109">
        <v>52.954926462456086</v>
      </c>
      <c r="Q21" s="111">
        <v>50</v>
      </c>
      <c r="R21" s="64"/>
      <c r="S21" s="112">
        <v>19</v>
      </c>
      <c r="T21" s="113">
        <v>50</v>
      </c>
      <c r="U21" s="41"/>
      <c r="V21" s="41"/>
      <c r="W21" s="41"/>
      <c r="X21" s="41"/>
      <c r="Y21" s="41"/>
      <c r="Z21" s="41"/>
      <c r="AA21" s="41"/>
      <c r="AB21" s="41"/>
      <c r="AC21" s="41"/>
      <c r="AD21" s="41"/>
      <c r="AE21" s="41"/>
      <c r="AF21" s="41"/>
      <c r="AG21" s="41"/>
      <c r="AH21" s="41"/>
      <c r="AI21" s="41"/>
      <c r="AJ21" s="41"/>
      <c r="AK21" s="41"/>
      <c r="AL21" s="41"/>
      <c r="AM21" s="41"/>
    </row>
    <row r="22" spans="1:39" ht="18">
      <c r="A22" s="286" t="s">
        <v>624</v>
      </c>
      <c r="B22" s="76"/>
      <c r="C22" s="76"/>
      <c r="D22" s="119" t="s">
        <v>173</v>
      </c>
      <c r="E22" s="119" t="s">
        <v>2</v>
      </c>
      <c r="F22" s="119" t="s">
        <v>174</v>
      </c>
      <c r="G22" s="106">
        <v>79</v>
      </c>
      <c r="H22" s="108">
        <v>44</v>
      </c>
      <c r="I22" s="106">
        <v>-0.54235726299115783</v>
      </c>
      <c r="J22" s="108">
        <v>46</v>
      </c>
      <c r="K22" s="106">
        <v>0.3</v>
      </c>
      <c r="L22" s="108">
        <v>45</v>
      </c>
      <c r="M22" s="109">
        <v>39.583333333333336</v>
      </c>
      <c r="N22" s="109">
        <v>34.785532208284145</v>
      </c>
      <c r="O22" s="109">
        <v>32.5</v>
      </c>
      <c r="P22" s="109">
        <v>56.868865541617481</v>
      </c>
      <c r="Q22" s="111">
        <v>46</v>
      </c>
      <c r="R22" s="64"/>
      <c r="S22" s="112">
        <v>18</v>
      </c>
      <c r="T22" s="113">
        <v>46</v>
      </c>
      <c r="U22" s="41"/>
      <c r="V22" s="41"/>
      <c r="W22" s="41"/>
      <c r="X22" s="41"/>
      <c r="Y22" s="41"/>
      <c r="Z22" s="41"/>
      <c r="AA22" s="41"/>
      <c r="AB22" s="41"/>
      <c r="AC22" s="41"/>
      <c r="AD22" s="41"/>
      <c r="AE22" s="41"/>
      <c r="AF22" s="41"/>
      <c r="AG22" s="41"/>
      <c r="AH22" s="41"/>
      <c r="AI22" s="41"/>
      <c r="AJ22" s="41"/>
      <c r="AK22" s="41"/>
      <c r="AL22" s="41"/>
      <c r="AM22" s="41"/>
    </row>
    <row r="23" spans="1:39" ht="18">
      <c r="A23" s="286" t="s">
        <v>625</v>
      </c>
      <c r="B23" s="76"/>
      <c r="C23" s="76"/>
      <c r="D23" s="119" t="s">
        <v>177</v>
      </c>
      <c r="E23" s="119" t="s">
        <v>2</v>
      </c>
      <c r="F23" s="119" t="s">
        <v>178</v>
      </c>
      <c r="G23" s="50">
        <v>97.75</v>
      </c>
      <c r="H23" s="57">
        <v>2</v>
      </c>
      <c r="I23" s="50">
        <v>1.0873769895977112</v>
      </c>
      <c r="J23" s="57">
        <v>1</v>
      </c>
      <c r="K23" s="50">
        <v>0.9375</v>
      </c>
      <c r="L23" s="57">
        <v>2</v>
      </c>
      <c r="M23" s="58">
        <v>49.862938596491226</v>
      </c>
      <c r="N23" s="58">
        <v>50</v>
      </c>
      <c r="O23" s="58">
        <v>48.4375</v>
      </c>
      <c r="P23" s="58">
        <v>98.300438596491233</v>
      </c>
      <c r="Q23" s="60">
        <v>1</v>
      </c>
      <c r="R23" s="55"/>
      <c r="S23" s="112">
        <v>1</v>
      </c>
      <c r="T23" s="61">
        <v>1</v>
      </c>
      <c r="U23" s="41"/>
      <c r="V23" s="41"/>
      <c r="W23" s="41"/>
      <c r="X23" s="41"/>
      <c r="Y23" s="41"/>
      <c r="Z23" s="41"/>
      <c r="AA23" s="41"/>
      <c r="AB23" s="41"/>
      <c r="AC23" s="41"/>
      <c r="AD23" s="41"/>
      <c r="AE23" s="41"/>
      <c r="AF23" s="41"/>
      <c r="AG23" s="41"/>
      <c r="AH23" s="41"/>
      <c r="AI23" s="41"/>
      <c r="AJ23" s="41"/>
      <c r="AK23" s="41"/>
      <c r="AL23" s="41"/>
      <c r="AM23" s="41"/>
    </row>
    <row r="24" spans="1:39" ht="18">
      <c r="A24" s="286" t="s">
        <v>626</v>
      </c>
      <c r="B24" s="76"/>
      <c r="C24" s="76"/>
      <c r="D24" s="119" t="s">
        <v>13</v>
      </c>
      <c r="E24" s="119" t="s">
        <v>2</v>
      </c>
      <c r="F24" s="119" t="s">
        <v>181</v>
      </c>
      <c r="G24" s="50">
        <v>71.400000000000006</v>
      </c>
      <c r="H24" s="57">
        <v>57</v>
      </c>
      <c r="I24" s="50">
        <v>-0.819600498957057</v>
      </c>
      <c r="J24" s="57">
        <v>51</v>
      </c>
      <c r="K24" s="50">
        <v>0.13333333333333333</v>
      </c>
      <c r="L24" s="57">
        <v>55</v>
      </c>
      <c r="M24" s="58">
        <v>35.416666666666671</v>
      </c>
      <c r="N24" s="58">
        <v>32.197313744216338</v>
      </c>
      <c r="O24" s="58">
        <v>28.333333333333332</v>
      </c>
      <c r="P24" s="58">
        <v>45.947313744216345</v>
      </c>
      <c r="Q24" s="60">
        <v>55</v>
      </c>
      <c r="R24" s="55"/>
      <c r="S24" s="112">
        <v>23</v>
      </c>
      <c r="T24" s="61">
        <v>55</v>
      </c>
      <c r="U24" s="41"/>
      <c r="V24" s="41"/>
      <c r="W24" s="41"/>
      <c r="X24" s="41"/>
      <c r="Y24" s="41"/>
      <c r="Z24" s="41"/>
      <c r="AA24" s="41"/>
      <c r="AB24" s="41"/>
      <c r="AC24" s="41"/>
      <c r="AD24" s="41"/>
      <c r="AE24" s="41"/>
      <c r="AF24" s="41"/>
      <c r="AG24" s="41"/>
      <c r="AH24" s="41"/>
      <c r="AI24" s="41"/>
      <c r="AJ24" s="41"/>
      <c r="AK24" s="41"/>
      <c r="AL24" s="41"/>
      <c r="AM24" s="41"/>
    </row>
    <row r="25" spans="1:39" ht="18">
      <c r="A25" s="286" t="s">
        <v>627</v>
      </c>
      <c r="B25" s="76"/>
      <c r="C25" s="76"/>
      <c r="D25" s="119" t="s">
        <v>13</v>
      </c>
      <c r="E25" s="119" t="s">
        <v>2</v>
      </c>
      <c r="F25" s="119" t="s">
        <v>184</v>
      </c>
      <c r="G25" s="50">
        <v>75.2</v>
      </c>
      <c r="H25" s="57">
        <v>52</v>
      </c>
      <c r="I25" s="50">
        <v>-0.97288836163378378</v>
      </c>
      <c r="J25" s="57">
        <v>55</v>
      </c>
      <c r="K25" s="50">
        <v>0.1</v>
      </c>
      <c r="L25" s="57">
        <v>58</v>
      </c>
      <c r="M25" s="58">
        <v>37.5</v>
      </c>
      <c r="N25" s="58">
        <v>30.766287031823637</v>
      </c>
      <c r="O25" s="58">
        <v>27.5</v>
      </c>
      <c r="P25" s="58">
        <v>45.766287031823637</v>
      </c>
      <c r="Q25" s="60">
        <v>56</v>
      </c>
      <c r="R25" s="55"/>
      <c r="S25" s="112">
        <v>24</v>
      </c>
      <c r="T25" s="61">
        <v>56</v>
      </c>
      <c r="U25" s="41"/>
      <c r="V25" s="41"/>
      <c r="W25" s="41"/>
      <c r="X25" s="41"/>
      <c r="Y25" s="41"/>
      <c r="Z25" s="41"/>
      <c r="AA25" s="41"/>
      <c r="AB25" s="41"/>
      <c r="AC25" s="41"/>
      <c r="AD25" s="41"/>
      <c r="AE25" s="41"/>
      <c r="AF25" s="41"/>
      <c r="AG25" s="41"/>
      <c r="AH25" s="41"/>
      <c r="AI25" s="41"/>
      <c r="AJ25" s="41"/>
      <c r="AK25" s="41"/>
      <c r="AL25" s="41"/>
      <c r="AM25" s="41"/>
    </row>
    <row r="26" spans="1:39" ht="18">
      <c r="A26" s="286" t="s">
        <v>628</v>
      </c>
      <c r="B26" s="76"/>
      <c r="C26" s="76"/>
      <c r="D26" s="119" t="s">
        <v>13</v>
      </c>
      <c r="E26" s="119" t="s">
        <v>2</v>
      </c>
      <c r="F26" s="119" t="s">
        <v>187</v>
      </c>
      <c r="G26" s="50">
        <v>88.2</v>
      </c>
      <c r="H26" s="57">
        <v>21</v>
      </c>
      <c r="I26" s="50">
        <v>0.19579938470915331</v>
      </c>
      <c r="J26" s="57">
        <v>30</v>
      </c>
      <c r="K26" s="50">
        <v>0.6</v>
      </c>
      <c r="L26" s="57">
        <v>29</v>
      </c>
      <c r="M26" s="58">
        <v>44.627192982456144</v>
      </c>
      <c r="N26" s="58">
        <v>41.676631492622789</v>
      </c>
      <c r="O26" s="58">
        <v>40</v>
      </c>
      <c r="P26" s="58">
        <v>76.303824475078926</v>
      </c>
      <c r="Q26" s="60">
        <v>29</v>
      </c>
      <c r="R26" s="55"/>
      <c r="S26" s="112">
        <v>11</v>
      </c>
      <c r="T26" s="61">
        <v>29</v>
      </c>
      <c r="U26" s="41"/>
      <c r="V26" s="41"/>
      <c r="W26" s="41"/>
      <c r="X26" s="41"/>
      <c r="Y26" s="41"/>
      <c r="Z26" s="41"/>
      <c r="AA26" s="41"/>
      <c r="AB26" s="41"/>
      <c r="AC26" s="41"/>
      <c r="AD26" s="41"/>
      <c r="AE26" s="41"/>
      <c r="AF26" s="41"/>
      <c r="AG26" s="41"/>
      <c r="AH26" s="41"/>
      <c r="AI26" s="41"/>
      <c r="AJ26" s="41"/>
      <c r="AK26" s="41"/>
      <c r="AL26" s="41"/>
      <c r="AM26" s="41"/>
    </row>
    <row r="27" spans="1:39" ht="18">
      <c r="A27" s="286" t="s">
        <v>629</v>
      </c>
      <c r="B27" s="76"/>
      <c r="C27" s="76"/>
      <c r="D27" s="119" t="s">
        <v>13</v>
      </c>
      <c r="E27" s="119" t="s">
        <v>2</v>
      </c>
      <c r="F27" s="119" t="s">
        <v>190</v>
      </c>
      <c r="G27" s="50">
        <v>88</v>
      </c>
      <c r="H27" s="57">
        <v>22</v>
      </c>
      <c r="I27" s="50">
        <v>0.55914349705053623</v>
      </c>
      <c r="J27" s="57">
        <v>15</v>
      </c>
      <c r="K27" s="50">
        <v>0.7</v>
      </c>
      <c r="L27" s="57">
        <v>19</v>
      </c>
      <c r="M27" s="58">
        <v>44.517543859649123</v>
      </c>
      <c r="N27" s="58">
        <v>45.068649108836027</v>
      </c>
      <c r="O27" s="58">
        <v>42.5</v>
      </c>
      <c r="P27" s="58">
        <v>82.086192968485136</v>
      </c>
      <c r="Q27" s="60">
        <v>18</v>
      </c>
      <c r="R27" s="55"/>
      <c r="S27" s="112">
        <v>7</v>
      </c>
      <c r="T27" s="61">
        <v>18</v>
      </c>
      <c r="U27" s="41"/>
      <c r="V27" s="41"/>
      <c r="W27" s="41"/>
      <c r="X27" s="41"/>
      <c r="Y27" s="41"/>
      <c r="Z27" s="41"/>
      <c r="AA27" s="41"/>
      <c r="AB27" s="41"/>
      <c r="AC27" s="41"/>
      <c r="AD27" s="41"/>
      <c r="AE27" s="41"/>
      <c r="AF27" s="41"/>
      <c r="AG27" s="41"/>
      <c r="AH27" s="41"/>
      <c r="AI27" s="41"/>
      <c r="AJ27" s="41"/>
      <c r="AK27" s="41"/>
      <c r="AL27" s="41"/>
      <c r="AM27" s="41"/>
    </row>
    <row r="28" spans="1:39" ht="18">
      <c r="A28" s="286" t="s">
        <v>630</v>
      </c>
      <c r="B28" s="76"/>
      <c r="C28" s="76"/>
      <c r="D28" s="119" t="s">
        <v>13</v>
      </c>
      <c r="E28" s="119" t="s">
        <v>2</v>
      </c>
      <c r="F28" s="119" t="s">
        <v>193</v>
      </c>
      <c r="G28" s="50">
        <v>84.8</v>
      </c>
      <c r="H28" s="57">
        <v>37</v>
      </c>
      <c r="I28" s="50">
        <v>-4.0885873272851522E-2</v>
      </c>
      <c r="J28" s="57">
        <v>39</v>
      </c>
      <c r="K28" s="50">
        <v>0.55000000000000004</v>
      </c>
      <c r="L28" s="57">
        <v>33</v>
      </c>
      <c r="M28" s="58">
        <v>42.763157894736842</v>
      </c>
      <c r="N28" s="58">
        <v>39.467044114422421</v>
      </c>
      <c r="O28" s="58">
        <v>38.75</v>
      </c>
      <c r="P28" s="58">
        <v>70.980202009159257</v>
      </c>
      <c r="Q28" s="60">
        <v>35</v>
      </c>
      <c r="R28" s="55"/>
      <c r="S28" s="112">
        <v>15</v>
      </c>
      <c r="T28" s="61">
        <v>35</v>
      </c>
      <c r="U28" s="41"/>
      <c r="V28" s="41"/>
      <c r="W28" s="41"/>
      <c r="X28" s="41"/>
      <c r="Y28" s="41"/>
      <c r="Z28" s="41"/>
      <c r="AA28" s="41"/>
      <c r="AB28" s="41"/>
      <c r="AC28" s="41"/>
      <c r="AD28" s="41"/>
      <c r="AE28" s="41"/>
      <c r="AF28" s="41"/>
      <c r="AG28" s="41"/>
      <c r="AH28" s="41"/>
      <c r="AI28" s="41"/>
      <c r="AJ28" s="41"/>
      <c r="AK28" s="41"/>
      <c r="AL28" s="41"/>
      <c r="AM28" s="41"/>
    </row>
    <row r="29" spans="1:39" ht="27.6">
      <c r="A29" s="286" t="s">
        <v>631</v>
      </c>
      <c r="B29" s="76"/>
      <c r="C29" s="76"/>
      <c r="D29" s="119" t="s">
        <v>13</v>
      </c>
      <c r="E29" s="119" t="s">
        <v>2</v>
      </c>
      <c r="F29" s="119" t="s">
        <v>196</v>
      </c>
      <c r="G29" s="50">
        <v>92.5</v>
      </c>
      <c r="H29" s="57">
        <v>10</v>
      </c>
      <c r="I29" s="50">
        <v>0.81461207591901585</v>
      </c>
      <c r="J29" s="57">
        <v>7</v>
      </c>
      <c r="K29" s="50">
        <v>0.8125</v>
      </c>
      <c r="L29" s="57">
        <v>9</v>
      </c>
      <c r="M29" s="58">
        <v>46.984649122807014</v>
      </c>
      <c r="N29" s="58">
        <v>47.453589143578256</v>
      </c>
      <c r="O29" s="58">
        <v>45.3125</v>
      </c>
      <c r="P29" s="58">
        <v>89.75073826638527</v>
      </c>
      <c r="Q29" s="60">
        <v>7</v>
      </c>
      <c r="R29" s="55"/>
      <c r="S29" s="112">
        <v>2</v>
      </c>
      <c r="T29" s="61">
        <v>7</v>
      </c>
      <c r="U29" s="41"/>
      <c r="V29" s="41"/>
      <c r="W29" s="41"/>
      <c r="X29" s="41"/>
      <c r="Y29" s="41"/>
      <c r="Z29" s="41"/>
      <c r="AA29" s="41"/>
      <c r="AB29" s="41"/>
      <c r="AC29" s="41"/>
      <c r="AD29" s="41"/>
      <c r="AE29" s="41"/>
      <c r="AF29" s="41"/>
      <c r="AG29" s="41"/>
      <c r="AH29" s="41"/>
      <c r="AI29" s="41"/>
      <c r="AJ29" s="41"/>
      <c r="AK29" s="41"/>
      <c r="AL29" s="41"/>
      <c r="AM29" s="41"/>
    </row>
    <row r="30" spans="1:39" ht="18">
      <c r="A30" s="286" t="s">
        <v>632</v>
      </c>
      <c r="B30" s="76"/>
      <c r="C30" s="76"/>
      <c r="D30" s="119" t="s">
        <v>13</v>
      </c>
      <c r="E30" s="119" t="s">
        <v>2</v>
      </c>
      <c r="F30" s="119" t="s">
        <v>199</v>
      </c>
      <c r="G30" s="50">
        <v>87</v>
      </c>
      <c r="H30" s="57">
        <v>28</v>
      </c>
      <c r="I30" s="50">
        <v>0.36053527161529625</v>
      </c>
      <c r="J30" s="57">
        <v>22</v>
      </c>
      <c r="K30" s="50">
        <v>0.68333333333333335</v>
      </c>
      <c r="L30" s="57">
        <v>20</v>
      </c>
      <c r="M30" s="58">
        <v>43.969298245614034</v>
      </c>
      <c r="N30" s="58">
        <v>43.214531822993727</v>
      </c>
      <c r="O30" s="58">
        <v>42.083333333333329</v>
      </c>
      <c r="P30" s="58">
        <v>79.267163401941104</v>
      </c>
      <c r="Q30" s="60">
        <v>23</v>
      </c>
      <c r="R30" s="55"/>
      <c r="S30" s="112">
        <v>9</v>
      </c>
      <c r="T30" s="61">
        <v>23</v>
      </c>
      <c r="U30" s="41"/>
      <c r="V30" s="41"/>
      <c r="W30" s="41"/>
      <c r="X30" s="41"/>
      <c r="Y30" s="41"/>
      <c r="Z30" s="41"/>
      <c r="AA30" s="41"/>
      <c r="AB30" s="41"/>
      <c r="AC30" s="41"/>
      <c r="AD30" s="41"/>
      <c r="AE30" s="41"/>
      <c r="AF30" s="41"/>
      <c r="AG30" s="41"/>
      <c r="AH30" s="41"/>
      <c r="AI30" s="41"/>
      <c r="AJ30" s="41"/>
      <c r="AK30" s="41"/>
      <c r="AL30" s="41"/>
      <c r="AM30" s="41"/>
    </row>
    <row r="31" spans="1:39" ht="18">
      <c r="A31" s="286" t="s">
        <v>633</v>
      </c>
      <c r="B31" s="76"/>
      <c r="C31" s="76"/>
      <c r="D31" s="119" t="s">
        <v>13</v>
      </c>
      <c r="E31" s="119" t="s">
        <v>2</v>
      </c>
      <c r="F31" s="119" t="s">
        <v>202</v>
      </c>
      <c r="G31" s="50">
        <v>90.2</v>
      </c>
      <c r="H31" s="57">
        <v>15</v>
      </c>
      <c r="I31" s="50">
        <v>0.56130708089139991</v>
      </c>
      <c r="J31" s="57">
        <v>14</v>
      </c>
      <c r="K31" s="50">
        <v>0.71666666666666667</v>
      </c>
      <c r="L31" s="57">
        <v>16</v>
      </c>
      <c r="M31" s="58">
        <v>45.723684210526315</v>
      </c>
      <c r="N31" s="58">
        <v>45.088847356868925</v>
      </c>
      <c r="O31" s="58">
        <v>42.916666666666671</v>
      </c>
      <c r="P31" s="58">
        <v>83.729198234061926</v>
      </c>
      <c r="Q31" s="60">
        <v>16</v>
      </c>
      <c r="R31" s="55"/>
      <c r="S31" s="112">
        <v>6</v>
      </c>
      <c r="T31" s="61">
        <v>16</v>
      </c>
      <c r="U31" s="41"/>
      <c r="V31" s="41"/>
      <c r="W31" s="41"/>
      <c r="X31" s="41"/>
      <c r="Y31" s="41"/>
      <c r="Z31" s="41"/>
      <c r="AA31" s="41"/>
      <c r="AB31" s="41"/>
      <c r="AC31" s="41"/>
      <c r="AD31" s="41"/>
      <c r="AE31" s="41"/>
      <c r="AF31" s="41"/>
      <c r="AG31" s="41"/>
      <c r="AH31" s="41"/>
      <c r="AI31" s="41"/>
      <c r="AJ31" s="41"/>
      <c r="AK31" s="41"/>
      <c r="AL31" s="41"/>
      <c r="AM31" s="41"/>
    </row>
    <row r="32" spans="1:39" ht="18">
      <c r="A32" s="286" t="s">
        <v>634</v>
      </c>
      <c r="B32" s="76"/>
      <c r="C32" s="76"/>
      <c r="D32" s="119" t="s">
        <v>13</v>
      </c>
      <c r="E32" s="119" t="s">
        <v>2</v>
      </c>
      <c r="F32" s="119" t="s">
        <v>205</v>
      </c>
      <c r="G32" s="50">
        <v>86.4</v>
      </c>
      <c r="H32" s="57">
        <v>31</v>
      </c>
      <c r="I32" s="50">
        <v>0.12606211844792353</v>
      </c>
      <c r="J32" s="57">
        <v>32</v>
      </c>
      <c r="K32" s="50">
        <v>0.58333333333333326</v>
      </c>
      <c r="L32" s="57">
        <v>31</v>
      </c>
      <c r="M32" s="58">
        <v>43.640350877192986</v>
      </c>
      <c r="N32" s="58">
        <v>41.025595662868128</v>
      </c>
      <c r="O32" s="58">
        <v>39.583333333333329</v>
      </c>
      <c r="P32" s="58">
        <v>74.249279873394443</v>
      </c>
      <c r="Q32" s="60">
        <v>32</v>
      </c>
      <c r="R32" s="55"/>
      <c r="S32" s="112">
        <v>13</v>
      </c>
      <c r="T32" s="61">
        <v>32</v>
      </c>
      <c r="U32" s="41"/>
      <c r="V32" s="41"/>
      <c r="W32" s="41"/>
      <c r="X32" s="41"/>
      <c r="Y32" s="41"/>
      <c r="Z32" s="41"/>
      <c r="AA32" s="41"/>
      <c r="AB32" s="41"/>
      <c r="AC32" s="41"/>
      <c r="AD32" s="41"/>
      <c r="AE32" s="41"/>
      <c r="AF32" s="41"/>
      <c r="AG32" s="41"/>
      <c r="AH32" s="41"/>
      <c r="AI32" s="41"/>
      <c r="AJ32" s="41"/>
      <c r="AK32" s="41"/>
      <c r="AL32" s="41"/>
      <c r="AM32" s="41"/>
    </row>
    <row r="33" spans="1:39" ht="18">
      <c r="A33" s="286" t="s">
        <v>635</v>
      </c>
      <c r="B33" s="286" t="s">
        <v>636</v>
      </c>
      <c r="C33" s="76"/>
      <c r="D33" s="119" t="s">
        <v>129</v>
      </c>
      <c r="E33" s="119" t="s">
        <v>2</v>
      </c>
      <c r="F33" s="119" t="s">
        <v>208</v>
      </c>
      <c r="G33" s="50">
        <v>65.8</v>
      </c>
      <c r="H33" s="57">
        <v>59</v>
      </c>
      <c r="I33" s="50">
        <v>-1.371539110716899</v>
      </c>
      <c r="J33" s="57">
        <v>61</v>
      </c>
      <c r="K33" s="50">
        <v>8.3333333333333329E-2</v>
      </c>
      <c r="L33" s="57">
        <v>59</v>
      </c>
      <c r="M33" s="58">
        <v>32.346491228070178</v>
      </c>
      <c r="N33" s="58">
        <v>27.044662495532734</v>
      </c>
      <c r="O33" s="58">
        <v>27.083333333333332</v>
      </c>
      <c r="P33" s="58">
        <v>36.47448705693624</v>
      </c>
      <c r="Q33" s="60">
        <v>60</v>
      </c>
      <c r="R33" s="55"/>
      <c r="S33" s="112">
        <v>25</v>
      </c>
      <c r="T33" s="61">
        <v>60</v>
      </c>
      <c r="U33" s="41"/>
      <c r="V33" s="41"/>
      <c r="W33" s="41"/>
      <c r="X33" s="41"/>
      <c r="Y33" s="41"/>
      <c r="Z33" s="41"/>
      <c r="AA33" s="41"/>
      <c r="AB33" s="41"/>
      <c r="AC33" s="41"/>
      <c r="AD33" s="41"/>
      <c r="AE33" s="41"/>
      <c r="AF33" s="41"/>
      <c r="AG33" s="41"/>
      <c r="AH33" s="41"/>
      <c r="AI33" s="41"/>
      <c r="AJ33" s="41"/>
      <c r="AK33" s="41"/>
      <c r="AL33" s="41"/>
      <c r="AM33" s="41"/>
    </row>
    <row r="34" spans="1:39" ht="18">
      <c r="A34" s="286" t="s">
        <v>637</v>
      </c>
      <c r="B34" s="286" t="s">
        <v>638</v>
      </c>
      <c r="C34" s="76"/>
      <c r="D34" s="119" t="s">
        <v>129</v>
      </c>
      <c r="E34" s="119" t="s">
        <v>2</v>
      </c>
      <c r="F34" s="119" t="s">
        <v>211</v>
      </c>
      <c r="G34" s="50">
        <v>79.25</v>
      </c>
      <c r="H34" s="57">
        <v>43</v>
      </c>
      <c r="I34" s="50">
        <v>-0.3281842746621727</v>
      </c>
      <c r="J34" s="57">
        <v>44</v>
      </c>
      <c r="K34" s="50">
        <v>0.35</v>
      </c>
      <c r="L34" s="57">
        <v>44</v>
      </c>
      <c r="M34" s="58">
        <v>39.720394736842103</v>
      </c>
      <c r="N34" s="58">
        <v>36.784955137274338</v>
      </c>
      <c r="O34" s="58">
        <v>33.75</v>
      </c>
      <c r="P34" s="58">
        <v>60.255349874116433</v>
      </c>
      <c r="Q34" s="60">
        <v>43</v>
      </c>
      <c r="R34" s="55"/>
      <c r="S34" s="112">
        <v>17</v>
      </c>
      <c r="T34" s="61">
        <v>43</v>
      </c>
      <c r="U34" s="41"/>
      <c r="V34" s="41"/>
      <c r="W34" s="41"/>
      <c r="X34" s="41"/>
      <c r="Y34" s="41"/>
      <c r="Z34" s="41"/>
      <c r="AA34" s="41"/>
      <c r="AB34" s="41"/>
      <c r="AC34" s="41"/>
      <c r="AD34" s="41"/>
      <c r="AE34" s="41"/>
      <c r="AF34" s="41"/>
      <c r="AG34" s="41"/>
      <c r="AH34" s="41"/>
      <c r="AI34" s="41"/>
      <c r="AJ34" s="41"/>
      <c r="AK34" s="41"/>
      <c r="AL34" s="41"/>
      <c r="AM34" s="41"/>
    </row>
    <row r="35" spans="1:39" ht="18">
      <c r="A35" s="286" t="s">
        <v>639</v>
      </c>
      <c r="B35" s="286" t="s">
        <v>640</v>
      </c>
      <c r="C35" s="76"/>
      <c r="D35" s="119" t="s">
        <v>129</v>
      </c>
      <c r="E35" s="119" t="s">
        <v>2</v>
      </c>
      <c r="F35" s="119" t="s">
        <v>214</v>
      </c>
      <c r="G35" s="50">
        <v>74.599999999999994</v>
      </c>
      <c r="H35" s="57">
        <v>54</v>
      </c>
      <c r="I35" s="50">
        <v>-1.2010103231364273</v>
      </c>
      <c r="J35" s="57">
        <v>58</v>
      </c>
      <c r="K35" s="50">
        <v>0.25</v>
      </c>
      <c r="L35" s="57">
        <v>47</v>
      </c>
      <c r="M35" s="58">
        <v>37.171052631578945</v>
      </c>
      <c r="N35" s="58">
        <v>28.636642747578129</v>
      </c>
      <c r="O35" s="58">
        <v>31.25</v>
      </c>
      <c r="P35" s="58">
        <v>47.057695379157082</v>
      </c>
      <c r="Q35" s="60">
        <v>52</v>
      </c>
      <c r="R35" s="55"/>
      <c r="S35" s="112">
        <v>20</v>
      </c>
      <c r="T35" s="61">
        <v>52</v>
      </c>
      <c r="U35" s="41"/>
      <c r="V35" s="41"/>
      <c r="W35" s="41"/>
      <c r="X35" s="41"/>
      <c r="Y35" s="41"/>
      <c r="Z35" s="41"/>
      <c r="AA35" s="41"/>
      <c r="AB35" s="41"/>
      <c r="AC35" s="41"/>
      <c r="AD35" s="41"/>
      <c r="AE35" s="41"/>
      <c r="AF35" s="41"/>
      <c r="AG35" s="41"/>
      <c r="AH35" s="41"/>
      <c r="AI35" s="41"/>
      <c r="AJ35" s="41"/>
      <c r="AK35" s="41"/>
      <c r="AL35" s="41"/>
      <c r="AM35" s="41"/>
    </row>
    <row r="36" spans="1:39" ht="27.6">
      <c r="A36" s="286" t="s">
        <v>641</v>
      </c>
      <c r="B36" s="286" t="s">
        <v>642</v>
      </c>
      <c r="C36" s="76"/>
      <c r="D36" s="119" t="s">
        <v>129</v>
      </c>
      <c r="E36" s="119" t="s">
        <v>2</v>
      </c>
      <c r="F36" s="119" t="s">
        <v>217</v>
      </c>
      <c r="G36" s="50">
        <v>86.4</v>
      </c>
      <c r="H36" s="57">
        <v>31</v>
      </c>
      <c r="I36" s="50">
        <v>0.28663081991116474</v>
      </c>
      <c r="J36" s="57">
        <v>26</v>
      </c>
      <c r="K36" s="50">
        <v>0.65</v>
      </c>
      <c r="L36" s="57">
        <v>25</v>
      </c>
      <c r="M36" s="58">
        <v>43.640350877192986</v>
      </c>
      <c r="N36" s="58">
        <v>42.524593019577914</v>
      </c>
      <c r="O36" s="58">
        <v>41.25</v>
      </c>
      <c r="P36" s="58">
        <v>77.414943896770893</v>
      </c>
      <c r="Q36" s="60">
        <v>27</v>
      </c>
      <c r="R36" s="55"/>
      <c r="S36" s="112">
        <v>10</v>
      </c>
      <c r="T36" s="61">
        <v>27</v>
      </c>
      <c r="U36" s="41"/>
      <c r="V36" s="41"/>
      <c r="W36" s="41"/>
      <c r="X36" s="41"/>
      <c r="Y36" s="41"/>
      <c r="Z36" s="41"/>
      <c r="AA36" s="41"/>
      <c r="AB36" s="41"/>
      <c r="AC36" s="41"/>
      <c r="AD36" s="41"/>
      <c r="AE36" s="41"/>
      <c r="AF36" s="41"/>
      <c r="AG36" s="41"/>
      <c r="AH36" s="41"/>
      <c r="AI36" s="41"/>
      <c r="AJ36" s="41"/>
      <c r="AK36" s="41"/>
      <c r="AL36" s="41"/>
      <c r="AM36" s="41"/>
    </row>
    <row r="37" spans="1:39" ht="27.6">
      <c r="A37" s="286" t="s">
        <v>643</v>
      </c>
      <c r="B37" s="286" t="s">
        <v>644</v>
      </c>
      <c r="C37" s="76"/>
      <c r="D37" s="119" t="s">
        <v>129</v>
      </c>
      <c r="E37" s="119" t="s">
        <v>2</v>
      </c>
      <c r="F37" s="119" t="s">
        <v>220</v>
      </c>
      <c r="G37" s="50">
        <v>76.75</v>
      </c>
      <c r="H37" s="57">
        <v>50</v>
      </c>
      <c r="I37" s="50">
        <v>-1.0730484715119712</v>
      </c>
      <c r="J37" s="57">
        <v>57</v>
      </c>
      <c r="K37" s="50">
        <v>0.125</v>
      </c>
      <c r="L37" s="57">
        <v>56</v>
      </c>
      <c r="M37" s="58">
        <v>38.349780701754383</v>
      </c>
      <c r="N37" s="58">
        <v>29.831237183459905</v>
      </c>
      <c r="O37" s="58">
        <v>28.125</v>
      </c>
      <c r="P37" s="58">
        <v>46.306017885214288</v>
      </c>
      <c r="Q37" s="60">
        <v>54</v>
      </c>
      <c r="R37" s="55"/>
      <c r="S37" s="112">
        <v>22</v>
      </c>
      <c r="T37" s="61">
        <v>54</v>
      </c>
      <c r="U37" s="41"/>
      <c r="V37" s="41"/>
      <c r="W37" s="41"/>
      <c r="X37" s="41"/>
      <c r="Y37" s="41"/>
      <c r="Z37" s="41"/>
      <c r="AA37" s="41"/>
      <c r="AB37" s="41"/>
      <c r="AC37" s="41"/>
      <c r="AD37" s="41"/>
      <c r="AE37" s="41"/>
      <c r="AF37" s="41"/>
      <c r="AG37" s="41"/>
      <c r="AH37" s="41"/>
      <c r="AI37" s="41"/>
      <c r="AJ37" s="41"/>
      <c r="AK37" s="41"/>
      <c r="AL37" s="41"/>
      <c r="AM37" s="41"/>
    </row>
    <row r="38" spans="1:39" ht="18">
      <c r="A38" s="286" t="s">
        <v>645</v>
      </c>
      <c r="B38" s="286" t="s">
        <v>646</v>
      </c>
      <c r="C38" s="76"/>
      <c r="D38" s="119" t="s">
        <v>129</v>
      </c>
      <c r="E38" s="119" t="s">
        <v>2</v>
      </c>
      <c r="F38" s="119" t="s">
        <v>223</v>
      </c>
      <c r="G38" s="50">
        <v>87.25</v>
      </c>
      <c r="H38" s="57">
        <v>26</v>
      </c>
      <c r="I38" s="50">
        <v>8.931355799732385E-2</v>
      </c>
      <c r="J38" s="57">
        <v>34</v>
      </c>
      <c r="K38" s="50">
        <v>0.5625</v>
      </c>
      <c r="L38" s="57">
        <v>32</v>
      </c>
      <c r="M38" s="58">
        <v>44.106359649122808</v>
      </c>
      <c r="N38" s="58">
        <v>40.682527589972551</v>
      </c>
      <c r="O38" s="58">
        <v>39.0625</v>
      </c>
      <c r="P38" s="58">
        <v>73.851387239095359</v>
      </c>
      <c r="Q38" s="60">
        <v>33</v>
      </c>
      <c r="R38" s="55"/>
      <c r="S38" s="112">
        <v>14</v>
      </c>
      <c r="T38" s="61">
        <v>33</v>
      </c>
      <c r="U38" s="41"/>
      <c r="V38" s="41"/>
      <c r="W38" s="41"/>
      <c r="X38" s="41"/>
      <c r="Y38" s="41"/>
      <c r="Z38" s="41"/>
      <c r="AA38" s="41"/>
      <c r="AB38" s="41"/>
      <c r="AC38" s="41"/>
      <c r="AD38" s="41"/>
      <c r="AE38" s="41"/>
      <c r="AF38" s="41"/>
      <c r="AG38" s="41"/>
      <c r="AH38" s="41"/>
      <c r="AI38" s="41"/>
      <c r="AJ38" s="41"/>
      <c r="AK38" s="41"/>
      <c r="AL38" s="41"/>
      <c r="AM38" s="41"/>
    </row>
    <row r="39" spans="1:39" ht="18">
      <c r="A39" s="286" t="s">
        <v>647</v>
      </c>
      <c r="B39" s="76"/>
      <c r="C39" s="76"/>
      <c r="D39" s="119" t="s">
        <v>226</v>
      </c>
      <c r="E39" s="119" t="s">
        <v>2</v>
      </c>
      <c r="F39" s="119" t="s">
        <v>227</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2">
        <v>21</v>
      </c>
      <c r="T39" s="61">
        <v>53</v>
      </c>
      <c r="U39" s="41"/>
      <c r="V39" s="41"/>
      <c r="W39" s="41"/>
      <c r="X39" s="41"/>
      <c r="Y39" s="41"/>
      <c r="Z39" s="41"/>
      <c r="AA39" s="41"/>
      <c r="AB39" s="41"/>
      <c r="AC39" s="41"/>
      <c r="AD39" s="41"/>
      <c r="AE39" s="41"/>
      <c r="AF39" s="41"/>
      <c r="AG39" s="41"/>
      <c r="AH39" s="41"/>
      <c r="AI39" s="41"/>
      <c r="AJ39" s="41"/>
      <c r="AK39" s="41"/>
      <c r="AL39" s="41"/>
      <c r="AM39" s="41"/>
    </row>
    <row r="40" spans="1:39" ht="18">
      <c r="A40" s="286" t="s">
        <v>648</v>
      </c>
      <c r="B40" s="76"/>
      <c r="C40" s="76"/>
      <c r="D40" s="119" t="s">
        <v>226</v>
      </c>
      <c r="E40" s="119" t="s">
        <v>2</v>
      </c>
      <c r="F40" s="119" t="s">
        <v>230</v>
      </c>
      <c r="G40" s="50">
        <v>77.2</v>
      </c>
      <c r="H40" s="57">
        <v>48</v>
      </c>
      <c r="I40" s="50">
        <v>-3.6387751726159601E-3</v>
      </c>
      <c r="J40" s="57">
        <v>38</v>
      </c>
      <c r="K40" s="50">
        <v>0.49000000000000005</v>
      </c>
      <c r="L40" s="57">
        <v>36</v>
      </c>
      <c r="M40" s="58">
        <v>38.596491228070178</v>
      </c>
      <c r="N40" s="58">
        <v>39.814766311142968</v>
      </c>
      <c r="O40" s="58">
        <v>37.25</v>
      </c>
      <c r="P40" s="58">
        <v>65.661257539213153</v>
      </c>
      <c r="Q40" s="60">
        <v>41</v>
      </c>
      <c r="R40" s="55"/>
      <c r="S40" s="112">
        <v>16</v>
      </c>
      <c r="T40" s="61">
        <v>41</v>
      </c>
      <c r="U40" s="41"/>
      <c r="V40" s="41"/>
      <c r="W40" s="41"/>
      <c r="X40" s="41"/>
      <c r="Y40" s="41"/>
      <c r="Z40" s="41"/>
      <c r="AA40" s="41"/>
      <c r="AB40" s="41"/>
      <c r="AC40" s="41"/>
      <c r="AD40" s="41"/>
      <c r="AE40" s="41"/>
      <c r="AF40" s="41"/>
      <c r="AG40" s="41"/>
      <c r="AH40" s="41"/>
      <c r="AI40" s="41"/>
      <c r="AJ40" s="41"/>
      <c r="AK40" s="41"/>
      <c r="AL40" s="41"/>
      <c r="AM40" s="41"/>
    </row>
    <row r="41" spans="1:39" ht="27.6">
      <c r="A41" s="286" t="s">
        <v>649</v>
      </c>
      <c r="B41" s="76"/>
      <c r="C41" s="76"/>
      <c r="D41" s="119" t="s">
        <v>14</v>
      </c>
      <c r="E41" s="119" t="s">
        <v>2</v>
      </c>
      <c r="F41" s="119" t="s">
        <v>233</v>
      </c>
      <c r="G41" s="50">
        <v>87</v>
      </c>
      <c r="H41" s="57">
        <v>28</v>
      </c>
      <c r="I41" s="50">
        <v>0.39462119205623736</v>
      </c>
      <c r="J41" s="57">
        <v>20</v>
      </c>
      <c r="K41" s="50">
        <v>0.75</v>
      </c>
      <c r="L41" s="57">
        <v>15</v>
      </c>
      <c r="M41" s="58">
        <v>43.969298245614034</v>
      </c>
      <c r="N41" s="58">
        <v>43.532742683369207</v>
      </c>
      <c r="O41" s="58">
        <v>43.75</v>
      </c>
      <c r="P41" s="58">
        <v>81.252040928983234</v>
      </c>
      <c r="Q41" s="60">
        <v>20</v>
      </c>
      <c r="R41" s="55"/>
      <c r="S41" s="112">
        <v>8</v>
      </c>
      <c r="T41" s="61">
        <v>20</v>
      </c>
      <c r="U41" s="41"/>
      <c r="V41" s="41"/>
      <c r="W41" s="41"/>
      <c r="X41" s="41"/>
      <c r="Y41" s="41"/>
      <c r="Z41" s="41"/>
      <c r="AA41" s="41"/>
      <c r="AB41" s="41"/>
      <c r="AC41" s="41"/>
      <c r="AD41" s="41"/>
      <c r="AE41" s="41"/>
      <c r="AF41" s="41"/>
      <c r="AG41" s="41"/>
      <c r="AH41" s="41"/>
      <c r="AI41" s="41"/>
      <c r="AJ41" s="41"/>
      <c r="AK41" s="41"/>
      <c r="AL41" s="41"/>
      <c r="AM41" s="41"/>
    </row>
    <row r="42" spans="1:39" ht="18">
      <c r="A42" s="286" t="s">
        <v>650</v>
      </c>
      <c r="B42" s="76"/>
      <c r="C42" s="76"/>
      <c r="D42" s="119" t="s">
        <v>14</v>
      </c>
      <c r="E42" s="119" t="s">
        <v>2</v>
      </c>
      <c r="F42" s="119" t="s">
        <v>236</v>
      </c>
      <c r="G42" s="50">
        <v>90.4</v>
      </c>
      <c r="H42" s="57">
        <v>14</v>
      </c>
      <c r="I42" s="50">
        <v>0.76515563897067662</v>
      </c>
      <c r="J42" s="57">
        <v>9</v>
      </c>
      <c r="K42" s="50">
        <v>0.77</v>
      </c>
      <c r="L42" s="57">
        <v>13</v>
      </c>
      <c r="M42" s="58">
        <v>45.833333333333336</v>
      </c>
      <c r="N42" s="58">
        <v>46.991886037167973</v>
      </c>
      <c r="O42" s="58">
        <v>44.25</v>
      </c>
      <c r="P42" s="58">
        <v>87.075219370501316</v>
      </c>
      <c r="Q42" s="60">
        <v>11</v>
      </c>
      <c r="R42" s="55"/>
      <c r="S42" s="112">
        <v>5</v>
      </c>
      <c r="T42" s="61">
        <v>11</v>
      </c>
      <c r="U42" s="41"/>
      <c r="V42" s="41"/>
      <c r="W42" s="41"/>
      <c r="X42" s="41"/>
      <c r="Y42" s="41"/>
      <c r="Z42" s="41"/>
      <c r="AA42" s="41"/>
      <c r="AB42" s="41"/>
      <c r="AC42" s="41"/>
      <c r="AD42" s="41"/>
      <c r="AE42" s="41"/>
      <c r="AF42" s="41"/>
      <c r="AG42" s="41"/>
      <c r="AH42" s="41"/>
      <c r="AI42" s="41"/>
      <c r="AJ42" s="41"/>
      <c r="AK42" s="41"/>
      <c r="AL42" s="41"/>
      <c r="AM42" s="41"/>
    </row>
    <row r="43" spans="1:39" ht="18">
      <c r="A43" s="286" t="s">
        <v>651</v>
      </c>
      <c r="B43" s="76"/>
      <c r="C43" s="76"/>
      <c r="D43" s="119" t="s">
        <v>14</v>
      </c>
      <c r="E43" s="119" t="s">
        <v>2</v>
      </c>
      <c r="F43" s="119" t="s">
        <v>239</v>
      </c>
      <c r="G43" s="50">
        <v>87</v>
      </c>
      <c r="H43" s="57">
        <v>28</v>
      </c>
      <c r="I43" s="50">
        <v>0.94257924555716743</v>
      </c>
      <c r="J43" s="57">
        <v>5</v>
      </c>
      <c r="K43" s="50">
        <v>0.86666666666666659</v>
      </c>
      <c r="L43" s="57">
        <v>7</v>
      </c>
      <c r="M43" s="58">
        <v>43.969298245614034</v>
      </c>
      <c r="N43" s="58">
        <v>48.648233226049939</v>
      </c>
      <c r="O43" s="58">
        <v>46.666666666666664</v>
      </c>
      <c r="P43" s="58">
        <v>89.284198138330623</v>
      </c>
      <c r="Q43" s="60">
        <v>8</v>
      </c>
      <c r="R43" s="55"/>
      <c r="S43" s="112">
        <v>3</v>
      </c>
      <c r="T43" s="61">
        <v>8</v>
      </c>
      <c r="U43" s="41"/>
      <c r="V43" s="41"/>
      <c r="W43" s="41"/>
      <c r="X43" s="41"/>
      <c r="Y43" s="41"/>
      <c r="Z43" s="41"/>
      <c r="AA43" s="41"/>
      <c r="AB43" s="41"/>
      <c r="AC43" s="41"/>
      <c r="AD43" s="41"/>
      <c r="AE43" s="41"/>
      <c r="AF43" s="41"/>
      <c r="AG43" s="41"/>
      <c r="AH43" s="41"/>
      <c r="AI43" s="41"/>
      <c r="AJ43" s="41"/>
      <c r="AK43" s="41"/>
      <c r="AL43" s="41"/>
      <c r="AM43" s="41"/>
    </row>
    <row r="44" spans="1:39" ht="18">
      <c r="A44" s="120" t="s">
        <v>652</v>
      </c>
      <c r="B44" s="120" t="s">
        <v>652</v>
      </c>
      <c r="C44" s="120"/>
      <c r="D44" s="120" t="s">
        <v>94</v>
      </c>
      <c r="E44" s="120" t="s">
        <v>6</v>
      </c>
      <c r="F44" s="120" t="s">
        <v>242</v>
      </c>
      <c r="G44" s="65">
        <v>52.4</v>
      </c>
      <c r="H44" s="115">
        <v>62</v>
      </c>
      <c r="I44" s="65">
        <v>-1.5905580438515772</v>
      </c>
      <c r="J44" s="115">
        <v>62</v>
      </c>
      <c r="K44" s="65">
        <v>0</v>
      </c>
      <c r="L44" s="115">
        <v>60</v>
      </c>
      <c r="M44" s="69">
        <v>25</v>
      </c>
      <c r="N44" s="69">
        <v>25</v>
      </c>
      <c r="O44" s="69">
        <v>25</v>
      </c>
      <c r="P44" s="69">
        <v>25</v>
      </c>
      <c r="Q44" s="71">
        <v>62</v>
      </c>
      <c r="R44" s="68"/>
      <c r="S44" s="72">
        <v>4</v>
      </c>
      <c r="T44" s="72">
        <v>62</v>
      </c>
      <c r="U44" s="41"/>
      <c r="V44" s="41"/>
      <c r="W44" s="41"/>
      <c r="X44" s="41"/>
      <c r="Y44" s="41"/>
      <c r="Z44" s="41"/>
      <c r="AA44" s="41"/>
      <c r="AB44" s="41"/>
      <c r="AC44" s="41"/>
      <c r="AD44" s="41"/>
      <c r="AE44" s="41"/>
      <c r="AF44" s="41"/>
      <c r="AG44" s="41"/>
      <c r="AH44" s="41"/>
      <c r="AI44" s="41"/>
      <c r="AJ44" s="41"/>
      <c r="AK44" s="41"/>
      <c r="AL44" s="41"/>
      <c r="AM44" s="41"/>
    </row>
    <row r="45" spans="1:39" ht="18">
      <c r="A45" s="120" t="s">
        <v>653</v>
      </c>
      <c r="B45" s="120" t="s">
        <v>653</v>
      </c>
      <c r="C45" s="120"/>
      <c r="D45" s="120" t="s">
        <v>173</v>
      </c>
      <c r="E45" s="120" t="s">
        <v>6</v>
      </c>
      <c r="F45" s="120" t="s">
        <v>245</v>
      </c>
      <c r="G45" s="65">
        <v>85.6</v>
      </c>
      <c r="H45" s="115">
        <v>36</v>
      </c>
      <c r="I45" s="65">
        <v>0.1501531886573905</v>
      </c>
      <c r="J45" s="115">
        <v>31</v>
      </c>
      <c r="K45" s="65">
        <v>0.4333333333333334</v>
      </c>
      <c r="L45" s="115">
        <v>38</v>
      </c>
      <c r="M45" s="69">
        <v>43.201754385964911</v>
      </c>
      <c r="N45" s="69">
        <v>41.250499085734553</v>
      </c>
      <c r="O45" s="69">
        <v>35.833333333333336</v>
      </c>
      <c r="P45" s="69">
        <v>70.285586805032807</v>
      </c>
      <c r="Q45" s="71">
        <v>36</v>
      </c>
      <c r="R45" s="68"/>
      <c r="S45" s="72">
        <v>2</v>
      </c>
      <c r="T45" s="72">
        <v>36</v>
      </c>
      <c r="U45" s="41"/>
      <c r="V45" s="41"/>
      <c r="W45" s="41"/>
      <c r="X45" s="41"/>
      <c r="Y45" s="41"/>
      <c r="Z45" s="41"/>
      <c r="AA45" s="41"/>
      <c r="AB45" s="41"/>
      <c r="AC45" s="41"/>
      <c r="AD45" s="41"/>
      <c r="AE45" s="41"/>
      <c r="AF45" s="41"/>
      <c r="AG45" s="41"/>
      <c r="AH45" s="41"/>
      <c r="AI45" s="41"/>
      <c r="AJ45" s="41"/>
      <c r="AK45" s="41"/>
      <c r="AL45" s="41"/>
      <c r="AM45" s="41"/>
    </row>
    <row r="46" spans="1:39" ht="18">
      <c r="A46" s="120" t="s">
        <v>654</v>
      </c>
      <c r="B46" s="120"/>
      <c r="C46" s="120"/>
      <c r="D46" s="120" t="s">
        <v>13</v>
      </c>
      <c r="E46" s="120" t="s">
        <v>6</v>
      </c>
      <c r="F46" s="120" t="s">
        <v>248</v>
      </c>
      <c r="G46" s="65">
        <v>89</v>
      </c>
      <c r="H46" s="115">
        <v>19</v>
      </c>
      <c r="I46" s="65">
        <v>0.49039853249447091</v>
      </c>
      <c r="J46" s="115">
        <v>19</v>
      </c>
      <c r="K46" s="65">
        <v>0.71666666666666656</v>
      </c>
      <c r="L46" s="115">
        <v>17</v>
      </c>
      <c r="M46" s="69">
        <v>45.065789473684212</v>
      </c>
      <c r="N46" s="69">
        <v>44.426876962598421</v>
      </c>
      <c r="O46" s="69">
        <v>42.916666666666664</v>
      </c>
      <c r="P46" s="69">
        <v>82.40933310294929</v>
      </c>
      <c r="Q46" s="71">
        <v>17</v>
      </c>
      <c r="R46" s="68"/>
      <c r="S46" s="72">
        <v>1</v>
      </c>
      <c r="T46" s="72">
        <v>17</v>
      </c>
      <c r="U46" s="41"/>
      <c r="V46" s="41"/>
      <c r="W46" s="41"/>
      <c r="X46" s="41"/>
      <c r="Y46" s="41"/>
      <c r="Z46" s="41"/>
      <c r="AA46" s="41"/>
      <c r="AB46" s="41"/>
      <c r="AC46" s="41"/>
      <c r="AD46" s="41"/>
      <c r="AE46" s="41"/>
      <c r="AF46" s="41"/>
      <c r="AG46" s="41"/>
      <c r="AH46" s="41"/>
      <c r="AI46" s="41"/>
      <c r="AJ46" s="41"/>
      <c r="AK46" s="41"/>
      <c r="AL46" s="41"/>
      <c r="AM46" s="41"/>
    </row>
    <row r="47" spans="1:39" ht="18">
      <c r="A47" s="120" t="s">
        <v>655</v>
      </c>
      <c r="B47" s="120"/>
      <c r="C47" s="120"/>
      <c r="D47" s="120" t="s">
        <v>11</v>
      </c>
      <c r="E47" s="120" t="s">
        <v>6</v>
      </c>
      <c r="F47" s="120" t="s">
        <v>251</v>
      </c>
      <c r="G47" s="65">
        <v>76.8</v>
      </c>
      <c r="H47" s="115">
        <v>49</v>
      </c>
      <c r="I47" s="65">
        <v>-0.30033267260905105</v>
      </c>
      <c r="J47" s="115">
        <v>42</v>
      </c>
      <c r="K47" s="65">
        <v>0.4</v>
      </c>
      <c r="L47" s="115">
        <v>42</v>
      </c>
      <c r="M47" s="69">
        <v>38.377192982456137</v>
      </c>
      <c r="N47" s="69">
        <v>37.04496519824702</v>
      </c>
      <c r="O47" s="69">
        <v>35</v>
      </c>
      <c r="P47" s="69">
        <v>60.42215818070315</v>
      </c>
      <c r="Q47" s="71">
        <v>42</v>
      </c>
      <c r="R47" s="68"/>
      <c r="S47" s="72">
        <v>3</v>
      </c>
      <c r="T47" s="72">
        <v>42</v>
      </c>
      <c r="U47" s="41"/>
      <c r="V47" s="41"/>
      <c r="W47" s="41"/>
      <c r="X47" s="41"/>
      <c r="Y47" s="41"/>
      <c r="Z47" s="41"/>
      <c r="AA47" s="41"/>
      <c r="AB47" s="41"/>
      <c r="AC47" s="41"/>
      <c r="AD47" s="41"/>
      <c r="AE47" s="41"/>
      <c r="AF47" s="41"/>
      <c r="AG47" s="41"/>
      <c r="AH47" s="41"/>
      <c r="AI47" s="41"/>
      <c r="AJ47" s="41"/>
      <c r="AK47" s="41"/>
      <c r="AL47" s="41"/>
      <c r="AM47" s="41"/>
    </row>
    <row r="48" spans="1:39" ht="18">
      <c r="A48" s="286" t="s">
        <v>656</v>
      </c>
      <c r="B48" s="76"/>
      <c r="C48" s="76"/>
      <c r="D48" s="119" t="s">
        <v>11</v>
      </c>
      <c r="E48" s="119" t="s">
        <v>255</v>
      </c>
      <c r="F48" s="119" t="s">
        <v>254</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8">
      <c r="A49" s="120" t="s">
        <v>657</v>
      </c>
      <c r="B49" s="120"/>
      <c r="C49" s="120"/>
      <c r="D49" s="120" t="s">
        <v>94</v>
      </c>
      <c r="E49" s="120" t="s">
        <v>3</v>
      </c>
      <c r="F49" s="120" t="s">
        <v>258</v>
      </c>
      <c r="G49" s="65">
        <v>75.2</v>
      </c>
      <c r="H49" s="115">
        <v>52</v>
      </c>
      <c r="I49" s="65">
        <v>-1.2347015549531917</v>
      </c>
      <c r="J49" s="115">
        <v>59</v>
      </c>
      <c r="K49" s="65">
        <v>0</v>
      </c>
      <c r="L49" s="115">
        <v>60</v>
      </c>
      <c r="M49" s="69">
        <v>37.5</v>
      </c>
      <c r="N49" s="69">
        <v>28.322116523118449</v>
      </c>
      <c r="O49" s="69">
        <v>25</v>
      </c>
      <c r="P49" s="69">
        <v>40.822116523118453</v>
      </c>
      <c r="Q49" s="71">
        <v>59</v>
      </c>
      <c r="R49" s="68"/>
      <c r="S49" s="72">
        <v>2</v>
      </c>
      <c r="T49" s="72">
        <v>59</v>
      </c>
      <c r="U49" s="41"/>
      <c r="V49" s="41"/>
      <c r="W49" s="41"/>
      <c r="X49" s="41"/>
      <c r="Y49" s="41"/>
      <c r="Z49" s="41"/>
      <c r="AA49" s="41"/>
      <c r="AB49" s="41"/>
      <c r="AC49" s="41"/>
      <c r="AD49" s="41"/>
      <c r="AE49" s="41"/>
      <c r="AF49" s="41"/>
      <c r="AG49" s="41"/>
      <c r="AH49" s="41"/>
      <c r="AI49" s="41"/>
      <c r="AJ49" s="41"/>
      <c r="AK49" s="41"/>
      <c r="AL49" s="41"/>
      <c r="AM49" s="41"/>
    </row>
    <row r="50" spans="1:39" ht="18">
      <c r="A50" s="120" t="s">
        <v>658</v>
      </c>
      <c r="B50" s="120"/>
      <c r="C50" s="120"/>
      <c r="D50" s="120" t="s">
        <v>7</v>
      </c>
      <c r="E50" s="120" t="s">
        <v>3</v>
      </c>
      <c r="F50" s="120" t="s">
        <v>261</v>
      </c>
      <c r="G50" s="65">
        <v>91.4</v>
      </c>
      <c r="H50" s="115">
        <v>13</v>
      </c>
      <c r="I50" s="65">
        <v>0.39109572997676734</v>
      </c>
      <c r="J50" s="115">
        <v>21</v>
      </c>
      <c r="K50" s="65">
        <v>0.65</v>
      </c>
      <c r="L50" s="115">
        <v>25</v>
      </c>
      <c r="M50" s="69">
        <v>46.381578947368425</v>
      </c>
      <c r="N50" s="69">
        <v>43.499830551115863</v>
      </c>
      <c r="O50" s="69">
        <v>41.25</v>
      </c>
      <c r="P50" s="69">
        <v>81.131409498484288</v>
      </c>
      <c r="Q50" s="71">
        <v>21</v>
      </c>
      <c r="R50" s="68"/>
      <c r="S50" s="72">
        <v>1</v>
      </c>
      <c r="T50" s="72">
        <v>21</v>
      </c>
      <c r="U50" s="41"/>
      <c r="V50" s="41"/>
      <c r="W50" s="41"/>
      <c r="X50" s="41"/>
      <c r="Y50" s="41"/>
      <c r="Z50" s="41"/>
      <c r="AA50" s="41"/>
      <c r="AB50" s="41"/>
      <c r="AC50" s="41"/>
      <c r="AD50" s="41"/>
      <c r="AE50" s="41"/>
      <c r="AF50" s="41"/>
      <c r="AG50" s="41"/>
      <c r="AH50" s="41"/>
      <c r="AI50" s="41"/>
      <c r="AJ50" s="41"/>
      <c r="AK50" s="41"/>
      <c r="AL50" s="41"/>
      <c r="AM50" s="41"/>
    </row>
    <row r="51" spans="1:39" ht="18">
      <c r="A51" s="286" t="s">
        <v>659</v>
      </c>
      <c r="B51" s="76"/>
      <c r="C51" s="76"/>
      <c r="D51" s="119" t="s">
        <v>5</v>
      </c>
      <c r="E51" s="119" t="s">
        <v>8</v>
      </c>
      <c r="F51" s="119" t="s">
        <v>264</v>
      </c>
      <c r="G51" s="50">
        <v>84</v>
      </c>
      <c r="H51" s="57">
        <v>38</v>
      </c>
      <c r="I51" s="50">
        <v>1.3202908110895284E-2</v>
      </c>
      <c r="J51" s="57">
        <v>37</v>
      </c>
      <c r="K51" s="50">
        <v>0.43333333333333329</v>
      </c>
      <c r="L51" s="57">
        <v>39</v>
      </c>
      <c r="M51" s="58">
        <v>42.324561403508774</v>
      </c>
      <c r="N51" s="58">
        <v>39.971992710151412</v>
      </c>
      <c r="O51" s="58">
        <v>35.833333333333329</v>
      </c>
      <c r="P51" s="58">
        <v>68.129887446993521</v>
      </c>
      <c r="Q51" s="60">
        <v>38</v>
      </c>
      <c r="R51" s="55"/>
      <c r="S51" s="61">
        <v>5</v>
      </c>
      <c r="T51" s="61">
        <v>38</v>
      </c>
      <c r="U51" s="41"/>
      <c r="V51" s="41"/>
      <c r="W51" s="41"/>
      <c r="X51" s="41"/>
      <c r="Y51" s="41"/>
      <c r="Z51" s="41"/>
      <c r="AA51" s="41"/>
      <c r="AB51" s="41"/>
      <c r="AC51" s="41"/>
      <c r="AD51" s="41"/>
      <c r="AE51" s="41"/>
      <c r="AF51" s="41"/>
      <c r="AG51" s="41"/>
      <c r="AH51" s="41"/>
      <c r="AI51" s="41"/>
      <c r="AJ51" s="41"/>
      <c r="AK51" s="41"/>
      <c r="AL51" s="41"/>
      <c r="AM51" s="41"/>
    </row>
    <row r="52" spans="1:39" ht="18">
      <c r="A52" s="286" t="s">
        <v>660</v>
      </c>
      <c r="B52" s="286" t="s">
        <v>661</v>
      </c>
      <c r="C52" s="76"/>
      <c r="D52" s="119" t="s">
        <v>5</v>
      </c>
      <c r="E52" s="119" t="s">
        <v>8</v>
      </c>
      <c r="F52" s="119" t="s">
        <v>267</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8">
      <c r="A53" s="286" t="s">
        <v>662</v>
      </c>
      <c r="B53" s="76"/>
      <c r="C53" s="76"/>
      <c r="D53" s="119" t="s">
        <v>13</v>
      </c>
      <c r="E53" s="119" t="s">
        <v>8</v>
      </c>
      <c r="F53" s="119" t="s">
        <v>270</v>
      </c>
      <c r="G53" s="50">
        <v>77.8</v>
      </c>
      <c r="H53" s="57">
        <v>46</v>
      </c>
      <c r="I53" s="50">
        <v>-0.65755784197293732</v>
      </c>
      <c r="J53" s="57">
        <v>47</v>
      </c>
      <c r="K53" s="50">
        <v>0.21666666666666665</v>
      </c>
      <c r="L53" s="57">
        <v>50</v>
      </c>
      <c r="M53" s="58">
        <v>38.925438596491226</v>
      </c>
      <c r="N53" s="58">
        <v>33.710071288369697</v>
      </c>
      <c r="O53" s="58">
        <v>30.416666666666664</v>
      </c>
      <c r="P53" s="58">
        <v>53.052176551527594</v>
      </c>
      <c r="Q53" s="60">
        <v>49</v>
      </c>
      <c r="R53" s="55"/>
      <c r="S53" s="61">
        <v>7</v>
      </c>
      <c r="T53" s="61">
        <v>49</v>
      </c>
      <c r="U53" s="41"/>
      <c r="V53" s="41"/>
      <c r="W53" s="41"/>
      <c r="X53" s="41"/>
      <c r="Y53" s="41"/>
      <c r="Z53" s="41"/>
      <c r="AA53" s="41"/>
      <c r="AB53" s="41"/>
      <c r="AC53" s="41"/>
      <c r="AD53" s="41"/>
      <c r="AE53" s="41"/>
      <c r="AF53" s="41"/>
      <c r="AG53" s="41"/>
      <c r="AH53" s="41"/>
      <c r="AI53" s="41"/>
      <c r="AJ53" s="41"/>
      <c r="AK53" s="41"/>
      <c r="AL53" s="41"/>
      <c r="AM53" s="41"/>
    </row>
    <row r="54" spans="1:39" ht="18">
      <c r="A54" s="286" t="s">
        <v>663</v>
      </c>
      <c r="B54" s="76"/>
      <c r="C54" s="76"/>
      <c r="D54" s="119" t="s">
        <v>13</v>
      </c>
      <c r="E54" s="119" t="s">
        <v>8</v>
      </c>
      <c r="F54" s="119" t="s">
        <v>273</v>
      </c>
      <c r="G54" s="50">
        <v>87.6</v>
      </c>
      <c r="H54" s="57">
        <v>25</v>
      </c>
      <c r="I54" s="50">
        <v>0.51809971503734198</v>
      </c>
      <c r="J54" s="57">
        <v>18</v>
      </c>
      <c r="K54" s="50">
        <v>0.81666666666666665</v>
      </c>
      <c r="L54" s="57">
        <v>8</v>
      </c>
      <c r="M54" s="58">
        <v>44.298245614035082</v>
      </c>
      <c r="N54" s="58">
        <v>44.685482774510056</v>
      </c>
      <c r="O54" s="58">
        <v>45.416666666666671</v>
      </c>
      <c r="P54" s="58">
        <v>84.400395055211789</v>
      </c>
      <c r="Q54" s="60">
        <v>15</v>
      </c>
      <c r="R54" s="55"/>
      <c r="S54" s="61">
        <v>3</v>
      </c>
      <c r="T54" s="61">
        <v>15</v>
      </c>
      <c r="U54" s="41"/>
      <c r="V54" s="41"/>
      <c r="W54" s="41"/>
      <c r="X54" s="41"/>
      <c r="Y54" s="41"/>
      <c r="Z54" s="41"/>
      <c r="AA54" s="41"/>
      <c r="AB54" s="41"/>
      <c r="AC54" s="41"/>
      <c r="AD54" s="41"/>
      <c r="AE54" s="41"/>
      <c r="AF54" s="41"/>
      <c r="AG54" s="41"/>
      <c r="AH54" s="41"/>
      <c r="AI54" s="41"/>
      <c r="AJ54" s="41"/>
      <c r="AK54" s="41"/>
      <c r="AL54" s="41"/>
      <c r="AM54" s="41"/>
    </row>
    <row r="55" spans="1:39" ht="18">
      <c r="A55" s="286" t="s">
        <v>664</v>
      </c>
      <c r="B55" s="76"/>
      <c r="C55" s="76"/>
      <c r="D55" s="119" t="s">
        <v>13</v>
      </c>
      <c r="E55" s="119" t="s">
        <v>8</v>
      </c>
      <c r="F55" s="119" t="s">
        <v>276</v>
      </c>
      <c r="G55" s="50">
        <v>78.400000000000006</v>
      </c>
      <c r="H55" s="57">
        <v>45</v>
      </c>
      <c r="I55" s="50">
        <v>-0.69600588788905571</v>
      </c>
      <c r="J55" s="57">
        <v>49</v>
      </c>
      <c r="K55" s="50">
        <v>0.25</v>
      </c>
      <c r="L55" s="57">
        <v>47</v>
      </c>
      <c r="M55" s="58">
        <v>39.254385964912281</v>
      </c>
      <c r="N55" s="58">
        <v>33.351137581652814</v>
      </c>
      <c r="O55" s="58">
        <v>31.25</v>
      </c>
      <c r="P55" s="58">
        <v>53.855523546565095</v>
      </c>
      <c r="Q55" s="60">
        <v>48</v>
      </c>
      <c r="R55" s="55"/>
      <c r="S55" s="61">
        <v>6</v>
      </c>
      <c r="T55" s="61">
        <v>48</v>
      </c>
      <c r="U55" s="41"/>
      <c r="V55" s="41"/>
      <c r="W55" s="41"/>
      <c r="X55" s="41"/>
      <c r="Y55" s="41"/>
      <c r="Z55" s="41"/>
      <c r="AA55" s="41"/>
      <c r="AB55" s="41"/>
      <c r="AC55" s="41"/>
      <c r="AD55" s="41"/>
      <c r="AE55" s="41"/>
      <c r="AF55" s="41"/>
      <c r="AG55" s="41"/>
      <c r="AH55" s="41"/>
      <c r="AI55" s="41"/>
      <c r="AJ55" s="41"/>
      <c r="AK55" s="41"/>
      <c r="AL55" s="41"/>
      <c r="AM55" s="41"/>
    </row>
    <row r="56" spans="1:39" ht="18">
      <c r="A56" s="286" t="s">
        <v>665</v>
      </c>
      <c r="B56" s="76"/>
      <c r="C56" s="76"/>
      <c r="D56" s="119" t="s">
        <v>7</v>
      </c>
      <c r="E56" s="119" t="s">
        <v>8</v>
      </c>
      <c r="F56" s="119" t="s">
        <v>279</v>
      </c>
      <c r="G56" s="50">
        <v>95.8</v>
      </c>
      <c r="H56" s="57">
        <v>3</v>
      </c>
      <c r="I56" s="50">
        <v>0.99034256825463873</v>
      </c>
      <c r="J56" s="57">
        <v>4</v>
      </c>
      <c r="K56" s="50">
        <v>1</v>
      </c>
      <c r="L56" s="57">
        <v>1</v>
      </c>
      <c r="M56" s="58">
        <v>48.793859649122808</v>
      </c>
      <c r="N56" s="58">
        <v>49.09413017744042</v>
      </c>
      <c r="O56" s="58">
        <v>50</v>
      </c>
      <c r="P56" s="58">
        <v>97.887989826563228</v>
      </c>
      <c r="Q56" s="60">
        <v>2</v>
      </c>
      <c r="R56" s="55"/>
      <c r="S56" s="61">
        <v>1</v>
      </c>
      <c r="T56" s="61">
        <v>2</v>
      </c>
      <c r="U56" s="41"/>
      <c r="V56" s="41"/>
      <c r="W56" s="41"/>
      <c r="X56" s="41"/>
      <c r="Y56" s="41"/>
      <c r="Z56" s="41"/>
      <c r="AA56" s="41"/>
      <c r="AB56" s="41"/>
      <c r="AC56" s="41"/>
      <c r="AD56" s="41"/>
      <c r="AE56" s="41"/>
      <c r="AF56" s="41"/>
      <c r="AG56" s="41"/>
      <c r="AH56" s="41"/>
      <c r="AI56" s="41"/>
      <c r="AJ56" s="41"/>
      <c r="AK56" s="41"/>
      <c r="AL56" s="41"/>
      <c r="AM56" s="41"/>
    </row>
    <row r="57" spans="1:39" ht="18">
      <c r="A57" s="286" t="s">
        <v>666</v>
      </c>
      <c r="B57" s="76"/>
      <c r="C57" s="76"/>
      <c r="D57" s="119" t="s">
        <v>7</v>
      </c>
      <c r="E57" s="119" t="s">
        <v>8</v>
      </c>
      <c r="F57" s="119" t="s">
        <v>282</v>
      </c>
      <c r="G57" s="50">
        <v>89.8</v>
      </c>
      <c r="H57" s="57">
        <v>16</v>
      </c>
      <c r="I57" s="50">
        <v>0.33689082636935186</v>
      </c>
      <c r="J57" s="57">
        <v>23</v>
      </c>
      <c r="K57" s="50">
        <v>0.66666666666666663</v>
      </c>
      <c r="L57" s="57">
        <v>23</v>
      </c>
      <c r="M57" s="58">
        <v>45.504385964912281</v>
      </c>
      <c r="N57" s="58">
        <v>42.993797890405659</v>
      </c>
      <c r="O57" s="58">
        <v>41.666666666666664</v>
      </c>
      <c r="P57" s="58">
        <v>80.16485052198459</v>
      </c>
      <c r="Q57" s="60">
        <v>22</v>
      </c>
      <c r="R57" s="55"/>
      <c r="S57" s="61">
        <v>4</v>
      </c>
      <c r="T57" s="61">
        <v>22</v>
      </c>
      <c r="U57" s="41"/>
      <c r="V57" s="41"/>
      <c r="W57" s="41"/>
      <c r="X57" s="41"/>
      <c r="Y57" s="41"/>
      <c r="Z57" s="41"/>
      <c r="AA57" s="41"/>
      <c r="AB57" s="41"/>
      <c r="AC57" s="41"/>
      <c r="AD57" s="41"/>
      <c r="AE57" s="41"/>
      <c r="AF57" s="41"/>
      <c r="AG57" s="41"/>
      <c r="AH57" s="41"/>
      <c r="AI57" s="41"/>
      <c r="AJ57" s="41"/>
      <c r="AK57" s="41"/>
      <c r="AL57" s="41"/>
      <c r="AM57" s="41"/>
    </row>
    <row r="58" spans="1:39" ht="18">
      <c r="A58" s="290" t="s">
        <v>667</v>
      </c>
      <c r="B58" s="290" t="s">
        <v>668</v>
      </c>
      <c r="C58" s="277"/>
      <c r="D58" s="277" t="s">
        <v>129</v>
      </c>
      <c r="E58" s="277" t="s">
        <v>8</v>
      </c>
      <c r="F58" s="277" t="s">
        <v>284</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8">
      <c r="A59" s="290" t="s">
        <v>669</v>
      </c>
      <c r="B59" s="290" t="s">
        <v>670</v>
      </c>
      <c r="C59" s="277"/>
      <c r="D59" s="277" t="s">
        <v>129</v>
      </c>
      <c r="E59" s="277" t="s">
        <v>8</v>
      </c>
      <c r="F59" s="277" t="s">
        <v>287</v>
      </c>
      <c r="G59" s="106" t="s">
        <v>93</v>
      </c>
      <c r="H59" s="108" t="s">
        <v>93</v>
      </c>
      <c r="I59" s="106" t="s">
        <v>93</v>
      </c>
      <c r="J59" s="108" t="s">
        <v>93</v>
      </c>
      <c r="K59" s="106" t="s">
        <v>93</v>
      </c>
      <c r="L59" s="108" t="s">
        <v>93</v>
      </c>
      <c r="M59" s="109" t="s">
        <v>93</v>
      </c>
      <c r="N59" s="109" t="s">
        <v>93</v>
      </c>
      <c r="O59" s="109" t="s">
        <v>93</v>
      </c>
      <c r="P59" s="109" t="s">
        <v>93</v>
      </c>
      <c r="Q59" s="111" t="s">
        <v>93</v>
      </c>
      <c r="R59" s="64"/>
      <c r="S59" s="61" t="s">
        <v>93</v>
      </c>
      <c r="T59" s="113" t="s">
        <v>93</v>
      </c>
      <c r="U59" s="41"/>
      <c r="V59" s="41"/>
      <c r="W59" s="41"/>
      <c r="X59" s="41"/>
      <c r="Y59" s="41"/>
      <c r="Z59" s="41"/>
      <c r="AA59" s="41"/>
      <c r="AB59" s="41"/>
      <c r="AC59" s="41"/>
      <c r="AD59" s="41"/>
      <c r="AE59" s="41"/>
      <c r="AF59" s="41"/>
      <c r="AG59" s="41"/>
      <c r="AH59" s="41"/>
      <c r="AI59" s="41"/>
      <c r="AJ59" s="41"/>
      <c r="AK59" s="41"/>
      <c r="AL59" s="41"/>
      <c r="AM59" s="41"/>
    </row>
    <row r="60" spans="1:39" ht="18">
      <c r="A60" s="120" t="s">
        <v>671</v>
      </c>
      <c r="B60" s="120" t="s">
        <v>671</v>
      </c>
      <c r="C60" s="120"/>
      <c r="D60" s="120" t="s">
        <v>5</v>
      </c>
      <c r="E60" s="120" t="s">
        <v>12</v>
      </c>
      <c r="F60" s="120" t="s">
        <v>290</v>
      </c>
      <c r="G60" s="65">
        <v>87.2</v>
      </c>
      <c r="H60" s="115">
        <v>27</v>
      </c>
      <c r="I60" s="65">
        <v>-0.79296546736864071</v>
      </c>
      <c r="J60" s="115">
        <v>50</v>
      </c>
      <c r="K60" s="65">
        <v>0.13999999999999999</v>
      </c>
      <c r="L60" s="115">
        <v>54</v>
      </c>
      <c r="M60" s="69">
        <v>44.078947368421055</v>
      </c>
      <c r="N60" s="69">
        <v>32.445966449152472</v>
      </c>
      <c r="O60" s="69">
        <v>28.5</v>
      </c>
      <c r="P60" s="69">
        <v>55.02491381757352</v>
      </c>
      <c r="Q60" s="71">
        <v>47</v>
      </c>
      <c r="R60" s="68"/>
      <c r="S60" s="72">
        <v>4</v>
      </c>
      <c r="T60" s="73">
        <v>47</v>
      </c>
      <c r="U60" s="41"/>
      <c r="V60" s="41"/>
      <c r="W60" s="41"/>
      <c r="X60" s="41"/>
      <c r="Y60" s="41"/>
      <c r="Z60" s="41"/>
      <c r="AA60" s="41"/>
      <c r="AB60" s="41"/>
      <c r="AC60" s="41"/>
      <c r="AD60" s="41"/>
      <c r="AE60" s="41"/>
      <c r="AF60" s="41"/>
      <c r="AG60" s="41"/>
      <c r="AH60" s="41"/>
      <c r="AI60" s="41"/>
      <c r="AJ60" s="41"/>
      <c r="AK60" s="41"/>
      <c r="AL60" s="41"/>
      <c r="AM60" s="41"/>
    </row>
    <row r="61" spans="1:39" ht="18">
      <c r="A61" s="120" t="s">
        <v>672</v>
      </c>
      <c r="B61" s="120"/>
      <c r="C61" s="120"/>
      <c r="D61" s="120" t="s">
        <v>7</v>
      </c>
      <c r="E61" s="120" t="s">
        <v>12</v>
      </c>
      <c r="F61" s="120" t="s">
        <v>293</v>
      </c>
      <c r="G61" s="65">
        <v>91.5</v>
      </c>
      <c r="H61" s="115">
        <v>12</v>
      </c>
      <c r="I61" s="65">
        <v>-0.23685254507274106</v>
      </c>
      <c r="J61" s="115">
        <v>41</v>
      </c>
      <c r="K61" s="65">
        <v>0.40833333333333333</v>
      </c>
      <c r="L61" s="115">
        <v>41</v>
      </c>
      <c r="M61" s="69">
        <v>46.436403508771932</v>
      </c>
      <c r="N61" s="69">
        <v>37.637587188170215</v>
      </c>
      <c r="O61" s="69">
        <v>35.208333333333336</v>
      </c>
      <c r="P61" s="69">
        <v>69.282324030275475</v>
      </c>
      <c r="Q61" s="71">
        <v>37</v>
      </c>
      <c r="R61" s="68"/>
      <c r="S61" s="72">
        <v>3</v>
      </c>
      <c r="T61" s="73">
        <v>37</v>
      </c>
      <c r="U61" s="41"/>
      <c r="V61" s="41"/>
      <c r="W61" s="41"/>
      <c r="X61" s="41"/>
      <c r="Y61" s="41"/>
      <c r="Z61" s="41"/>
      <c r="AA61" s="41"/>
      <c r="AB61" s="41"/>
      <c r="AC61" s="41"/>
      <c r="AD61" s="41"/>
      <c r="AE61" s="41"/>
      <c r="AF61" s="41"/>
      <c r="AG61" s="41"/>
      <c r="AH61" s="41"/>
      <c r="AI61" s="41"/>
      <c r="AJ61" s="41"/>
      <c r="AK61" s="41"/>
      <c r="AL61" s="41"/>
      <c r="AM61" s="41"/>
    </row>
    <row r="62" spans="1:39" ht="18">
      <c r="A62" s="120" t="s">
        <v>673</v>
      </c>
      <c r="B62" s="120"/>
      <c r="C62" s="120"/>
      <c r="D62" s="120" t="s">
        <v>11</v>
      </c>
      <c r="E62" s="120" t="s">
        <v>12</v>
      </c>
      <c r="F62" s="120" t="s">
        <v>296</v>
      </c>
      <c r="G62" s="65">
        <v>95.6</v>
      </c>
      <c r="H62" s="115">
        <v>4</v>
      </c>
      <c r="I62" s="65">
        <v>0.55714751684626795</v>
      </c>
      <c r="J62" s="115">
        <v>16</v>
      </c>
      <c r="K62" s="65">
        <v>0.7533333333333333</v>
      </c>
      <c r="L62" s="115">
        <v>14</v>
      </c>
      <c r="M62" s="69">
        <v>48.68421052631578</v>
      </c>
      <c r="N62" s="69">
        <v>45.050015533157968</v>
      </c>
      <c r="O62" s="69">
        <v>43.833333333333329</v>
      </c>
      <c r="P62" s="69">
        <v>87.567559392807084</v>
      </c>
      <c r="Q62" s="71">
        <v>10</v>
      </c>
      <c r="R62" s="68"/>
      <c r="S62" s="72">
        <v>1</v>
      </c>
      <c r="T62" s="73">
        <v>10</v>
      </c>
      <c r="U62" s="41"/>
      <c r="V62" s="41"/>
      <c r="W62" s="41"/>
      <c r="X62" s="41"/>
      <c r="Y62" s="41"/>
      <c r="Z62" s="41"/>
      <c r="AA62" s="41"/>
      <c r="AB62" s="41"/>
      <c r="AC62" s="41"/>
      <c r="AD62" s="41"/>
      <c r="AE62" s="41"/>
      <c r="AF62" s="41"/>
      <c r="AG62" s="41"/>
      <c r="AH62" s="41"/>
      <c r="AI62" s="41"/>
      <c r="AJ62" s="41"/>
      <c r="AK62" s="41"/>
      <c r="AL62" s="41"/>
      <c r="AM62" s="41"/>
    </row>
    <row r="63" spans="1:39" ht="18">
      <c r="A63" s="120" t="s">
        <v>674</v>
      </c>
      <c r="B63" s="120"/>
      <c r="C63" s="120"/>
      <c r="D63" s="120" t="s">
        <v>11</v>
      </c>
      <c r="E63" s="120" t="s">
        <v>12</v>
      </c>
      <c r="F63" s="120" t="s">
        <v>299</v>
      </c>
      <c r="G63" s="65">
        <v>93</v>
      </c>
      <c r="H63" s="115">
        <v>9</v>
      </c>
      <c r="I63" s="65">
        <v>9.1625555242356105E-2</v>
      </c>
      <c r="J63" s="115">
        <v>33</v>
      </c>
      <c r="K63" s="65">
        <v>0.625</v>
      </c>
      <c r="L63" s="115">
        <v>28</v>
      </c>
      <c r="M63" s="69">
        <v>47.258771929824562</v>
      </c>
      <c r="N63" s="69">
        <v>40.704111358960162</v>
      </c>
      <c r="O63" s="69">
        <v>40.625</v>
      </c>
      <c r="P63" s="69">
        <v>78.587883288784724</v>
      </c>
      <c r="Q63" s="71">
        <v>24</v>
      </c>
      <c r="R63" s="68"/>
      <c r="S63" s="72">
        <v>2</v>
      </c>
      <c r="T63" s="72">
        <v>24</v>
      </c>
      <c r="U63" s="41"/>
      <c r="V63" s="41"/>
      <c r="W63" s="41"/>
      <c r="X63" s="41"/>
      <c r="Y63" s="41"/>
      <c r="Z63" s="41"/>
      <c r="AA63" s="41"/>
      <c r="AB63" s="41"/>
      <c r="AC63" s="41"/>
      <c r="AD63" s="41"/>
      <c r="AE63" s="41"/>
      <c r="AF63" s="41"/>
      <c r="AG63" s="41"/>
      <c r="AH63" s="41"/>
      <c r="AI63" s="41"/>
      <c r="AJ63" s="41"/>
      <c r="AK63" s="41"/>
      <c r="AL63" s="41"/>
      <c r="AM63" s="41"/>
    </row>
    <row r="64" spans="1:39" ht="18">
      <c r="A64" s="286" t="s">
        <v>675</v>
      </c>
      <c r="B64" s="286" t="s">
        <v>676</v>
      </c>
      <c r="C64" s="76"/>
      <c r="D64" s="119" t="s">
        <v>5</v>
      </c>
      <c r="E64" s="119" t="s">
        <v>10</v>
      </c>
      <c r="F64" s="119" t="s">
        <v>302</v>
      </c>
      <c r="G64" s="50">
        <v>81</v>
      </c>
      <c r="H64" s="57">
        <v>42</v>
      </c>
      <c r="I64" s="50">
        <v>-0.53442001664260641</v>
      </c>
      <c r="J64" s="57">
        <v>45</v>
      </c>
      <c r="K64" s="50">
        <v>0.26666666666666666</v>
      </c>
      <c r="L64" s="57">
        <v>46</v>
      </c>
      <c r="M64" s="58">
        <v>40.679824561403507</v>
      </c>
      <c r="N64" s="58">
        <v>34.859630779099056</v>
      </c>
      <c r="O64" s="58">
        <v>31.666666666666668</v>
      </c>
      <c r="P64" s="58">
        <v>57.206122007169242</v>
      </c>
      <c r="Q64" s="60">
        <v>45</v>
      </c>
      <c r="R64" s="55"/>
      <c r="S64" s="61">
        <v>3</v>
      </c>
      <c r="T64" s="61">
        <v>45</v>
      </c>
      <c r="U64" s="41"/>
      <c r="V64" s="41"/>
      <c r="W64" s="41"/>
      <c r="X64" s="41"/>
      <c r="Y64" s="41"/>
      <c r="Z64" s="41"/>
      <c r="AA64" s="41"/>
      <c r="AB64" s="41"/>
      <c r="AC64" s="41"/>
      <c r="AD64" s="41"/>
      <c r="AE64" s="41"/>
      <c r="AF64" s="41"/>
      <c r="AG64" s="41"/>
      <c r="AH64" s="41"/>
      <c r="AI64" s="41"/>
      <c r="AJ64" s="41"/>
      <c r="AK64" s="41"/>
      <c r="AL64" s="41"/>
      <c r="AM64" s="41"/>
    </row>
    <row r="65" spans="1:39" ht="18">
      <c r="A65" s="286" t="s">
        <v>677</v>
      </c>
      <c r="B65" s="76"/>
      <c r="C65" s="76"/>
      <c r="D65" s="119" t="s">
        <v>7</v>
      </c>
      <c r="E65" s="119" t="s">
        <v>10</v>
      </c>
      <c r="F65" s="119" t="s">
        <v>305</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18">
      <c r="A66" s="286" t="s">
        <v>678</v>
      </c>
      <c r="B66" s="286" t="s">
        <v>679</v>
      </c>
      <c r="C66" s="76"/>
      <c r="D66" s="119" t="s">
        <v>11</v>
      </c>
      <c r="E66" s="119" t="s">
        <v>10</v>
      </c>
      <c r="F66" s="119" t="s">
        <v>308</v>
      </c>
      <c r="G66" s="106">
        <v>95.333333333333329</v>
      </c>
      <c r="H66" s="108">
        <v>7</v>
      </c>
      <c r="I66" s="106">
        <v>1.0484122799411983</v>
      </c>
      <c r="J66" s="108">
        <v>2</v>
      </c>
      <c r="K66" s="106">
        <v>0.93333333333333324</v>
      </c>
      <c r="L66" s="108">
        <v>3</v>
      </c>
      <c r="M66" s="109">
        <v>48.538011695906434</v>
      </c>
      <c r="N66" s="109">
        <v>49.636242952407201</v>
      </c>
      <c r="O66" s="109">
        <v>48.333333333333329</v>
      </c>
      <c r="P66" s="109">
        <v>96.507587981646964</v>
      </c>
      <c r="Q66" s="111">
        <v>3</v>
      </c>
      <c r="R66" s="64"/>
      <c r="S66" s="61">
        <v>1</v>
      </c>
      <c r="T66" s="113">
        <v>3</v>
      </c>
      <c r="U66" s="41"/>
      <c r="V66" s="41"/>
      <c r="W66" s="41"/>
      <c r="X66" s="41"/>
      <c r="Y66" s="41"/>
      <c r="Z66" s="41"/>
      <c r="AA66" s="41"/>
      <c r="AB66" s="41"/>
      <c r="AC66" s="41"/>
      <c r="AD66" s="41"/>
      <c r="AE66" s="41"/>
      <c r="AF66" s="41"/>
      <c r="AG66" s="41"/>
      <c r="AH66" s="41"/>
      <c r="AI66" s="41"/>
      <c r="AJ66" s="41"/>
      <c r="AK66" s="41"/>
      <c r="AL66" s="41"/>
      <c r="AM66" s="41"/>
    </row>
    <row r="67" spans="1:39" ht="18">
      <c r="A67" s="257" t="s">
        <v>680</v>
      </c>
      <c r="B67" s="257"/>
      <c r="C67" s="257"/>
      <c r="D67" s="257" t="s">
        <v>320</v>
      </c>
      <c r="E67" s="257" t="s">
        <v>322</v>
      </c>
      <c r="F67" s="257" t="s">
        <v>321</v>
      </c>
      <c r="G67" s="254" t="s">
        <v>93</v>
      </c>
      <c r="H67" s="57" t="s">
        <v>93</v>
      </c>
      <c r="I67" s="254" t="s">
        <v>93</v>
      </c>
      <c r="J67" s="57" t="s">
        <v>93</v>
      </c>
      <c r="K67" s="254" t="s">
        <v>93</v>
      </c>
      <c r="L67" s="57" t="s">
        <v>93</v>
      </c>
      <c r="M67" s="261" t="s">
        <v>93</v>
      </c>
      <c r="N67" s="261" t="s">
        <v>93</v>
      </c>
      <c r="O67" s="261" t="s">
        <v>93</v>
      </c>
      <c r="P67" s="261" t="s">
        <v>93</v>
      </c>
      <c r="Q67" s="263" t="s">
        <v>93</v>
      </c>
      <c r="R67" s="264"/>
      <c r="S67" s="265" t="s">
        <v>93</v>
      </c>
      <c r="T67" s="266" t="s">
        <v>93</v>
      </c>
      <c r="U67" s="41"/>
      <c r="V67" s="41"/>
      <c r="W67" s="41"/>
      <c r="X67" s="41"/>
      <c r="Y67" s="41"/>
      <c r="Z67" s="41"/>
      <c r="AA67" s="41"/>
      <c r="AB67" s="41"/>
      <c r="AC67" s="41"/>
      <c r="AD67" s="41"/>
      <c r="AE67" s="41"/>
      <c r="AF67" s="41"/>
      <c r="AG67" s="41"/>
      <c r="AH67" s="41"/>
      <c r="AI67" s="41"/>
      <c r="AJ67" s="41"/>
      <c r="AK67" s="41"/>
      <c r="AL67" s="41"/>
      <c r="AM67" s="41"/>
    </row>
    <row r="68" spans="1:39" ht="18">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09" t="s">
        <v>93</v>
      </c>
      <c r="Q68" s="111" t="s">
        <v>93</v>
      </c>
      <c r="R68" s="64"/>
      <c r="S68" s="112" t="s">
        <v>93</v>
      </c>
      <c r="T68" s="113" t="s">
        <v>93</v>
      </c>
      <c r="U68" s="41"/>
      <c r="V68" s="41"/>
      <c r="W68" s="41"/>
      <c r="X68" s="41"/>
      <c r="Y68" s="41"/>
      <c r="Z68" s="41"/>
      <c r="AA68" s="41"/>
      <c r="AB68" s="41"/>
      <c r="AC68" s="41"/>
      <c r="AD68" s="41"/>
      <c r="AE68" s="41"/>
      <c r="AF68" s="41"/>
      <c r="AG68" s="41"/>
      <c r="AH68" s="41"/>
      <c r="AI68" s="41"/>
      <c r="AJ68" s="41"/>
      <c r="AK68" s="41"/>
      <c r="AL68" s="41"/>
      <c r="AM68" s="41"/>
    </row>
    <row r="69" spans="1:39" ht="18">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09" t="s">
        <v>93</v>
      </c>
      <c r="Q69" s="111" t="s">
        <v>93</v>
      </c>
      <c r="R69" s="64"/>
      <c r="S69" s="112" t="s">
        <v>93</v>
      </c>
      <c r="T69" s="113" t="s">
        <v>93</v>
      </c>
      <c r="U69" s="41"/>
      <c r="V69" s="41"/>
      <c r="W69" s="41"/>
      <c r="X69" s="41"/>
      <c r="Y69" s="41"/>
      <c r="Z69" s="41"/>
      <c r="AA69" s="41"/>
      <c r="AB69" s="41"/>
      <c r="AC69" s="41"/>
      <c r="AD69" s="41"/>
      <c r="AE69" s="41"/>
      <c r="AF69" s="41"/>
      <c r="AG69" s="41"/>
      <c r="AH69" s="41"/>
      <c r="AI69" s="41"/>
      <c r="AJ69" s="41"/>
      <c r="AK69" s="41"/>
      <c r="AL69" s="41"/>
      <c r="AM69" s="41"/>
    </row>
    <row r="70" spans="1:39" ht="18">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09" t="s">
        <v>93</v>
      </c>
      <c r="Q70" s="111" t="s">
        <v>93</v>
      </c>
      <c r="R70" s="64"/>
      <c r="S70" s="112" t="s">
        <v>93</v>
      </c>
      <c r="T70" s="113" t="s">
        <v>93</v>
      </c>
      <c r="U70" s="41"/>
      <c r="V70" s="41"/>
      <c r="W70" s="41"/>
      <c r="X70" s="41"/>
      <c r="Y70" s="41"/>
      <c r="Z70" s="41"/>
      <c r="AA70" s="41"/>
      <c r="AB70" s="41"/>
      <c r="AC70" s="41"/>
      <c r="AD70" s="41"/>
      <c r="AE70" s="41"/>
      <c r="AF70" s="41"/>
      <c r="AG70" s="41"/>
      <c r="AH70" s="41"/>
      <c r="AI70" s="41"/>
      <c r="AJ70" s="41"/>
      <c r="AK70" s="41"/>
      <c r="AL70" s="41"/>
      <c r="AM70" s="41"/>
    </row>
    <row r="71" spans="1:39" ht="45" customHeight="1">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09" t="s">
        <v>93</v>
      </c>
      <c r="Q71" s="111" t="s">
        <v>93</v>
      </c>
      <c r="R71" s="64"/>
      <c r="S71" s="112" t="s">
        <v>93</v>
      </c>
      <c r="T71" s="113" t="s">
        <v>93</v>
      </c>
      <c r="U71" s="41"/>
      <c r="V71" s="41"/>
      <c r="W71" s="41"/>
      <c r="X71" s="41"/>
      <c r="Y71" s="41"/>
      <c r="Z71" s="41"/>
      <c r="AA71" s="41"/>
      <c r="AB71" s="41"/>
      <c r="AC71" s="41"/>
      <c r="AD71" s="41"/>
      <c r="AE71" s="41"/>
      <c r="AF71" s="41"/>
      <c r="AG71" s="41"/>
      <c r="AH71" s="41"/>
      <c r="AI71" s="41"/>
      <c r="AJ71" s="41"/>
      <c r="AK71" s="41"/>
      <c r="AL71" s="41"/>
      <c r="AM71" s="41"/>
    </row>
    <row r="72" spans="1:39" ht="18">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09" t="s">
        <v>93</v>
      </c>
      <c r="Q72" s="111" t="s">
        <v>93</v>
      </c>
      <c r="R72" s="64"/>
      <c r="S72" s="112" t="s">
        <v>93</v>
      </c>
      <c r="T72" s="113" t="s">
        <v>93</v>
      </c>
      <c r="U72" s="41"/>
      <c r="V72" s="41"/>
      <c r="W72" s="41"/>
      <c r="X72" s="41"/>
      <c r="Y72" s="41"/>
      <c r="Z72" s="41"/>
      <c r="AA72" s="41"/>
      <c r="AB72" s="41"/>
      <c r="AC72" s="41"/>
      <c r="AD72" s="41"/>
      <c r="AE72" s="41"/>
      <c r="AF72" s="41"/>
      <c r="AG72" s="41"/>
      <c r="AH72" s="41"/>
      <c r="AI72" s="41"/>
      <c r="AJ72" s="41"/>
      <c r="AK72" s="41"/>
      <c r="AL72" s="41"/>
      <c r="AM72" s="41"/>
    </row>
    <row r="73" spans="1:39" ht="18">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09" t="s">
        <v>93</v>
      </c>
      <c r="Q73" s="111" t="s">
        <v>93</v>
      </c>
      <c r="R73" s="64"/>
      <c r="S73" s="112" t="s">
        <v>93</v>
      </c>
      <c r="T73" s="113" t="s">
        <v>93</v>
      </c>
      <c r="U73" s="41"/>
      <c r="V73" s="41"/>
      <c r="W73" s="41"/>
      <c r="X73" s="41"/>
      <c r="Y73" s="41"/>
      <c r="Z73" s="41"/>
      <c r="AA73" s="41"/>
      <c r="AB73" s="41"/>
      <c r="AC73" s="41"/>
      <c r="AD73" s="41"/>
      <c r="AE73" s="41"/>
      <c r="AF73" s="41"/>
      <c r="AG73" s="41"/>
      <c r="AH73" s="41"/>
      <c r="AI73" s="41"/>
      <c r="AJ73" s="41"/>
      <c r="AK73" s="41"/>
      <c r="AL73" s="41"/>
      <c r="AM73" s="41"/>
    </row>
    <row r="74" spans="1:39" ht="18">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09" t="s">
        <v>93</v>
      </c>
      <c r="Q74" s="111" t="s">
        <v>93</v>
      </c>
      <c r="R74" s="64"/>
      <c r="S74" s="112" t="s">
        <v>93</v>
      </c>
      <c r="T74" s="113" t="s">
        <v>93</v>
      </c>
      <c r="U74" s="41"/>
      <c r="V74" s="41"/>
      <c r="W74" s="41"/>
      <c r="X74" s="41"/>
      <c r="Y74" s="41"/>
      <c r="Z74" s="41"/>
      <c r="AA74" s="41"/>
      <c r="AB74" s="41"/>
      <c r="AC74" s="41"/>
      <c r="AD74" s="41"/>
      <c r="AE74" s="41"/>
      <c r="AF74" s="41"/>
      <c r="AG74" s="41"/>
      <c r="AH74" s="41"/>
      <c r="AI74" s="41"/>
      <c r="AJ74" s="41"/>
      <c r="AK74" s="41"/>
      <c r="AL74" s="41"/>
      <c r="AM74" s="41"/>
    </row>
    <row r="75" spans="1:39" ht="18">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09" t="s">
        <v>93</v>
      </c>
      <c r="Q75" s="111" t="s">
        <v>93</v>
      </c>
      <c r="R75" s="64"/>
      <c r="S75" s="112" t="s">
        <v>93</v>
      </c>
      <c r="T75" s="113" t="s">
        <v>93</v>
      </c>
      <c r="U75" s="41"/>
      <c r="V75" s="41"/>
      <c r="W75" s="41"/>
      <c r="X75" s="41"/>
      <c r="Y75" s="41"/>
      <c r="Z75" s="41"/>
      <c r="AA75" s="41"/>
      <c r="AB75" s="41"/>
      <c r="AC75" s="41"/>
      <c r="AD75" s="41"/>
      <c r="AE75" s="41"/>
      <c r="AF75" s="41"/>
      <c r="AG75" s="41"/>
      <c r="AH75" s="41"/>
      <c r="AI75" s="41"/>
      <c r="AJ75" s="41"/>
      <c r="AK75" s="41"/>
      <c r="AL75" s="41"/>
      <c r="AM75" s="41"/>
    </row>
    <row r="76" spans="1:39" ht="18">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09" t="s">
        <v>93</v>
      </c>
      <c r="Q76" s="111" t="s">
        <v>93</v>
      </c>
      <c r="R76" s="64"/>
      <c r="S76" s="112" t="s">
        <v>93</v>
      </c>
      <c r="T76" s="113" t="s">
        <v>93</v>
      </c>
      <c r="U76" s="41"/>
      <c r="V76" s="41"/>
      <c r="W76" s="41"/>
      <c r="X76" s="41"/>
      <c r="Y76" s="41"/>
      <c r="Z76" s="41"/>
      <c r="AA76" s="41"/>
      <c r="AB76" s="41"/>
      <c r="AC76" s="41"/>
      <c r="AD76" s="41"/>
      <c r="AE76" s="41"/>
      <c r="AF76" s="41"/>
      <c r="AG76" s="41"/>
      <c r="AH76" s="41"/>
      <c r="AI76" s="41"/>
      <c r="AJ76" s="41"/>
      <c r="AK76" s="41"/>
      <c r="AL76" s="41"/>
      <c r="AM76" s="41"/>
    </row>
    <row r="77" spans="1:39" ht="18">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09" t="s">
        <v>93</v>
      </c>
      <c r="Q77" s="111" t="s">
        <v>93</v>
      </c>
      <c r="R77" s="64"/>
      <c r="S77" s="112" t="s">
        <v>93</v>
      </c>
      <c r="T77" s="113" t="s">
        <v>93</v>
      </c>
      <c r="U77" s="41"/>
      <c r="V77" s="41"/>
      <c r="W77" s="41"/>
      <c r="X77" s="41"/>
      <c r="Y77" s="41"/>
      <c r="Z77" s="41"/>
      <c r="AA77" s="41"/>
      <c r="AB77" s="41"/>
      <c r="AC77" s="41"/>
      <c r="AD77" s="41"/>
      <c r="AE77" s="41"/>
      <c r="AF77" s="41"/>
      <c r="AG77" s="41"/>
      <c r="AH77" s="41"/>
      <c r="AI77" s="41"/>
      <c r="AJ77" s="41"/>
      <c r="AK77" s="41"/>
      <c r="AL77" s="41"/>
      <c r="AM77" s="41"/>
    </row>
    <row r="78" spans="1:39" ht="18">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09" t="s">
        <v>93</v>
      </c>
      <c r="Q78" s="111" t="s">
        <v>93</v>
      </c>
      <c r="R78" s="64"/>
      <c r="S78" s="112" t="s">
        <v>93</v>
      </c>
      <c r="T78" s="113" t="s">
        <v>93</v>
      </c>
      <c r="U78" s="41"/>
      <c r="V78" s="41"/>
      <c r="W78" s="41"/>
      <c r="X78" s="41"/>
      <c r="Y78" s="41"/>
      <c r="Z78" s="41"/>
      <c r="AA78" s="41"/>
      <c r="AB78" s="41"/>
      <c r="AC78" s="41"/>
      <c r="AD78" s="41"/>
      <c r="AE78" s="41"/>
      <c r="AF78" s="41"/>
      <c r="AG78" s="41"/>
      <c r="AH78" s="41"/>
      <c r="AI78" s="41"/>
      <c r="AJ78" s="41"/>
      <c r="AK78" s="41"/>
      <c r="AL78" s="41"/>
      <c r="AM78" s="41"/>
    </row>
    <row r="79" spans="1:39" ht="18">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09" t="s">
        <v>93</v>
      </c>
      <c r="Q79" s="111" t="s">
        <v>93</v>
      </c>
      <c r="R79" s="64"/>
      <c r="S79" s="112" t="s">
        <v>93</v>
      </c>
      <c r="T79" s="112" t="s">
        <v>93</v>
      </c>
      <c r="U79" s="41"/>
      <c r="V79" s="41"/>
      <c r="W79" s="41"/>
      <c r="X79" s="41"/>
      <c r="Y79" s="41"/>
      <c r="Z79" s="41"/>
      <c r="AA79" s="41"/>
      <c r="AB79" s="41"/>
      <c r="AC79" s="41"/>
      <c r="AD79" s="41"/>
      <c r="AE79" s="41"/>
      <c r="AF79" s="41"/>
      <c r="AG79" s="41"/>
      <c r="AH79" s="41"/>
      <c r="AI79" s="41"/>
      <c r="AJ79" s="41"/>
      <c r="AK79" s="41"/>
      <c r="AL79" s="41"/>
      <c r="AM79" s="41"/>
    </row>
    <row r="80" spans="1:39" ht="18">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09" t="s">
        <v>93</v>
      </c>
      <c r="Q80" s="111" t="s">
        <v>93</v>
      </c>
      <c r="R80" s="64"/>
      <c r="S80" s="112" t="s">
        <v>93</v>
      </c>
      <c r="T80" s="112" t="s">
        <v>93</v>
      </c>
      <c r="U80" s="41"/>
      <c r="V80" s="41"/>
      <c r="W80" s="41"/>
      <c r="X80" s="41"/>
      <c r="Y80" s="41"/>
      <c r="Z80" s="41"/>
      <c r="AA80" s="41"/>
      <c r="AB80" s="41"/>
      <c r="AC80" s="41"/>
      <c r="AD80" s="41"/>
      <c r="AE80" s="41"/>
      <c r="AF80" s="41"/>
      <c r="AG80" s="41"/>
      <c r="AH80" s="41"/>
      <c r="AI80" s="41"/>
      <c r="AJ80" s="41"/>
      <c r="AK80" s="41"/>
      <c r="AL80" s="41"/>
      <c r="AM80" s="41"/>
    </row>
    <row r="81" spans="1:39" ht="18">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09" t="s">
        <v>93</v>
      </c>
      <c r="Q81" s="111" t="s">
        <v>93</v>
      </c>
      <c r="R81" s="64"/>
      <c r="S81" s="112" t="s">
        <v>93</v>
      </c>
      <c r="T81" s="113" t="s">
        <v>93</v>
      </c>
      <c r="U81" s="41"/>
      <c r="V81" s="41"/>
      <c r="W81" s="41"/>
      <c r="X81" s="41"/>
      <c r="Y81" s="41"/>
      <c r="Z81" s="41"/>
      <c r="AA81" s="41"/>
      <c r="AB81" s="41"/>
      <c r="AC81" s="41"/>
      <c r="AD81" s="41"/>
      <c r="AE81" s="41"/>
      <c r="AF81" s="41"/>
      <c r="AG81" s="41"/>
      <c r="AH81" s="41"/>
      <c r="AI81" s="41"/>
      <c r="AJ81" s="41"/>
      <c r="AK81" s="41"/>
      <c r="AL81" s="41"/>
      <c r="AM81" s="41"/>
    </row>
    <row r="82" spans="1:39" ht="18">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09" t="s">
        <v>93</v>
      </c>
      <c r="Q82" s="111" t="s">
        <v>93</v>
      </c>
      <c r="R82" s="64"/>
      <c r="S82" s="112" t="s">
        <v>93</v>
      </c>
      <c r="T82" s="113" t="s">
        <v>93</v>
      </c>
      <c r="U82" s="41"/>
      <c r="V82" s="41"/>
      <c r="W82" s="41"/>
      <c r="X82" s="41"/>
      <c r="Y82" s="41"/>
      <c r="Z82" s="41"/>
      <c r="AA82" s="41"/>
      <c r="AB82" s="41"/>
      <c r="AC82" s="41"/>
      <c r="AD82" s="41"/>
      <c r="AE82" s="41"/>
      <c r="AF82" s="41"/>
      <c r="AG82" s="41"/>
      <c r="AH82" s="41"/>
      <c r="AI82" s="41"/>
      <c r="AJ82" s="41"/>
      <c r="AK82" s="41"/>
      <c r="AL82" s="41"/>
      <c r="AM82" s="41"/>
    </row>
    <row r="83" spans="1:39" ht="18">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09" t="s">
        <v>93</v>
      </c>
      <c r="Q83" s="111" t="s">
        <v>93</v>
      </c>
      <c r="R83" s="64"/>
      <c r="S83" s="112" t="s">
        <v>93</v>
      </c>
      <c r="T83" s="113" t="s">
        <v>93</v>
      </c>
      <c r="U83" s="41"/>
      <c r="V83" s="41"/>
      <c r="W83" s="41"/>
      <c r="X83" s="41"/>
      <c r="Y83" s="41"/>
      <c r="Z83" s="41"/>
      <c r="AA83" s="41"/>
      <c r="AB83" s="41"/>
      <c r="AC83" s="41"/>
      <c r="AD83" s="41"/>
      <c r="AE83" s="41"/>
      <c r="AF83" s="41"/>
      <c r="AG83" s="41"/>
      <c r="AH83" s="41"/>
      <c r="AI83" s="41"/>
      <c r="AJ83" s="41"/>
      <c r="AK83" s="41"/>
      <c r="AL83" s="41"/>
      <c r="AM83" s="41"/>
    </row>
    <row r="84" spans="1:39" ht="18">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8">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8">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8">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8">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8">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8">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8">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8">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8">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8">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8">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8">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8">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8">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8">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8">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8">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3E4C5-A905-46D0-915C-9CCBA77A7A8C}">
  <sheetPr codeName="Sheet3"/>
  <dimension ref="A1:AM101"/>
  <sheetViews>
    <sheetView zoomScale="85" zoomScaleNormal="85" workbookViewId="0">
      <selection activeCell="P1" sqref="P1:Q1048576"/>
    </sheetView>
  </sheetViews>
  <sheetFormatPr defaultRowHeight="14.4"/>
  <cols>
    <col min="1" max="3" width="20.5546875" customWidth="1"/>
    <col min="4" max="4" width="25.5546875" customWidth="1"/>
    <col min="5" max="5" width="20.5546875" customWidth="1"/>
    <col min="6" max="6" width="50.6640625" style="43" customWidth="1"/>
  </cols>
  <sheetData>
    <row r="1" spans="1:20" ht="52.2">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8">
      <c r="A2" s="286" t="s">
        <v>600</v>
      </c>
      <c r="B2" s="293" t="s">
        <v>601</v>
      </c>
      <c r="C2" s="293" t="s">
        <v>602</v>
      </c>
      <c r="D2" s="119" t="s">
        <v>7</v>
      </c>
      <c r="E2" s="119" t="s">
        <v>9</v>
      </c>
      <c r="F2" s="119" t="s">
        <v>124</v>
      </c>
      <c r="G2" s="50">
        <v>95.6</v>
      </c>
      <c r="H2" s="57">
        <v>4</v>
      </c>
      <c r="I2" s="50">
        <v>1.0317930553091217</v>
      </c>
      <c r="J2" s="57">
        <v>3</v>
      </c>
      <c r="K2" s="50">
        <v>0.93333333333333324</v>
      </c>
      <c r="L2" s="57">
        <v>3</v>
      </c>
      <c r="M2" s="58">
        <v>48.68421052631578</v>
      </c>
      <c r="N2" s="58">
        <v>49.481093327561098</v>
      </c>
      <c r="O2" s="58">
        <v>48.333333333333329</v>
      </c>
      <c r="P2" s="58">
        <v>96.498637187210193</v>
      </c>
      <c r="Q2" s="60">
        <v>4</v>
      </c>
      <c r="R2" s="55"/>
      <c r="S2" s="61">
        <v>1</v>
      </c>
      <c r="T2" s="61">
        <v>4</v>
      </c>
    </row>
    <row r="3" spans="1:20" ht="18">
      <c r="A3" s="286" t="s">
        <v>603</v>
      </c>
      <c r="B3" s="286"/>
      <c r="C3" s="289"/>
      <c r="D3" s="119" t="s">
        <v>7</v>
      </c>
      <c r="E3" s="119" t="s">
        <v>9</v>
      </c>
      <c r="F3" s="119" t="s">
        <v>127</v>
      </c>
      <c r="G3" s="50">
        <v>95.4</v>
      </c>
      <c r="H3" s="57">
        <v>6</v>
      </c>
      <c r="I3" s="50">
        <v>0.92017287060125441</v>
      </c>
      <c r="J3" s="57">
        <v>6</v>
      </c>
      <c r="K3" s="50">
        <v>0.88333333333333319</v>
      </c>
      <c r="L3" s="57">
        <v>6</v>
      </c>
      <c r="M3" s="58">
        <v>48.574561403508774</v>
      </c>
      <c r="N3" s="58">
        <v>48.439057362221632</v>
      </c>
      <c r="O3" s="58">
        <v>47.083333333333329</v>
      </c>
      <c r="P3" s="58">
        <v>94.096952099063742</v>
      </c>
      <c r="Q3" s="60">
        <v>6</v>
      </c>
      <c r="R3" s="55"/>
      <c r="S3" s="61">
        <v>2</v>
      </c>
      <c r="T3" s="61">
        <v>6</v>
      </c>
    </row>
    <row r="4" spans="1:20" ht="18">
      <c r="A4" s="286" t="s">
        <v>598</v>
      </c>
      <c r="B4" s="286" t="s">
        <v>599</v>
      </c>
      <c r="C4" s="294"/>
      <c r="D4" s="119" t="s">
        <v>5</v>
      </c>
      <c r="E4" s="119" t="s">
        <v>9</v>
      </c>
      <c r="F4" s="119" t="s">
        <v>121</v>
      </c>
      <c r="G4" s="50">
        <v>89.4</v>
      </c>
      <c r="H4" s="57">
        <v>18</v>
      </c>
      <c r="I4" s="50">
        <v>0.54560897980476064</v>
      </c>
      <c r="J4" s="57">
        <v>17</v>
      </c>
      <c r="K4" s="50">
        <v>0.66666666666666663</v>
      </c>
      <c r="L4" s="57">
        <v>23</v>
      </c>
      <c r="M4" s="58">
        <v>45.285087719298247</v>
      </c>
      <c r="N4" s="58">
        <v>44.942296928175182</v>
      </c>
      <c r="O4" s="58">
        <v>41.666666666666664</v>
      </c>
      <c r="P4" s="58">
        <v>81.894051314140086</v>
      </c>
      <c r="Q4" s="60">
        <v>19</v>
      </c>
      <c r="R4" s="55"/>
      <c r="S4" s="61">
        <v>3</v>
      </c>
      <c r="T4" s="61">
        <v>19</v>
      </c>
    </row>
    <row r="5" spans="1:20" ht="18">
      <c r="A5" s="286" t="s">
        <v>592</v>
      </c>
      <c r="B5" s="294"/>
      <c r="C5" s="289"/>
      <c r="D5" s="119" t="s">
        <v>111</v>
      </c>
      <c r="E5" s="119" t="s">
        <v>9</v>
      </c>
      <c r="F5" s="119" t="s">
        <v>112</v>
      </c>
      <c r="G5" s="50">
        <v>83.4</v>
      </c>
      <c r="H5" s="57">
        <v>39</v>
      </c>
      <c r="I5" s="50">
        <v>0.30330281872556741</v>
      </c>
      <c r="J5" s="57">
        <v>25</v>
      </c>
      <c r="K5" s="50">
        <v>0.67</v>
      </c>
      <c r="L5" s="57">
        <v>22</v>
      </c>
      <c r="M5" s="58">
        <v>41.995614035087726</v>
      </c>
      <c r="N5" s="58">
        <v>42.68023532051275</v>
      </c>
      <c r="O5" s="58">
        <v>41.75</v>
      </c>
      <c r="P5" s="58">
        <v>76.425849355600477</v>
      </c>
      <c r="Q5" s="60">
        <v>28</v>
      </c>
      <c r="R5" s="55"/>
      <c r="S5" s="61">
        <v>4</v>
      </c>
      <c r="T5" s="61">
        <v>28</v>
      </c>
    </row>
    <row r="6" spans="1:20" ht="27.6">
      <c r="A6" s="46" t="s">
        <v>611</v>
      </c>
      <c r="B6" s="286" t="s">
        <v>612</v>
      </c>
      <c r="C6" s="294"/>
      <c r="D6" s="119" t="s">
        <v>129</v>
      </c>
      <c r="E6" s="119" t="s">
        <v>9</v>
      </c>
      <c r="F6" s="119" t="s">
        <v>140</v>
      </c>
      <c r="G6" s="50">
        <v>82.2</v>
      </c>
      <c r="H6" s="57">
        <v>41</v>
      </c>
      <c r="I6" s="50">
        <v>-4.9239714501917622E-2</v>
      </c>
      <c r="J6" s="57">
        <v>40</v>
      </c>
      <c r="K6" s="50">
        <v>0.48333333333333328</v>
      </c>
      <c r="L6" s="57">
        <v>37</v>
      </c>
      <c r="M6" s="58">
        <v>41.337719298245617</v>
      </c>
      <c r="N6" s="58">
        <v>39.389056400710913</v>
      </c>
      <c r="O6" s="58">
        <v>37.083333333333329</v>
      </c>
      <c r="P6" s="58">
        <v>67.810109032289859</v>
      </c>
      <c r="Q6" s="60">
        <v>39</v>
      </c>
      <c r="R6" s="55"/>
      <c r="S6" s="61">
        <v>5</v>
      </c>
      <c r="T6" s="61">
        <v>39</v>
      </c>
    </row>
    <row r="7" spans="1:20" ht="18">
      <c r="A7" s="286" t="s">
        <v>606</v>
      </c>
      <c r="B7" s="286" t="s">
        <v>607</v>
      </c>
      <c r="C7" s="293" t="s">
        <v>608</v>
      </c>
      <c r="D7" s="119" t="s">
        <v>129</v>
      </c>
      <c r="E7" s="119" t="s">
        <v>9</v>
      </c>
      <c r="F7" s="119" t="s">
        <v>134</v>
      </c>
      <c r="G7" s="50">
        <v>73.2</v>
      </c>
      <c r="H7" s="57">
        <v>56</v>
      </c>
      <c r="I7" s="50">
        <v>-0.30636160355991315</v>
      </c>
      <c r="J7" s="57">
        <v>43</v>
      </c>
      <c r="K7" s="50">
        <v>0.36666666666666664</v>
      </c>
      <c r="L7" s="57">
        <v>43</v>
      </c>
      <c r="M7" s="58">
        <v>36.403508771929829</v>
      </c>
      <c r="N7" s="58">
        <v>36.98868180380731</v>
      </c>
      <c r="O7" s="58">
        <v>34.166666666666664</v>
      </c>
      <c r="P7" s="58">
        <v>57.558857242403803</v>
      </c>
      <c r="Q7" s="60">
        <v>44</v>
      </c>
      <c r="R7" s="55"/>
      <c r="S7" s="61">
        <v>6</v>
      </c>
      <c r="T7" s="61">
        <v>44</v>
      </c>
    </row>
    <row r="8" spans="1:20" ht="18">
      <c r="A8" s="286" t="s">
        <v>595</v>
      </c>
      <c r="B8" s="286" t="s">
        <v>596</v>
      </c>
      <c r="C8" s="293" t="s">
        <v>597</v>
      </c>
      <c r="D8" s="119" t="s">
        <v>94</v>
      </c>
      <c r="E8" s="119" t="s">
        <v>9</v>
      </c>
      <c r="F8" s="119" t="s">
        <v>118</v>
      </c>
      <c r="G8" s="50">
        <v>76.2</v>
      </c>
      <c r="H8" s="57">
        <v>51</v>
      </c>
      <c r="I8" s="50">
        <v>-1.0232873135563723</v>
      </c>
      <c r="J8" s="57">
        <v>56</v>
      </c>
      <c r="K8" s="50">
        <v>0.17333333333333334</v>
      </c>
      <c r="L8" s="57">
        <v>52</v>
      </c>
      <c r="M8" s="58">
        <v>38.048245614035089</v>
      </c>
      <c r="N8" s="58">
        <v>30.295785028478988</v>
      </c>
      <c r="O8" s="58">
        <v>29.333333333333336</v>
      </c>
      <c r="P8" s="58">
        <v>47.677363975847413</v>
      </c>
      <c r="Q8" s="60">
        <v>51</v>
      </c>
      <c r="R8" s="55"/>
      <c r="S8" s="61">
        <v>7</v>
      </c>
      <c r="T8" s="61">
        <v>51</v>
      </c>
    </row>
    <row r="9" spans="1:20" ht="18">
      <c r="A9" s="286" t="s">
        <v>609</v>
      </c>
      <c r="B9" s="286" t="s">
        <v>610</v>
      </c>
      <c r="C9" s="294"/>
      <c r="D9" s="119" t="s">
        <v>129</v>
      </c>
      <c r="E9" s="119" t="s">
        <v>9</v>
      </c>
      <c r="F9" s="119" t="s">
        <v>137</v>
      </c>
      <c r="G9" s="50">
        <v>64.400000000000006</v>
      </c>
      <c r="H9" s="57">
        <v>60</v>
      </c>
      <c r="I9" s="50">
        <v>-0.85480873583027717</v>
      </c>
      <c r="J9" s="57">
        <v>52</v>
      </c>
      <c r="K9" s="50">
        <v>0.16666666666666666</v>
      </c>
      <c r="L9" s="57">
        <v>53</v>
      </c>
      <c r="M9" s="58">
        <v>31.578947368421055</v>
      </c>
      <c r="N9" s="58">
        <v>31.868625441163385</v>
      </c>
      <c r="O9" s="58">
        <v>29.166666666666664</v>
      </c>
      <c r="P9" s="58">
        <v>42.6142394762511</v>
      </c>
      <c r="Q9" s="60">
        <v>58</v>
      </c>
      <c r="R9" s="55"/>
      <c r="S9" s="61">
        <v>8</v>
      </c>
      <c r="T9" s="61">
        <v>58</v>
      </c>
    </row>
    <row r="10" spans="1:20" ht="18">
      <c r="A10" s="286" t="s">
        <v>593</v>
      </c>
      <c r="B10" s="286" t="s">
        <v>594</v>
      </c>
      <c r="C10" s="289"/>
      <c r="D10" s="119" t="s">
        <v>94</v>
      </c>
      <c r="E10" s="119" t="s">
        <v>9</v>
      </c>
      <c r="F10" s="119" t="s">
        <v>115</v>
      </c>
      <c r="G10" s="50">
        <v>62.6</v>
      </c>
      <c r="H10" s="57">
        <v>61</v>
      </c>
      <c r="I10" s="50">
        <v>-1.2937237048192602</v>
      </c>
      <c r="J10" s="57">
        <v>60</v>
      </c>
      <c r="K10" s="50">
        <v>0</v>
      </c>
      <c r="L10" s="57">
        <v>60</v>
      </c>
      <c r="M10" s="58">
        <v>30.592105263157897</v>
      </c>
      <c r="N10" s="58">
        <v>27.771112212625098</v>
      </c>
      <c r="O10" s="58">
        <v>25</v>
      </c>
      <c r="P10" s="58">
        <v>33.363217475782989</v>
      </c>
      <c r="Q10" s="60">
        <v>61</v>
      </c>
      <c r="R10" s="55"/>
      <c r="S10" s="61">
        <v>9</v>
      </c>
      <c r="T10" s="61">
        <v>61</v>
      </c>
    </row>
    <row r="11" spans="1:20" ht="18">
      <c r="A11" s="290" t="s">
        <v>604</v>
      </c>
      <c r="B11" s="290" t="s">
        <v>605</v>
      </c>
      <c r="C11" s="291"/>
      <c r="D11" s="277" t="s">
        <v>129</v>
      </c>
      <c r="E11" s="277" t="s">
        <v>9</v>
      </c>
      <c r="F11" s="277" t="s">
        <v>131</v>
      </c>
      <c r="G11" s="50" t="s">
        <v>93</v>
      </c>
      <c r="H11" s="57" t="s">
        <v>93</v>
      </c>
      <c r="I11" s="50" t="s">
        <v>93</v>
      </c>
      <c r="J11" s="57" t="s">
        <v>93</v>
      </c>
      <c r="K11" s="50" t="s">
        <v>93</v>
      </c>
      <c r="L11" s="57" t="s">
        <v>93</v>
      </c>
      <c r="M11" s="58" t="s">
        <v>93</v>
      </c>
      <c r="N11" s="58" t="s">
        <v>93</v>
      </c>
      <c r="O11" s="58" t="s">
        <v>93</v>
      </c>
      <c r="P11" s="58" t="s">
        <v>93</v>
      </c>
      <c r="Q11" s="60" t="s">
        <v>93</v>
      </c>
      <c r="R11" s="55"/>
      <c r="S11" s="61" t="s">
        <v>93</v>
      </c>
      <c r="T11" s="61" t="s">
        <v>93</v>
      </c>
    </row>
    <row r="12" spans="1:20" ht="18">
      <c r="A12" s="120" t="s">
        <v>613</v>
      </c>
      <c r="B12" s="120"/>
      <c r="C12" s="120"/>
      <c r="D12" s="120" t="s">
        <v>111</v>
      </c>
      <c r="E12" s="120" t="s">
        <v>4</v>
      </c>
      <c r="F12" s="120" t="s">
        <v>143</v>
      </c>
      <c r="G12" s="65">
        <v>89</v>
      </c>
      <c r="H12" s="115">
        <v>19</v>
      </c>
      <c r="I12" s="65">
        <v>0.63952352407683044</v>
      </c>
      <c r="J12" s="115">
        <v>12</v>
      </c>
      <c r="K12" s="65">
        <v>0.8125</v>
      </c>
      <c r="L12" s="115">
        <v>9</v>
      </c>
      <c r="M12" s="69">
        <v>45.065789473684212</v>
      </c>
      <c r="N12" s="69">
        <v>45.819040978152231</v>
      </c>
      <c r="O12" s="69">
        <v>45.3125</v>
      </c>
      <c r="P12" s="69">
        <v>86.19733045183645</v>
      </c>
      <c r="Q12" s="71">
        <v>12</v>
      </c>
      <c r="R12" s="68"/>
      <c r="S12" s="72">
        <v>1</v>
      </c>
      <c r="T12" s="72">
        <v>12</v>
      </c>
    </row>
    <row r="13" spans="1:20" ht="18">
      <c r="A13" s="120" t="s">
        <v>618</v>
      </c>
      <c r="B13" s="120"/>
      <c r="C13" s="120"/>
      <c r="D13" s="120" t="s">
        <v>13</v>
      </c>
      <c r="E13" s="120" t="s">
        <v>4</v>
      </c>
      <c r="F13" s="120" t="s">
        <v>158</v>
      </c>
      <c r="G13" s="65">
        <v>87.8</v>
      </c>
      <c r="H13" s="115">
        <v>23</v>
      </c>
      <c r="I13" s="65">
        <v>0.71906189572726575</v>
      </c>
      <c r="J13" s="115">
        <v>10</v>
      </c>
      <c r="K13" s="65">
        <v>0.8</v>
      </c>
      <c r="L13" s="115">
        <v>11</v>
      </c>
      <c r="M13" s="69">
        <v>44.40789473684211</v>
      </c>
      <c r="N13" s="69">
        <v>46.56157553049335</v>
      </c>
      <c r="O13" s="69">
        <v>45</v>
      </c>
      <c r="P13" s="69">
        <v>85.969470267335453</v>
      </c>
      <c r="Q13" s="71">
        <v>13</v>
      </c>
      <c r="R13" s="68"/>
      <c r="S13" s="72">
        <v>2</v>
      </c>
      <c r="T13" s="73">
        <v>13</v>
      </c>
    </row>
    <row r="14" spans="1:20" ht="18">
      <c r="A14" s="120" t="s">
        <v>615</v>
      </c>
      <c r="B14" s="120" t="s">
        <v>615</v>
      </c>
      <c r="C14" s="120"/>
      <c r="D14" s="120" t="s">
        <v>5</v>
      </c>
      <c r="E14" s="120" t="s">
        <v>4</v>
      </c>
      <c r="F14" s="120" t="s">
        <v>149</v>
      </c>
      <c r="G14" s="65">
        <v>87.8</v>
      </c>
      <c r="H14" s="115">
        <v>23</v>
      </c>
      <c r="I14" s="65">
        <v>0.22078750493910482</v>
      </c>
      <c r="J14" s="115">
        <v>29</v>
      </c>
      <c r="K14" s="65">
        <v>0.68333333333333335</v>
      </c>
      <c r="L14" s="115">
        <v>20</v>
      </c>
      <c r="M14" s="69">
        <v>44.40789473684211</v>
      </c>
      <c r="N14" s="69">
        <v>41.909909372013367</v>
      </c>
      <c r="O14" s="69">
        <v>42.083333333333329</v>
      </c>
      <c r="P14" s="69">
        <v>78.401137442188826</v>
      </c>
      <c r="Q14" s="71">
        <v>25</v>
      </c>
      <c r="R14" s="68"/>
      <c r="S14" s="72">
        <v>3</v>
      </c>
      <c r="T14" s="73">
        <v>25</v>
      </c>
    </row>
    <row r="15" spans="1:20" ht="18">
      <c r="A15" s="120" t="s">
        <v>616</v>
      </c>
      <c r="B15" s="120" t="s">
        <v>616</v>
      </c>
      <c r="C15" s="120"/>
      <c r="D15" s="120" t="s">
        <v>95</v>
      </c>
      <c r="E15" s="120" t="s">
        <v>4</v>
      </c>
      <c r="F15" s="120" t="s">
        <v>152</v>
      </c>
      <c r="G15" s="65">
        <v>85.8</v>
      </c>
      <c r="H15" s="115">
        <v>35</v>
      </c>
      <c r="I15" s="65">
        <v>0.3163320716110351</v>
      </c>
      <c r="J15" s="115">
        <v>24</v>
      </c>
      <c r="K15" s="65">
        <v>0.55000000000000004</v>
      </c>
      <c r="L15" s="115">
        <v>33</v>
      </c>
      <c r="M15" s="69">
        <v>43.311403508771932</v>
      </c>
      <c r="N15" s="69">
        <v>42.801870579795775</v>
      </c>
      <c r="O15" s="69">
        <v>38.75</v>
      </c>
      <c r="P15" s="69">
        <v>74.863274088567707</v>
      </c>
      <c r="Q15" s="71">
        <v>31</v>
      </c>
      <c r="R15" s="68"/>
      <c r="S15" s="72">
        <v>4</v>
      </c>
      <c r="T15" s="73">
        <v>31</v>
      </c>
    </row>
    <row r="16" spans="1:20" ht="18">
      <c r="A16" s="120" t="s">
        <v>617</v>
      </c>
      <c r="B16" s="120"/>
      <c r="C16" s="120"/>
      <c r="D16" s="120" t="s">
        <v>13</v>
      </c>
      <c r="E16" s="120" t="s">
        <v>4</v>
      </c>
      <c r="F16" s="120" t="s">
        <v>155</v>
      </c>
      <c r="G16" s="65">
        <v>86.4</v>
      </c>
      <c r="H16" s="115">
        <v>31</v>
      </c>
      <c r="I16" s="65">
        <v>8.5339501487288041E-2</v>
      </c>
      <c r="J16" s="115">
        <v>35</v>
      </c>
      <c r="K16" s="65">
        <v>0.51666666666666672</v>
      </c>
      <c r="L16" s="115">
        <v>35</v>
      </c>
      <c r="M16" s="69">
        <v>43.640350877192986</v>
      </c>
      <c r="N16" s="69">
        <v>40.645427581380133</v>
      </c>
      <c r="O16" s="69">
        <v>37.916666666666671</v>
      </c>
      <c r="P16" s="69">
        <v>72.202445125239791</v>
      </c>
      <c r="Q16" s="71">
        <v>34</v>
      </c>
      <c r="R16" s="68"/>
      <c r="S16" s="72">
        <v>5</v>
      </c>
      <c r="T16" s="73">
        <v>34</v>
      </c>
    </row>
    <row r="17" spans="1:39" ht="18">
      <c r="A17" s="120" t="s">
        <v>614</v>
      </c>
      <c r="B17" s="120" t="s">
        <v>614</v>
      </c>
      <c r="C17" s="120"/>
      <c r="D17" s="120" t="s">
        <v>5</v>
      </c>
      <c r="E17" s="120" t="s">
        <v>4</v>
      </c>
      <c r="F17" s="120" t="s">
        <v>146</v>
      </c>
      <c r="G17" s="65">
        <v>83.2</v>
      </c>
      <c r="H17" s="115">
        <v>40</v>
      </c>
      <c r="I17" s="65">
        <v>2.4722316455570593E-2</v>
      </c>
      <c r="J17" s="115">
        <v>36</v>
      </c>
      <c r="K17" s="65">
        <v>0.42000000000000004</v>
      </c>
      <c r="L17" s="115">
        <v>40</v>
      </c>
      <c r="M17" s="69">
        <v>41.885964912280706</v>
      </c>
      <c r="N17" s="69">
        <v>40.079532738202779</v>
      </c>
      <c r="O17" s="69">
        <v>35.5</v>
      </c>
      <c r="P17" s="69">
        <v>67.465497650483485</v>
      </c>
      <c r="Q17" s="71">
        <v>40</v>
      </c>
      <c r="R17" s="68"/>
      <c r="S17" s="72">
        <v>6</v>
      </c>
      <c r="T17" s="73">
        <v>40</v>
      </c>
    </row>
    <row r="18" spans="1:39" ht="18">
      <c r="A18" s="120" t="s">
        <v>619</v>
      </c>
      <c r="B18" s="120" t="s">
        <v>619</v>
      </c>
      <c r="C18" s="120"/>
      <c r="D18" s="120" t="s">
        <v>129</v>
      </c>
      <c r="E18" s="120" t="s">
        <v>4</v>
      </c>
      <c r="F18" s="120" t="s">
        <v>161</v>
      </c>
      <c r="G18" s="65">
        <v>66.599999999999994</v>
      </c>
      <c r="H18" s="115">
        <v>58</v>
      </c>
      <c r="I18" s="65">
        <v>-0.96495948841431467</v>
      </c>
      <c r="J18" s="115">
        <v>54</v>
      </c>
      <c r="K18" s="65">
        <v>0.2</v>
      </c>
      <c r="L18" s="115">
        <v>51</v>
      </c>
      <c r="M18" s="69">
        <v>32.785087719298247</v>
      </c>
      <c r="N18" s="69">
        <v>30.840307434862098</v>
      </c>
      <c r="O18" s="69">
        <v>30</v>
      </c>
      <c r="P18" s="69">
        <v>43.625395154160344</v>
      </c>
      <c r="Q18" s="71">
        <v>57</v>
      </c>
      <c r="R18" s="68"/>
      <c r="S18" s="72">
        <v>7</v>
      </c>
      <c r="T18" s="73">
        <v>57</v>
      </c>
    </row>
    <row r="19" spans="1:39" ht="18">
      <c r="A19" s="286" t="s">
        <v>625</v>
      </c>
      <c r="B19" s="295"/>
      <c r="C19" s="76"/>
      <c r="D19" s="119" t="s">
        <v>177</v>
      </c>
      <c r="E19" s="119" t="s">
        <v>2</v>
      </c>
      <c r="F19" s="119" t="s">
        <v>178</v>
      </c>
      <c r="G19" s="50">
        <v>97.75</v>
      </c>
      <c r="H19" s="57">
        <v>2</v>
      </c>
      <c r="I19" s="50">
        <v>1.0873769895977112</v>
      </c>
      <c r="J19" s="57">
        <v>1</v>
      </c>
      <c r="K19" s="50">
        <v>0.9375</v>
      </c>
      <c r="L19" s="57">
        <v>2</v>
      </c>
      <c r="M19" s="58">
        <v>49.862938596491226</v>
      </c>
      <c r="N19" s="58">
        <v>50</v>
      </c>
      <c r="O19" s="58">
        <v>48.4375</v>
      </c>
      <c r="P19" s="58">
        <v>98.300438596491233</v>
      </c>
      <c r="Q19" s="60">
        <v>1</v>
      </c>
      <c r="R19" s="55"/>
      <c r="S19" s="112">
        <v>1</v>
      </c>
      <c r="T19" s="61">
        <v>1</v>
      </c>
      <c r="U19" s="41"/>
      <c r="V19" s="41"/>
      <c r="W19" s="41"/>
      <c r="X19" s="41"/>
      <c r="Y19" s="41"/>
      <c r="Z19" s="41"/>
      <c r="AA19" s="41"/>
      <c r="AB19" s="41"/>
      <c r="AC19" s="41"/>
      <c r="AD19" s="41"/>
      <c r="AE19" s="41"/>
      <c r="AF19" s="41"/>
      <c r="AG19" s="41"/>
      <c r="AH19" s="41"/>
      <c r="AI19" s="41"/>
      <c r="AJ19" s="41"/>
      <c r="AK19" s="41"/>
      <c r="AL19" s="41"/>
      <c r="AM19" s="41"/>
    </row>
    <row r="20" spans="1:39" ht="27.6">
      <c r="A20" s="286" t="s">
        <v>631</v>
      </c>
      <c r="B20" s="76"/>
      <c r="C20" s="76"/>
      <c r="D20" s="119" t="s">
        <v>13</v>
      </c>
      <c r="E20" s="119" t="s">
        <v>2</v>
      </c>
      <c r="F20" s="119" t="s">
        <v>196</v>
      </c>
      <c r="G20" s="50">
        <v>92.5</v>
      </c>
      <c r="H20" s="57">
        <v>10</v>
      </c>
      <c r="I20" s="50">
        <v>0.81461207591901585</v>
      </c>
      <c r="J20" s="57">
        <v>7</v>
      </c>
      <c r="K20" s="50">
        <v>0.8125</v>
      </c>
      <c r="L20" s="57">
        <v>9</v>
      </c>
      <c r="M20" s="58">
        <v>46.984649122807014</v>
      </c>
      <c r="N20" s="58">
        <v>47.453589143578256</v>
      </c>
      <c r="O20" s="58">
        <v>45.3125</v>
      </c>
      <c r="P20" s="58">
        <v>89.75073826638527</v>
      </c>
      <c r="Q20" s="60">
        <v>7</v>
      </c>
      <c r="R20" s="55"/>
      <c r="S20" s="112">
        <v>2</v>
      </c>
      <c r="T20" s="61">
        <v>7</v>
      </c>
      <c r="U20" s="41"/>
      <c r="V20" s="41"/>
      <c r="W20" s="41"/>
      <c r="X20" s="41"/>
      <c r="Y20" s="41"/>
      <c r="Z20" s="41"/>
      <c r="AA20" s="41"/>
      <c r="AB20" s="41"/>
      <c r="AC20" s="41"/>
      <c r="AD20" s="41"/>
      <c r="AE20" s="41"/>
      <c r="AF20" s="41"/>
      <c r="AG20" s="41"/>
      <c r="AH20" s="41"/>
      <c r="AI20" s="41"/>
      <c r="AJ20" s="41"/>
      <c r="AK20" s="41"/>
      <c r="AL20" s="41"/>
      <c r="AM20" s="41"/>
    </row>
    <row r="21" spans="1:39" ht="18">
      <c r="A21" s="286" t="s">
        <v>651</v>
      </c>
      <c r="B21" s="76"/>
      <c r="C21" s="76"/>
      <c r="D21" s="119" t="s">
        <v>14</v>
      </c>
      <c r="E21" s="119" t="s">
        <v>2</v>
      </c>
      <c r="F21" s="119" t="s">
        <v>239</v>
      </c>
      <c r="G21" s="50">
        <v>87</v>
      </c>
      <c r="H21" s="57">
        <v>28</v>
      </c>
      <c r="I21" s="50">
        <v>0.94257924555716743</v>
      </c>
      <c r="J21" s="57">
        <v>5</v>
      </c>
      <c r="K21" s="50">
        <v>0.86666666666666659</v>
      </c>
      <c r="L21" s="57">
        <v>7</v>
      </c>
      <c r="M21" s="58">
        <v>43.969298245614034</v>
      </c>
      <c r="N21" s="58">
        <v>48.648233226049939</v>
      </c>
      <c r="O21" s="58">
        <v>46.666666666666664</v>
      </c>
      <c r="P21" s="58">
        <v>89.284198138330623</v>
      </c>
      <c r="Q21" s="60">
        <v>8</v>
      </c>
      <c r="R21" s="55"/>
      <c r="S21" s="112">
        <v>3</v>
      </c>
      <c r="T21" s="61">
        <v>8</v>
      </c>
      <c r="U21" s="41"/>
      <c r="V21" s="41"/>
      <c r="W21" s="41"/>
      <c r="X21" s="41"/>
      <c r="Y21" s="41"/>
      <c r="Z21" s="41"/>
      <c r="AA21" s="41"/>
      <c r="AB21" s="41"/>
      <c r="AC21" s="41"/>
      <c r="AD21" s="41"/>
      <c r="AE21" s="41"/>
      <c r="AF21" s="41"/>
      <c r="AG21" s="41"/>
      <c r="AH21" s="41"/>
      <c r="AI21" s="41"/>
      <c r="AJ21" s="41"/>
      <c r="AK21" s="41"/>
      <c r="AL21" s="41"/>
      <c r="AM21" s="41"/>
    </row>
    <row r="22" spans="1:39" ht="18">
      <c r="A22" s="286" t="s">
        <v>620</v>
      </c>
      <c r="B22" s="293" t="s">
        <v>621</v>
      </c>
      <c r="C22" s="76"/>
      <c r="D22" s="119" t="s">
        <v>5</v>
      </c>
      <c r="E22" s="119" t="s">
        <v>2</v>
      </c>
      <c r="F22" s="119" t="s">
        <v>164</v>
      </c>
      <c r="G22" s="106">
        <v>93.6</v>
      </c>
      <c r="H22" s="108">
        <v>8</v>
      </c>
      <c r="I22" s="106">
        <v>0.68121073778123542</v>
      </c>
      <c r="J22" s="108">
        <v>11</v>
      </c>
      <c r="K22" s="106">
        <v>0.8</v>
      </c>
      <c r="L22" s="108">
        <v>11</v>
      </c>
      <c r="M22" s="109">
        <v>47.587719298245617</v>
      </c>
      <c r="N22" s="109">
        <v>46.208214102067686</v>
      </c>
      <c r="O22" s="109">
        <v>45</v>
      </c>
      <c r="P22" s="109">
        <v>88.795933400313288</v>
      </c>
      <c r="Q22" s="111">
        <v>9</v>
      </c>
      <c r="R22" s="64"/>
      <c r="S22" s="112">
        <v>4</v>
      </c>
      <c r="T22" s="113">
        <v>9</v>
      </c>
    </row>
    <row r="23" spans="1:39" ht="18">
      <c r="A23" s="286" t="s">
        <v>650</v>
      </c>
      <c r="B23" s="76"/>
      <c r="C23" s="76"/>
      <c r="D23" s="119" t="s">
        <v>14</v>
      </c>
      <c r="E23" s="119" t="s">
        <v>2</v>
      </c>
      <c r="F23" s="119" t="s">
        <v>236</v>
      </c>
      <c r="G23" s="50">
        <v>90.4</v>
      </c>
      <c r="H23" s="57">
        <v>14</v>
      </c>
      <c r="I23" s="50">
        <v>0.76515563897067662</v>
      </c>
      <c r="J23" s="57">
        <v>9</v>
      </c>
      <c r="K23" s="50">
        <v>0.77</v>
      </c>
      <c r="L23" s="57">
        <v>13</v>
      </c>
      <c r="M23" s="58">
        <v>45.833333333333336</v>
      </c>
      <c r="N23" s="58">
        <v>46.991886037167973</v>
      </c>
      <c r="O23" s="58">
        <v>44.25</v>
      </c>
      <c r="P23" s="58">
        <v>87.075219370501316</v>
      </c>
      <c r="Q23" s="60">
        <v>11</v>
      </c>
      <c r="R23" s="55"/>
      <c r="S23" s="112">
        <v>5</v>
      </c>
      <c r="T23" s="61">
        <v>11</v>
      </c>
      <c r="U23" s="41"/>
      <c r="V23" s="41"/>
      <c r="W23" s="41"/>
      <c r="X23" s="41"/>
      <c r="Y23" s="41"/>
      <c r="Z23" s="41"/>
      <c r="AA23" s="41"/>
      <c r="AB23" s="41"/>
      <c r="AC23" s="41"/>
      <c r="AD23" s="41"/>
      <c r="AE23" s="41"/>
      <c r="AF23" s="41"/>
      <c r="AG23" s="41"/>
      <c r="AH23" s="41"/>
      <c r="AI23" s="41"/>
      <c r="AJ23" s="41"/>
      <c r="AK23" s="41"/>
      <c r="AL23" s="41"/>
      <c r="AM23" s="41"/>
    </row>
    <row r="24" spans="1:39" ht="18">
      <c r="A24" s="286" t="s">
        <v>633</v>
      </c>
      <c r="B24" s="76"/>
      <c r="C24" s="76"/>
      <c r="D24" s="119" t="s">
        <v>13</v>
      </c>
      <c r="E24" s="119" t="s">
        <v>2</v>
      </c>
      <c r="F24" s="119" t="s">
        <v>202</v>
      </c>
      <c r="G24" s="50">
        <v>90.2</v>
      </c>
      <c r="H24" s="57">
        <v>15</v>
      </c>
      <c r="I24" s="50">
        <v>0.56130708089139991</v>
      </c>
      <c r="J24" s="57">
        <v>14</v>
      </c>
      <c r="K24" s="50">
        <v>0.71666666666666667</v>
      </c>
      <c r="L24" s="57">
        <v>16</v>
      </c>
      <c r="M24" s="58">
        <v>45.723684210526315</v>
      </c>
      <c r="N24" s="58">
        <v>45.088847356868925</v>
      </c>
      <c r="O24" s="58">
        <v>42.916666666666671</v>
      </c>
      <c r="P24" s="58">
        <v>83.729198234061926</v>
      </c>
      <c r="Q24" s="60">
        <v>16</v>
      </c>
      <c r="R24" s="55"/>
      <c r="S24" s="112">
        <v>6</v>
      </c>
      <c r="T24" s="61">
        <v>16</v>
      </c>
      <c r="U24" s="41"/>
      <c r="V24" s="41"/>
      <c r="W24" s="41"/>
      <c r="X24" s="41"/>
      <c r="Y24" s="41"/>
      <c r="Z24" s="41"/>
      <c r="AA24" s="41"/>
      <c r="AB24" s="41"/>
      <c r="AC24" s="41"/>
      <c r="AD24" s="41"/>
      <c r="AE24" s="41"/>
      <c r="AF24" s="41"/>
      <c r="AG24" s="41"/>
      <c r="AH24" s="41"/>
      <c r="AI24" s="41"/>
      <c r="AJ24" s="41"/>
      <c r="AK24" s="41"/>
      <c r="AL24" s="41"/>
      <c r="AM24" s="41"/>
    </row>
    <row r="25" spans="1:39" ht="18">
      <c r="A25" s="286" t="s">
        <v>629</v>
      </c>
      <c r="B25" s="76"/>
      <c r="C25" s="76"/>
      <c r="D25" s="119" t="s">
        <v>13</v>
      </c>
      <c r="E25" s="119" t="s">
        <v>2</v>
      </c>
      <c r="F25" s="119" t="s">
        <v>190</v>
      </c>
      <c r="G25" s="50">
        <v>88</v>
      </c>
      <c r="H25" s="57">
        <v>22</v>
      </c>
      <c r="I25" s="50">
        <v>0.55914349705053623</v>
      </c>
      <c r="J25" s="57">
        <v>15</v>
      </c>
      <c r="K25" s="50">
        <v>0.7</v>
      </c>
      <c r="L25" s="57">
        <v>19</v>
      </c>
      <c r="M25" s="58">
        <v>44.517543859649123</v>
      </c>
      <c r="N25" s="58">
        <v>45.068649108836027</v>
      </c>
      <c r="O25" s="58">
        <v>42.5</v>
      </c>
      <c r="P25" s="58">
        <v>82.086192968485136</v>
      </c>
      <c r="Q25" s="60">
        <v>18</v>
      </c>
      <c r="R25" s="55"/>
      <c r="S25" s="112">
        <v>7</v>
      </c>
      <c r="T25" s="61">
        <v>18</v>
      </c>
      <c r="U25" s="41"/>
      <c r="V25" s="41"/>
      <c r="W25" s="41"/>
      <c r="X25" s="41"/>
      <c r="Y25" s="41"/>
      <c r="Z25" s="41"/>
      <c r="AA25" s="41"/>
      <c r="AB25" s="41"/>
      <c r="AC25" s="41"/>
      <c r="AD25" s="41"/>
      <c r="AE25" s="41"/>
      <c r="AF25" s="41"/>
      <c r="AG25" s="41"/>
      <c r="AH25" s="41"/>
      <c r="AI25" s="41"/>
      <c r="AJ25" s="41"/>
      <c r="AK25" s="41"/>
      <c r="AL25" s="41"/>
      <c r="AM25" s="41"/>
    </row>
    <row r="26" spans="1:39" ht="27.6">
      <c r="A26" s="286" t="s">
        <v>649</v>
      </c>
      <c r="B26" s="76"/>
      <c r="C26" s="76"/>
      <c r="D26" s="119" t="s">
        <v>14</v>
      </c>
      <c r="E26" s="119" t="s">
        <v>2</v>
      </c>
      <c r="F26" s="119" t="s">
        <v>233</v>
      </c>
      <c r="G26" s="50">
        <v>87</v>
      </c>
      <c r="H26" s="57">
        <v>28</v>
      </c>
      <c r="I26" s="50">
        <v>0.39462119205623736</v>
      </c>
      <c r="J26" s="57">
        <v>20</v>
      </c>
      <c r="K26" s="50">
        <v>0.75</v>
      </c>
      <c r="L26" s="57">
        <v>15</v>
      </c>
      <c r="M26" s="58">
        <v>43.969298245614034</v>
      </c>
      <c r="N26" s="58">
        <v>43.532742683369207</v>
      </c>
      <c r="O26" s="58">
        <v>43.75</v>
      </c>
      <c r="P26" s="58">
        <v>81.252040928983234</v>
      </c>
      <c r="Q26" s="60">
        <v>20</v>
      </c>
      <c r="R26" s="55"/>
      <c r="S26" s="112">
        <v>8</v>
      </c>
      <c r="T26" s="61">
        <v>20</v>
      </c>
      <c r="U26" s="41"/>
      <c r="V26" s="41"/>
      <c r="W26" s="41"/>
      <c r="X26" s="41"/>
      <c r="Y26" s="41"/>
      <c r="Z26" s="41"/>
      <c r="AA26" s="41"/>
      <c r="AB26" s="41"/>
      <c r="AC26" s="41"/>
      <c r="AD26" s="41"/>
      <c r="AE26" s="41"/>
      <c r="AF26" s="41"/>
      <c r="AG26" s="41"/>
      <c r="AH26" s="41"/>
      <c r="AI26" s="41"/>
      <c r="AJ26" s="41"/>
      <c r="AK26" s="41"/>
      <c r="AL26" s="41"/>
      <c r="AM26" s="41"/>
    </row>
    <row r="27" spans="1:39" ht="18">
      <c r="A27" s="286" t="s">
        <v>632</v>
      </c>
      <c r="B27" s="76"/>
      <c r="C27" s="76"/>
      <c r="D27" s="119" t="s">
        <v>13</v>
      </c>
      <c r="E27" s="119" t="s">
        <v>2</v>
      </c>
      <c r="F27" s="119" t="s">
        <v>199</v>
      </c>
      <c r="G27" s="50">
        <v>87</v>
      </c>
      <c r="H27" s="57">
        <v>28</v>
      </c>
      <c r="I27" s="50">
        <v>0.36053527161529625</v>
      </c>
      <c r="J27" s="57">
        <v>22</v>
      </c>
      <c r="K27" s="50">
        <v>0.68333333333333335</v>
      </c>
      <c r="L27" s="57">
        <v>20</v>
      </c>
      <c r="M27" s="58">
        <v>43.969298245614034</v>
      </c>
      <c r="N27" s="58">
        <v>43.214531822993727</v>
      </c>
      <c r="O27" s="58">
        <v>42.083333333333329</v>
      </c>
      <c r="P27" s="58">
        <v>79.267163401941104</v>
      </c>
      <c r="Q27" s="60">
        <v>23</v>
      </c>
      <c r="R27" s="55"/>
      <c r="S27" s="112">
        <v>9</v>
      </c>
      <c r="T27" s="61">
        <v>23</v>
      </c>
      <c r="U27" s="41"/>
      <c r="V27" s="41"/>
      <c r="W27" s="41"/>
      <c r="X27" s="41"/>
      <c r="Y27" s="41"/>
      <c r="Z27" s="41"/>
      <c r="AA27" s="41"/>
      <c r="AB27" s="41"/>
      <c r="AC27" s="41"/>
      <c r="AD27" s="41"/>
      <c r="AE27" s="41"/>
      <c r="AF27" s="41"/>
      <c r="AG27" s="41"/>
      <c r="AH27" s="41"/>
      <c r="AI27" s="41"/>
      <c r="AJ27" s="41"/>
      <c r="AK27" s="41"/>
      <c r="AL27" s="41"/>
      <c r="AM27" s="41"/>
    </row>
    <row r="28" spans="1:39" ht="27.6">
      <c r="A28" s="286" t="s">
        <v>641</v>
      </c>
      <c r="B28" s="293" t="s">
        <v>642</v>
      </c>
      <c r="C28" s="76"/>
      <c r="D28" s="119" t="s">
        <v>129</v>
      </c>
      <c r="E28" s="119" t="s">
        <v>2</v>
      </c>
      <c r="F28" s="119" t="s">
        <v>217</v>
      </c>
      <c r="G28" s="50">
        <v>86.4</v>
      </c>
      <c r="H28" s="57">
        <v>31</v>
      </c>
      <c r="I28" s="50">
        <v>0.28663081991116474</v>
      </c>
      <c r="J28" s="57">
        <v>26</v>
      </c>
      <c r="K28" s="50">
        <v>0.65</v>
      </c>
      <c r="L28" s="57">
        <v>25</v>
      </c>
      <c r="M28" s="58">
        <v>43.640350877192986</v>
      </c>
      <c r="N28" s="58">
        <v>42.524593019577914</v>
      </c>
      <c r="O28" s="58">
        <v>41.25</v>
      </c>
      <c r="P28" s="58">
        <v>77.414943896770893</v>
      </c>
      <c r="Q28" s="60">
        <v>27</v>
      </c>
      <c r="R28" s="55"/>
      <c r="S28" s="112">
        <v>10</v>
      </c>
      <c r="T28" s="61">
        <v>27</v>
      </c>
      <c r="U28" s="41"/>
      <c r="V28" s="41"/>
      <c r="W28" s="41"/>
      <c r="X28" s="41"/>
      <c r="Y28" s="41"/>
      <c r="Z28" s="41"/>
      <c r="AA28" s="41"/>
      <c r="AB28" s="41"/>
      <c r="AC28" s="41"/>
      <c r="AD28" s="41"/>
      <c r="AE28" s="41"/>
      <c r="AF28" s="41"/>
      <c r="AG28" s="41"/>
      <c r="AH28" s="41"/>
      <c r="AI28" s="41"/>
      <c r="AJ28" s="41"/>
      <c r="AK28" s="41"/>
      <c r="AL28" s="41"/>
      <c r="AM28" s="41"/>
    </row>
    <row r="29" spans="1:39" ht="18">
      <c r="A29" s="286" t="s">
        <v>628</v>
      </c>
      <c r="B29" s="76"/>
      <c r="C29" s="76"/>
      <c r="D29" s="119" t="s">
        <v>13</v>
      </c>
      <c r="E29" s="119" t="s">
        <v>2</v>
      </c>
      <c r="F29" s="119" t="s">
        <v>187</v>
      </c>
      <c r="G29" s="50">
        <v>88.2</v>
      </c>
      <c r="H29" s="57">
        <v>21</v>
      </c>
      <c r="I29" s="50">
        <v>0.19579938470915331</v>
      </c>
      <c r="J29" s="57">
        <v>30</v>
      </c>
      <c r="K29" s="50">
        <v>0.6</v>
      </c>
      <c r="L29" s="57">
        <v>29</v>
      </c>
      <c r="M29" s="58">
        <v>44.627192982456144</v>
      </c>
      <c r="N29" s="58">
        <v>41.676631492622789</v>
      </c>
      <c r="O29" s="58">
        <v>40</v>
      </c>
      <c r="P29" s="58">
        <v>76.303824475078926</v>
      </c>
      <c r="Q29" s="60">
        <v>29</v>
      </c>
      <c r="R29" s="55"/>
      <c r="S29" s="112">
        <v>11</v>
      </c>
      <c r="T29" s="61">
        <v>29</v>
      </c>
      <c r="U29" s="41"/>
      <c r="V29" s="41"/>
      <c r="W29" s="41"/>
      <c r="X29" s="41"/>
      <c r="Y29" s="41"/>
      <c r="Z29" s="41"/>
      <c r="AA29" s="41"/>
      <c r="AB29" s="41"/>
      <c r="AC29" s="41"/>
      <c r="AD29" s="41"/>
      <c r="AE29" s="41"/>
      <c r="AF29" s="41"/>
      <c r="AG29" s="41"/>
      <c r="AH29" s="41"/>
      <c r="AI29" s="41"/>
      <c r="AJ29" s="41"/>
      <c r="AK29" s="41"/>
      <c r="AL29" s="41"/>
      <c r="AM29" s="41"/>
    </row>
    <row r="30" spans="1:39" ht="18">
      <c r="A30" s="286" t="s">
        <v>622</v>
      </c>
      <c r="B30" s="76"/>
      <c r="C30" s="76"/>
      <c r="D30" s="119" t="s">
        <v>5</v>
      </c>
      <c r="E30" s="119" t="s">
        <v>2</v>
      </c>
      <c r="F30" s="119" t="s">
        <v>167</v>
      </c>
      <c r="G30" s="106">
        <v>86.4</v>
      </c>
      <c r="H30" s="108">
        <v>31</v>
      </c>
      <c r="I30" s="106">
        <v>0.23043344411205688</v>
      </c>
      <c r="J30" s="108">
        <v>27</v>
      </c>
      <c r="K30" s="106">
        <v>0.6</v>
      </c>
      <c r="L30" s="108">
        <v>29</v>
      </c>
      <c r="M30" s="109">
        <v>43.640350877192986</v>
      </c>
      <c r="N30" s="109">
        <v>41.999959532421173</v>
      </c>
      <c r="O30" s="109">
        <v>40</v>
      </c>
      <c r="P30" s="109">
        <v>75.640310409614159</v>
      </c>
      <c r="Q30" s="111">
        <v>30</v>
      </c>
      <c r="R30" s="64"/>
      <c r="S30" s="112">
        <v>12</v>
      </c>
      <c r="T30" s="113">
        <v>30</v>
      </c>
    </row>
    <row r="31" spans="1:39" ht="18">
      <c r="A31" s="286" t="s">
        <v>634</v>
      </c>
      <c r="B31" s="76"/>
      <c r="C31" s="76"/>
      <c r="D31" s="119" t="s">
        <v>13</v>
      </c>
      <c r="E31" s="119" t="s">
        <v>2</v>
      </c>
      <c r="F31" s="119" t="s">
        <v>205</v>
      </c>
      <c r="G31" s="50">
        <v>86.4</v>
      </c>
      <c r="H31" s="57">
        <v>31</v>
      </c>
      <c r="I31" s="50">
        <v>0.12606211844792353</v>
      </c>
      <c r="J31" s="57">
        <v>32</v>
      </c>
      <c r="K31" s="50">
        <v>0.58333333333333326</v>
      </c>
      <c r="L31" s="57">
        <v>31</v>
      </c>
      <c r="M31" s="58">
        <v>43.640350877192986</v>
      </c>
      <c r="N31" s="58">
        <v>41.025595662868128</v>
      </c>
      <c r="O31" s="58">
        <v>39.583333333333329</v>
      </c>
      <c r="P31" s="58">
        <v>74.249279873394443</v>
      </c>
      <c r="Q31" s="60">
        <v>32</v>
      </c>
      <c r="R31" s="55"/>
      <c r="S31" s="112">
        <v>13</v>
      </c>
      <c r="T31" s="61">
        <v>32</v>
      </c>
      <c r="U31" s="41"/>
      <c r="V31" s="41"/>
      <c r="W31" s="41"/>
      <c r="X31" s="41"/>
      <c r="Y31" s="41"/>
      <c r="Z31" s="41"/>
      <c r="AA31" s="41"/>
      <c r="AB31" s="41"/>
      <c r="AC31" s="41"/>
      <c r="AD31" s="41"/>
      <c r="AE31" s="41"/>
      <c r="AF31" s="41"/>
      <c r="AG31" s="41"/>
      <c r="AH31" s="41"/>
      <c r="AI31" s="41"/>
      <c r="AJ31" s="41"/>
      <c r="AK31" s="41"/>
      <c r="AL31" s="41"/>
      <c r="AM31" s="41"/>
    </row>
    <row r="32" spans="1:39" ht="18">
      <c r="A32" s="286" t="s">
        <v>645</v>
      </c>
      <c r="B32" s="293" t="s">
        <v>646</v>
      </c>
      <c r="C32" s="76"/>
      <c r="D32" s="119" t="s">
        <v>129</v>
      </c>
      <c r="E32" s="119" t="s">
        <v>2</v>
      </c>
      <c r="F32" s="119" t="s">
        <v>223</v>
      </c>
      <c r="G32" s="50">
        <v>87.25</v>
      </c>
      <c r="H32" s="57">
        <v>26</v>
      </c>
      <c r="I32" s="50">
        <v>8.931355799732385E-2</v>
      </c>
      <c r="J32" s="57">
        <v>34</v>
      </c>
      <c r="K32" s="50">
        <v>0.5625</v>
      </c>
      <c r="L32" s="57">
        <v>32</v>
      </c>
      <c r="M32" s="58">
        <v>44.106359649122808</v>
      </c>
      <c r="N32" s="58">
        <v>40.682527589972551</v>
      </c>
      <c r="O32" s="58">
        <v>39.0625</v>
      </c>
      <c r="P32" s="58">
        <v>73.851387239095359</v>
      </c>
      <c r="Q32" s="60">
        <v>33</v>
      </c>
      <c r="R32" s="55"/>
      <c r="S32" s="112">
        <v>14</v>
      </c>
      <c r="T32" s="61">
        <v>33</v>
      </c>
      <c r="U32" s="41"/>
      <c r="V32" s="41"/>
      <c r="W32" s="41"/>
      <c r="X32" s="41"/>
      <c r="Y32" s="41"/>
      <c r="Z32" s="41"/>
      <c r="AA32" s="41"/>
      <c r="AB32" s="41"/>
      <c r="AC32" s="41"/>
      <c r="AD32" s="41"/>
      <c r="AE32" s="41"/>
      <c r="AF32" s="41"/>
      <c r="AG32" s="41"/>
      <c r="AH32" s="41"/>
      <c r="AI32" s="41"/>
      <c r="AJ32" s="41"/>
      <c r="AK32" s="41"/>
      <c r="AL32" s="41"/>
      <c r="AM32" s="41"/>
    </row>
    <row r="33" spans="1:39" ht="18">
      <c r="A33" s="286" t="s">
        <v>630</v>
      </c>
      <c r="B33" s="295"/>
      <c r="C33" s="76"/>
      <c r="D33" s="119" t="s">
        <v>13</v>
      </c>
      <c r="E33" s="119" t="s">
        <v>2</v>
      </c>
      <c r="F33" s="119" t="s">
        <v>193</v>
      </c>
      <c r="G33" s="50">
        <v>84.8</v>
      </c>
      <c r="H33" s="57">
        <v>37</v>
      </c>
      <c r="I33" s="50">
        <v>-4.0885873272851522E-2</v>
      </c>
      <c r="J33" s="57">
        <v>39</v>
      </c>
      <c r="K33" s="50">
        <v>0.55000000000000004</v>
      </c>
      <c r="L33" s="57">
        <v>33</v>
      </c>
      <c r="M33" s="58">
        <v>42.763157894736842</v>
      </c>
      <c r="N33" s="58">
        <v>39.467044114422421</v>
      </c>
      <c r="O33" s="58">
        <v>38.75</v>
      </c>
      <c r="P33" s="58">
        <v>70.980202009159257</v>
      </c>
      <c r="Q33" s="60">
        <v>35</v>
      </c>
      <c r="R33" s="55"/>
      <c r="S33" s="112">
        <v>15</v>
      </c>
      <c r="T33" s="61">
        <v>35</v>
      </c>
      <c r="U33" s="41"/>
      <c r="V33" s="41"/>
      <c r="W33" s="41"/>
      <c r="X33" s="41"/>
      <c r="Y33" s="41"/>
      <c r="Z33" s="41"/>
      <c r="AA33" s="41"/>
      <c r="AB33" s="41"/>
      <c r="AC33" s="41"/>
      <c r="AD33" s="41"/>
      <c r="AE33" s="41"/>
      <c r="AF33" s="41"/>
      <c r="AG33" s="41"/>
      <c r="AH33" s="41"/>
      <c r="AI33" s="41"/>
      <c r="AJ33" s="41"/>
      <c r="AK33" s="41"/>
      <c r="AL33" s="41"/>
      <c r="AM33" s="41"/>
    </row>
    <row r="34" spans="1:39" ht="18">
      <c r="A34" s="286" t="s">
        <v>648</v>
      </c>
      <c r="B34" s="295"/>
      <c r="C34" s="76"/>
      <c r="D34" s="119" t="s">
        <v>226</v>
      </c>
      <c r="E34" s="119" t="s">
        <v>2</v>
      </c>
      <c r="F34" s="119" t="s">
        <v>230</v>
      </c>
      <c r="G34" s="50">
        <v>77.2</v>
      </c>
      <c r="H34" s="57">
        <v>48</v>
      </c>
      <c r="I34" s="50">
        <v>-3.6387751726159601E-3</v>
      </c>
      <c r="J34" s="57">
        <v>38</v>
      </c>
      <c r="K34" s="50">
        <v>0.49000000000000005</v>
      </c>
      <c r="L34" s="57">
        <v>36</v>
      </c>
      <c r="M34" s="58">
        <v>38.596491228070178</v>
      </c>
      <c r="N34" s="58">
        <v>39.814766311142968</v>
      </c>
      <c r="O34" s="58">
        <v>37.25</v>
      </c>
      <c r="P34" s="58">
        <v>65.661257539213153</v>
      </c>
      <c r="Q34" s="60">
        <v>41</v>
      </c>
      <c r="R34" s="55"/>
      <c r="S34" s="112">
        <v>16</v>
      </c>
      <c r="T34" s="61">
        <v>41</v>
      </c>
      <c r="U34" s="41"/>
      <c r="V34" s="41"/>
      <c r="W34" s="41"/>
      <c r="X34" s="41"/>
      <c r="Y34" s="41"/>
      <c r="Z34" s="41"/>
      <c r="AA34" s="41"/>
      <c r="AB34" s="41"/>
      <c r="AC34" s="41"/>
      <c r="AD34" s="41"/>
      <c r="AE34" s="41"/>
      <c r="AF34" s="41"/>
      <c r="AG34" s="41"/>
      <c r="AH34" s="41"/>
      <c r="AI34" s="41"/>
      <c r="AJ34" s="41"/>
      <c r="AK34" s="41"/>
      <c r="AL34" s="41"/>
      <c r="AM34" s="41"/>
    </row>
    <row r="35" spans="1:39" ht="18">
      <c r="A35" s="286" t="s">
        <v>637</v>
      </c>
      <c r="B35" s="286" t="s">
        <v>638</v>
      </c>
      <c r="C35" s="76"/>
      <c r="D35" s="119" t="s">
        <v>129</v>
      </c>
      <c r="E35" s="119" t="s">
        <v>2</v>
      </c>
      <c r="F35" s="119" t="s">
        <v>211</v>
      </c>
      <c r="G35" s="50">
        <v>79.25</v>
      </c>
      <c r="H35" s="57">
        <v>43</v>
      </c>
      <c r="I35" s="50">
        <v>-0.3281842746621727</v>
      </c>
      <c r="J35" s="57">
        <v>44</v>
      </c>
      <c r="K35" s="50">
        <v>0.35</v>
      </c>
      <c r="L35" s="57">
        <v>44</v>
      </c>
      <c r="M35" s="58">
        <v>39.720394736842103</v>
      </c>
      <c r="N35" s="58">
        <v>36.784955137274338</v>
      </c>
      <c r="O35" s="58">
        <v>33.75</v>
      </c>
      <c r="P35" s="58">
        <v>60.255349874116433</v>
      </c>
      <c r="Q35" s="60">
        <v>43</v>
      </c>
      <c r="R35" s="55"/>
      <c r="S35" s="112">
        <v>17</v>
      </c>
      <c r="T35" s="61">
        <v>43</v>
      </c>
      <c r="U35" s="41"/>
      <c r="V35" s="41"/>
      <c r="W35" s="41"/>
      <c r="X35" s="41"/>
      <c r="Y35" s="41"/>
      <c r="Z35" s="41"/>
      <c r="AA35" s="41"/>
      <c r="AB35" s="41"/>
      <c r="AC35" s="41"/>
      <c r="AD35" s="41"/>
      <c r="AE35" s="41"/>
      <c r="AF35" s="41"/>
      <c r="AG35" s="41"/>
      <c r="AH35" s="41"/>
      <c r="AI35" s="41"/>
      <c r="AJ35" s="41"/>
      <c r="AK35" s="41"/>
      <c r="AL35" s="41"/>
      <c r="AM35" s="41"/>
    </row>
    <row r="36" spans="1:39" ht="18">
      <c r="A36" s="286" t="s">
        <v>624</v>
      </c>
      <c r="B36" s="295"/>
      <c r="C36" s="76"/>
      <c r="D36" s="119" t="s">
        <v>173</v>
      </c>
      <c r="E36" s="119" t="s">
        <v>2</v>
      </c>
      <c r="F36" s="119" t="s">
        <v>174</v>
      </c>
      <c r="G36" s="106">
        <v>79</v>
      </c>
      <c r="H36" s="108">
        <v>44</v>
      </c>
      <c r="I36" s="106">
        <v>-0.54235726299115783</v>
      </c>
      <c r="J36" s="108">
        <v>46</v>
      </c>
      <c r="K36" s="106">
        <v>0.3</v>
      </c>
      <c r="L36" s="108">
        <v>45</v>
      </c>
      <c r="M36" s="109">
        <v>39.583333333333336</v>
      </c>
      <c r="N36" s="109">
        <v>34.785532208284145</v>
      </c>
      <c r="O36" s="109">
        <v>32.5</v>
      </c>
      <c r="P36" s="109">
        <v>56.868865541617481</v>
      </c>
      <c r="Q36" s="111">
        <v>46</v>
      </c>
      <c r="R36" s="64"/>
      <c r="S36" s="112">
        <v>18</v>
      </c>
      <c r="T36" s="113">
        <v>46</v>
      </c>
      <c r="U36" s="41"/>
      <c r="V36" s="41"/>
      <c r="W36" s="41"/>
      <c r="X36" s="41"/>
      <c r="Y36" s="41"/>
      <c r="Z36" s="41"/>
      <c r="AA36" s="41"/>
      <c r="AB36" s="41"/>
      <c r="AC36" s="41"/>
      <c r="AD36" s="41"/>
      <c r="AE36" s="41"/>
      <c r="AF36" s="41"/>
      <c r="AG36" s="41"/>
      <c r="AH36" s="41"/>
      <c r="AI36" s="41"/>
      <c r="AJ36" s="41"/>
      <c r="AK36" s="41"/>
      <c r="AL36" s="41"/>
      <c r="AM36" s="41"/>
    </row>
    <row r="37" spans="1:39" ht="27.6">
      <c r="A37" s="286" t="s">
        <v>623</v>
      </c>
      <c r="B37" s="295"/>
      <c r="C37" s="76"/>
      <c r="D37" s="119" t="s">
        <v>5</v>
      </c>
      <c r="E37" s="119" t="s">
        <v>2</v>
      </c>
      <c r="F37" s="119" t="s">
        <v>170</v>
      </c>
      <c r="G37" s="106">
        <v>77.5</v>
      </c>
      <c r="H37" s="108">
        <v>47</v>
      </c>
      <c r="I37" s="106">
        <v>-0.6838312130711659</v>
      </c>
      <c r="J37" s="108">
        <v>48</v>
      </c>
      <c r="K37" s="106">
        <v>0.22916666666666666</v>
      </c>
      <c r="L37" s="108">
        <v>49</v>
      </c>
      <c r="M37" s="109">
        <v>38.760964912280699</v>
      </c>
      <c r="N37" s="109">
        <v>33.464794883508716</v>
      </c>
      <c r="O37" s="109">
        <v>30.729166666666664</v>
      </c>
      <c r="P37" s="109">
        <v>52.954926462456086</v>
      </c>
      <c r="Q37" s="111">
        <v>50</v>
      </c>
      <c r="R37" s="64"/>
      <c r="S37" s="112">
        <v>19</v>
      </c>
      <c r="T37" s="113">
        <v>50</v>
      </c>
      <c r="U37" s="41"/>
      <c r="V37" s="41"/>
      <c r="W37" s="41"/>
      <c r="X37" s="41"/>
      <c r="Y37" s="41"/>
      <c r="Z37" s="41"/>
      <c r="AA37" s="41"/>
      <c r="AB37" s="41"/>
      <c r="AC37" s="41"/>
      <c r="AD37" s="41"/>
      <c r="AE37" s="41"/>
      <c r="AF37" s="41"/>
      <c r="AG37" s="41"/>
      <c r="AH37" s="41"/>
      <c r="AI37" s="41"/>
      <c r="AJ37" s="41"/>
      <c r="AK37" s="41"/>
      <c r="AL37" s="41"/>
      <c r="AM37" s="41"/>
    </row>
    <row r="38" spans="1:39" ht="18">
      <c r="A38" s="286" t="s">
        <v>639</v>
      </c>
      <c r="B38" s="286" t="s">
        <v>640</v>
      </c>
      <c r="C38" s="76"/>
      <c r="D38" s="119" t="s">
        <v>129</v>
      </c>
      <c r="E38" s="119" t="s">
        <v>2</v>
      </c>
      <c r="F38" s="119" t="s">
        <v>214</v>
      </c>
      <c r="G38" s="50">
        <v>74.599999999999994</v>
      </c>
      <c r="H38" s="57">
        <v>54</v>
      </c>
      <c r="I38" s="50">
        <v>-1.2010103231364273</v>
      </c>
      <c r="J38" s="57">
        <v>58</v>
      </c>
      <c r="K38" s="50">
        <v>0.25</v>
      </c>
      <c r="L38" s="57">
        <v>47</v>
      </c>
      <c r="M38" s="58">
        <v>37.171052631578945</v>
      </c>
      <c r="N38" s="58">
        <v>28.636642747578129</v>
      </c>
      <c r="O38" s="58">
        <v>31.25</v>
      </c>
      <c r="P38" s="58">
        <v>47.057695379157082</v>
      </c>
      <c r="Q38" s="60">
        <v>52</v>
      </c>
      <c r="R38" s="55"/>
      <c r="S38" s="112">
        <v>20</v>
      </c>
      <c r="T38" s="61">
        <v>52</v>
      </c>
      <c r="U38" s="41"/>
      <c r="V38" s="41"/>
      <c r="W38" s="41"/>
      <c r="X38" s="41"/>
      <c r="Y38" s="41"/>
      <c r="Z38" s="41"/>
      <c r="AA38" s="41"/>
      <c r="AB38" s="41"/>
      <c r="AC38" s="41"/>
      <c r="AD38" s="41"/>
      <c r="AE38" s="41"/>
      <c r="AF38" s="41"/>
      <c r="AG38" s="41"/>
      <c r="AH38" s="41"/>
      <c r="AI38" s="41"/>
      <c r="AJ38" s="41"/>
      <c r="AK38" s="41"/>
      <c r="AL38" s="41"/>
      <c r="AM38" s="41"/>
    </row>
    <row r="39" spans="1:39" ht="18">
      <c r="A39" s="286" t="s">
        <v>647</v>
      </c>
      <c r="B39" s="76"/>
      <c r="C39" s="76"/>
      <c r="D39" s="119" t="s">
        <v>226</v>
      </c>
      <c r="E39" s="119" t="s">
        <v>2</v>
      </c>
      <c r="F39" s="119" t="s">
        <v>227</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2">
        <v>21</v>
      </c>
      <c r="T39" s="61">
        <v>53</v>
      </c>
      <c r="U39" s="41"/>
      <c r="V39" s="41"/>
      <c r="W39" s="41"/>
      <c r="X39" s="41"/>
      <c r="Y39" s="41"/>
      <c r="Z39" s="41"/>
      <c r="AA39" s="41"/>
      <c r="AB39" s="41"/>
      <c r="AC39" s="41"/>
      <c r="AD39" s="41"/>
      <c r="AE39" s="41"/>
      <c r="AF39" s="41"/>
      <c r="AG39" s="41"/>
      <c r="AH39" s="41"/>
      <c r="AI39" s="41"/>
      <c r="AJ39" s="41"/>
      <c r="AK39" s="41"/>
      <c r="AL39" s="41"/>
      <c r="AM39" s="41"/>
    </row>
    <row r="40" spans="1:39" ht="27.6">
      <c r="A40" s="286" t="s">
        <v>643</v>
      </c>
      <c r="B40" s="293" t="s">
        <v>644</v>
      </c>
      <c r="C40" s="76"/>
      <c r="D40" s="119" t="s">
        <v>129</v>
      </c>
      <c r="E40" s="119" t="s">
        <v>2</v>
      </c>
      <c r="F40" s="119" t="s">
        <v>220</v>
      </c>
      <c r="G40" s="50">
        <v>76.75</v>
      </c>
      <c r="H40" s="57">
        <v>50</v>
      </c>
      <c r="I40" s="50">
        <v>-1.0730484715119712</v>
      </c>
      <c r="J40" s="57">
        <v>57</v>
      </c>
      <c r="K40" s="50">
        <v>0.125</v>
      </c>
      <c r="L40" s="57">
        <v>56</v>
      </c>
      <c r="M40" s="58">
        <v>38.349780701754383</v>
      </c>
      <c r="N40" s="58">
        <v>29.831237183459905</v>
      </c>
      <c r="O40" s="58">
        <v>28.125</v>
      </c>
      <c r="P40" s="58">
        <v>46.306017885214288</v>
      </c>
      <c r="Q40" s="60">
        <v>54</v>
      </c>
      <c r="R40" s="55"/>
      <c r="S40" s="112">
        <v>22</v>
      </c>
      <c r="T40" s="61">
        <v>54</v>
      </c>
      <c r="U40" s="41"/>
      <c r="V40" s="41"/>
      <c r="W40" s="41"/>
      <c r="X40" s="41"/>
      <c r="Y40" s="41"/>
      <c r="Z40" s="41"/>
      <c r="AA40" s="41"/>
      <c r="AB40" s="41"/>
      <c r="AC40" s="41"/>
      <c r="AD40" s="41"/>
      <c r="AE40" s="41"/>
      <c r="AF40" s="41"/>
      <c r="AG40" s="41"/>
      <c r="AH40" s="41"/>
      <c r="AI40" s="41"/>
      <c r="AJ40" s="41"/>
      <c r="AK40" s="41"/>
      <c r="AL40" s="41"/>
      <c r="AM40" s="41"/>
    </row>
    <row r="41" spans="1:39" ht="18">
      <c r="A41" s="286" t="s">
        <v>626</v>
      </c>
      <c r="B41" s="76"/>
      <c r="C41" s="76"/>
      <c r="D41" s="119" t="s">
        <v>13</v>
      </c>
      <c r="E41" s="119" t="s">
        <v>2</v>
      </c>
      <c r="F41" s="119" t="s">
        <v>181</v>
      </c>
      <c r="G41" s="50">
        <v>71.400000000000006</v>
      </c>
      <c r="H41" s="57">
        <v>57</v>
      </c>
      <c r="I41" s="50">
        <v>-0.819600498957057</v>
      </c>
      <c r="J41" s="57">
        <v>51</v>
      </c>
      <c r="K41" s="50">
        <v>0.13333333333333333</v>
      </c>
      <c r="L41" s="57">
        <v>55</v>
      </c>
      <c r="M41" s="58">
        <v>35.416666666666671</v>
      </c>
      <c r="N41" s="58">
        <v>32.197313744216338</v>
      </c>
      <c r="O41" s="58">
        <v>28.333333333333332</v>
      </c>
      <c r="P41" s="58">
        <v>45.947313744216345</v>
      </c>
      <c r="Q41" s="60">
        <v>55</v>
      </c>
      <c r="R41" s="55"/>
      <c r="S41" s="112">
        <v>23</v>
      </c>
      <c r="T41" s="61">
        <v>55</v>
      </c>
      <c r="U41" s="41"/>
      <c r="V41" s="41"/>
      <c r="W41" s="41"/>
      <c r="X41" s="41"/>
      <c r="Y41" s="41"/>
      <c r="Z41" s="41"/>
      <c r="AA41" s="41"/>
      <c r="AB41" s="41"/>
      <c r="AC41" s="41"/>
      <c r="AD41" s="41"/>
      <c r="AE41" s="41"/>
      <c r="AF41" s="41"/>
      <c r="AG41" s="41"/>
      <c r="AH41" s="41"/>
      <c r="AI41" s="41"/>
      <c r="AJ41" s="41"/>
      <c r="AK41" s="41"/>
      <c r="AL41" s="41"/>
      <c r="AM41" s="41"/>
    </row>
    <row r="42" spans="1:39" ht="18">
      <c r="A42" s="286" t="s">
        <v>627</v>
      </c>
      <c r="B42" s="76"/>
      <c r="C42" s="76"/>
      <c r="D42" s="119" t="s">
        <v>13</v>
      </c>
      <c r="E42" s="119" t="s">
        <v>2</v>
      </c>
      <c r="F42" s="119" t="s">
        <v>184</v>
      </c>
      <c r="G42" s="50">
        <v>75.2</v>
      </c>
      <c r="H42" s="57">
        <v>52</v>
      </c>
      <c r="I42" s="50">
        <v>-0.97288836163378378</v>
      </c>
      <c r="J42" s="57">
        <v>55</v>
      </c>
      <c r="K42" s="50">
        <v>0.1</v>
      </c>
      <c r="L42" s="57">
        <v>58</v>
      </c>
      <c r="M42" s="58">
        <v>37.5</v>
      </c>
      <c r="N42" s="58">
        <v>30.766287031823637</v>
      </c>
      <c r="O42" s="58">
        <v>27.5</v>
      </c>
      <c r="P42" s="58">
        <v>45.766287031823637</v>
      </c>
      <c r="Q42" s="60">
        <v>56</v>
      </c>
      <c r="R42" s="55"/>
      <c r="S42" s="112">
        <v>24</v>
      </c>
      <c r="T42" s="61">
        <v>56</v>
      </c>
      <c r="U42" s="41"/>
      <c r="V42" s="41"/>
      <c r="W42" s="41"/>
      <c r="X42" s="41"/>
      <c r="Y42" s="41"/>
      <c r="Z42" s="41"/>
      <c r="AA42" s="41"/>
      <c r="AB42" s="41"/>
      <c r="AC42" s="41"/>
      <c r="AD42" s="41"/>
      <c r="AE42" s="41"/>
      <c r="AF42" s="41"/>
      <c r="AG42" s="41"/>
      <c r="AH42" s="41"/>
      <c r="AI42" s="41"/>
      <c r="AJ42" s="41"/>
      <c r="AK42" s="41"/>
      <c r="AL42" s="41"/>
      <c r="AM42" s="41"/>
    </row>
    <row r="43" spans="1:39" ht="18">
      <c r="A43" s="286" t="s">
        <v>635</v>
      </c>
      <c r="B43" s="293" t="s">
        <v>636</v>
      </c>
      <c r="C43" s="76"/>
      <c r="D43" s="119" t="s">
        <v>129</v>
      </c>
      <c r="E43" s="119" t="s">
        <v>2</v>
      </c>
      <c r="F43" s="119" t="s">
        <v>208</v>
      </c>
      <c r="G43" s="50">
        <v>65.8</v>
      </c>
      <c r="H43" s="57">
        <v>59</v>
      </c>
      <c r="I43" s="50">
        <v>-1.371539110716899</v>
      </c>
      <c r="J43" s="57">
        <v>61</v>
      </c>
      <c r="K43" s="50">
        <v>8.3333333333333329E-2</v>
      </c>
      <c r="L43" s="57">
        <v>59</v>
      </c>
      <c r="M43" s="58">
        <v>32.346491228070178</v>
      </c>
      <c r="N43" s="58">
        <v>27.044662495532734</v>
      </c>
      <c r="O43" s="58">
        <v>27.083333333333332</v>
      </c>
      <c r="P43" s="58">
        <v>36.47448705693624</v>
      </c>
      <c r="Q43" s="60">
        <v>60</v>
      </c>
      <c r="R43" s="55"/>
      <c r="S43" s="112">
        <v>25</v>
      </c>
      <c r="T43" s="61">
        <v>60</v>
      </c>
      <c r="U43" s="41"/>
      <c r="V43" s="41"/>
      <c r="W43" s="41"/>
      <c r="X43" s="41"/>
      <c r="Y43" s="41"/>
      <c r="Z43" s="41"/>
      <c r="AA43" s="41"/>
      <c r="AB43" s="41"/>
      <c r="AC43" s="41"/>
      <c r="AD43" s="41"/>
      <c r="AE43" s="41"/>
      <c r="AF43" s="41"/>
      <c r="AG43" s="41"/>
      <c r="AH43" s="41"/>
      <c r="AI43" s="41"/>
      <c r="AJ43" s="41"/>
      <c r="AK43" s="41"/>
      <c r="AL43" s="41"/>
      <c r="AM43" s="41"/>
    </row>
    <row r="44" spans="1:39" ht="18">
      <c r="A44" s="120" t="s">
        <v>654</v>
      </c>
      <c r="B44" s="120"/>
      <c r="C44" s="120"/>
      <c r="D44" s="120" t="s">
        <v>13</v>
      </c>
      <c r="E44" s="120" t="s">
        <v>6</v>
      </c>
      <c r="F44" s="120" t="s">
        <v>248</v>
      </c>
      <c r="G44" s="65">
        <v>89</v>
      </c>
      <c r="H44" s="115">
        <v>19</v>
      </c>
      <c r="I44" s="65">
        <v>0.49039853249447091</v>
      </c>
      <c r="J44" s="115">
        <v>19</v>
      </c>
      <c r="K44" s="65">
        <v>0.71666666666666656</v>
      </c>
      <c r="L44" s="115">
        <v>17</v>
      </c>
      <c r="M44" s="69">
        <v>45.065789473684212</v>
      </c>
      <c r="N44" s="69">
        <v>44.426876962598421</v>
      </c>
      <c r="O44" s="69">
        <v>42.916666666666664</v>
      </c>
      <c r="P44" s="69">
        <v>82.40933310294929</v>
      </c>
      <c r="Q44" s="71">
        <v>17</v>
      </c>
      <c r="R44" s="68"/>
      <c r="S44" s="72">
        <v>1</v>
      </c>
      <c r="T44" s="72">
        <v>17</v>
      </c>
      <c r="U44" s="41"/>
      <c r="V44" s="41"/>
      <c r="W44" s="41"/>
      <c r="X44" s="41"/>
      <c r="Y44" s="41"/>
      <c r="Z44" s="41"/>
      <c r="AA44" s="41"/>
      <c r="AB44" s="41"/>
      <c r="AC44" s="41"/>
      <c r="AD44" s="41"/>
      <c r="AE44" s="41"/>
      <c r="AF44" s="41"/>
      <c r="AG44" s="41"/>
      <c r="AH44" s="41"/>
      <c r="AI44" s="41"/>
      <c r="AJ44" s="41"/>
      <c r="AK44" s="41"/>
      <c r="AL44" s="41"/>
      <c r="AM44" s="41"/>
    </row>
    <row r="45" spans="1:39" ht="18">
      <c r="A45" s="120" t="s">
        <v>653</v>
      </c>
      <c r="B45" s="120" t="s">
        <v>653</v>
      </c>
      <c r="C45" s="120"/>
      <c r="D45" s="120" t="s">
        <v>173</v>
      </c>
      <c r="E45" s="120" t="s">
        <v>6</v>
      </c>
      <c r="F45" s="120" t="s">
        <v>245</v>
      </c>
      <c r="G45" s="65">
        <v>85.6</v>
      </c>
      <c r="H45" s="115">
        <v>36</v>
      </c>
      <c r="I45" s="65">
        <v>0.1501531886573905</v>
      </c>
      <c r="J45" s="115">
        <v>31</v>
      </c>
      <c r="K45" s="65">
        <v>0.4333333333333334</v>
      </c>
      <c r="L45" s="115">
        <v>38</v>
      </c>
      <c r="M45" s="69">
        <v>43.201754385964911</v>
      </c>
      <c r="N45" s="69">
        <v>41.250499085734553</v>
      </c>
      <c r="O45" s="69">
        <v>35.833333333333336</v>
      </c>
      <c r="P45" s="69">
        <v>70.285586805032807</v>
      </c>
      <c r="Q45" s="71">
        <v>36</v>
      </c>
      <c r="R45" s="68"/>
      <c r="S45" s="72">
        <v>2</v>
      </c>
      <c r="T45" s="72">
        <v>36</v>
      </c>
      <c r="U45" s="41"/>
      <c r="V45" s="41"/>
      <c r="W45" s="41"/>
      <c r="X45" s="41"/>
      <c r="Y45" s="41"/>
      <c r="Z45" s="41"/>
      <c r="AA45" s="41"/>
      <c r="AB45" s="41"/>
      <c r="AC45" s="41"/>
      <c r="AD45" s="41"/>
      <c r="AE45" s="41"/>
      <c r="AF45" s="41"/>
      <c r="AG45" s="41"/>
      <c r="AH45" s="41"/>
      <c r="AI45" s="41"/>
      <c r="AJ45" s="41"/>
      <c r="AK45" s="41"/>
      <c r="AL45" s="41"/>
      <c r="AM45" s="41"/>
    </row>
    <row r="46" spans="1:39" ht="18">
      <c r="A46" s="120" t="s">
        <v>655</v>
      </c>
      <c r="B46" s="120"/>
      <c r="C46" s="120"/>
      <c r="D46" s="120" t="s">
        <v>11</v>
      </c>
      <c r="E46" s="120" t="s">
        <v>6</v>
      </c>
      <c r="F46" s="120" t="s">
        <v>251</v>
      </c>
      <c r="G46" s="65">
        <v>76.8</v>
      </c>
      <c r="H46" s="115">
        <v>49</v>
      </c>
      <c r="I46" s="65">
        <v>-0.30033267260905105</v>
      </c>
      <c r="J46" s="115">
        <v>42</v>
      </c>
      <c r="K46" s="65">
        <v>0.4</v>
      </c>
      <c r="L46" s="115">
        <v>42</v>
      </c>
      <c r="M46" s="69">
        <v>38.377192982456137</v>
      </c>
      <c r="N46" s="69">
        <v>37.04496519824702</v>
      </c>
      <c r="O46" s="69">
        <v>35</v>
      </c>
      <c r="P46" s="69">
        <v>60.42215818070315</v>
      </c>
      <c r="Q46" s="71">
        <v>42</v>
      </c>
      <c r="R46" s="68"/>
      <c r="S46" s="72">
        <v>3</v>
      </c>
      <c r="T46" s="72">
        <v>42</v>
      </c>
      <c r="U46" s="41"/>
      <c r="V46" s="41"/>
      <c r="W46" s="41"/>
      <c r="X46" s="41"/>
      <c r="Y46" s="41"/>
      <c r="Z46" s="41"/>
      <c r="AA46" s="41"/>
      <c r="AB46" s="41"/>
      <c r="AC46" s="41"/>
      <c r="AD46" s="41"/>
      <c r="AE46" s="41"/>
      <c r="AF46" s="41"/>
      <c r="AG46" s="41"/>
      <c r="AH46" s="41"/>
      <c r="AI46" s="41"/>
      <c r="AJ46" s="41"/>
      <c r="AK46" s="41"/>
      <c r="AL46" s="41"/>
      <c r="AM46" s="41"/>
    </row>
    <row r="47" spans="1:39" ht="18">
      <c r="A47" s="120" t="s">
        <v>652</v>
      </c>
      <c r="B47" s="120" t="s">
        <v>652</v>
      </c>
      <c r="C47" s="120"/>
      <c r="D47" s="120" t="s">
        <v>94</v>
      </c>
      <c r="E47" s="120" t="s">
        <v>6</v>
      </c>
      <c r="F47" s="120" t="s">
        <v>242</v>
      </c>
      <c r="G47" s="65">
        <v>52.4</v>
      </c>
      <c r="H47" s="115">
        <v>62</v>
      </c>
      <c r="I47" s="65">
        <v>-1.5905580438515772</v>
      </c>
      <c r="J47" s="115">
        <v>62</v>
      </c>
      <c r="K47" s="65">
        <v>0</v>
      </c>
      <c r="L47" s="115">
        <v>60</v>
      </c>
      <c r="M47" s="69">
        <v>25</v>
      </c>
      <c r="N47" s="69">
        <v>25</v>
      </c>
      <c r="O47" s="69">
        <v>25</v>
      </c>
      <c r="P47" s="69">
        <v>25</v>
      </c>
      <c r="Q47" s="71">
        <v>62</v>
      </c>
      <c r="R47" s="68"/>
      <c r="S47" s="72">
        <v>4</v>
      </c>
      <c r="T47" s="72">
        <v>62</v>
      </c>
      <c r="U47" s="41"/>
      <c r="V47" s="41"/>
      <c r="W47" s="41"/>
      <c r="X47" s="41"/>
      <c r="Y47" s="41"/>
      <c r="Z47" s="41"/>
      <c r="AA47" s="41"/>
      <c r="AB47" s="41"/>
      <c r="AC47" s="41"/>
      <c r="AD47" s="41"/>
      <c r="AE47" s="41"/>
      <c r="AF47" s="41"/>
      <c r="AG47" s="41"/>
      <c r="AH47" s="41"/>
      <c r="AI47" s="41"/>
      <c r="AJ47" s="41"/>
      <c r="AK47" s="41"/>
      <c r="AL47" s="41"/>
      <c r="AM47" s="41"/>
    </row>
    <row r="48" spans="1:39" ht="18">
      <c r="A48" s="286" t="s">
        <v>656</v>
      </c>
      <c r="B48" s="76"/>
      <c r="C48" s="76"/>
      <c r="D48" s="119" t="s">
        <v>11</v>
      </c>
      <c r="E48" s="119" t="s">
        <v>255</v>
      </c>
      <c r="F48" s="119" t="s">
        <v>254</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8">
      <c r="A49" s="120" t="s">
        <v>658</v>
      </c>
      <c r="B49" s="120"/>
      <c r="C49" s="120"/>
      <c r="D49" s="120" t="s">
        <v>7</v>
      </c>
      <c r="E49" s="120" t="s">
        <v>3</v>
      </c>
      <c r="F49" s="120" t="s">
        <v>261</v>
      </c>
      <c r="G49" s="65">
        <v>91.4</v>
      </c>
      <c r="H49" s="115">
        <v>13</v>
      </c>
      <c r="I49" s="65">
        <v>0.39109572997676734</v>
      </c>
      <c r="J49" s="115">
        <v>21</v>
      </c>
      <c r="K49" s="65">
        <v>0.65</v>
      </c>
      <c r="L49" s="115">
        <v>25</v>
      </c>
      <c r="M49" s="69">
        <v>46.381578947368425</v>
      </c>
      <c r="N49" s="69">
        <v>43.499830551115863</v>
      </c>
      <c r="O49" s="69">
        <v>41.25</v>
      </c>
      <c r="P49" s="69">
        <v>81.131409498484288</v>
      </c>
      <c r="Q49" s="71">
        <v>21</v>
      </c>
      <c r="R49" s="68"/>
      <c r="S49" s="72">
        <v>1</v>
      </c>
      <c r="T49" s="72">
        <v>21</v>
      </c>
      <c r="U49" s="41"/>
      <c r="V49" s="41"/>
      <c r="W49" s="41"/>
      <c r="X49" s="41"/>
      <c r="Y49" s="41"/>
      <c r="Z49" s="41"/>
      <c r="AA49" s="41"/>
      <c r="AB49" s="41"/>
      <c r="AC49" s="41"/>
      <c r="AD49" s="41"/>
      <c r="AE49" s="41"/>
      <c r="AF49" s="41"/>
      <c r="AG49" s="41"/>
      <c r="AH49" s="41"/>
      <c r="AI49" s="41"/>
      <c r="AJ49" s="41"/>
      <c r="AK49" s="41"/>
      <c r="AL49" s="41"/>
      <c r="AM49" s="41"/>
    </row>
    <row r="50" spans="1:39" ht="18">
      <c r="A50" s="120" t="s">
        <v>657</v>
      </c>
      <c r="B50" s="120"/>
      <c r="C50" s="120"/>
      <c r="D50" s="120" t="s">
        <v>94</v>
      </c>
      <c r="E50" s="120" t="s">
        <v>3</v>
      </c>
      <c r="F50" s="120" t="s">
        <v>258</v>
      </c>
      <c r="G50" s="65">
        <v>75.2</v>
      </c>
      <c r="H50" s="115">
        <v>52</v>
      </c>
      <c r="I50" s="65">
        <v>-1.2347015549531917</v>
      </c>
      <c r="J50" s="115">
        <v>59</v>
      </c>
      <c r="K50" s="65">
        <v>0</v>
      </c>
      <c r="L50" s="115">
        <v>60</v>
      </c>
      <c r="M50" s="69">
        <v>37.5</v>
      </c>
      <c r="N50" s="69">
        <v>28.322116523118449</v>
      </c>
      <c r="O50" s="69">
        <v>25</v>
      </c>
      <c r="P50" s="69">
        <v>40.822116523118453</v>
      </c>
      <c r="Q50" s="71">
        <v>59</v>
      </c>
      <c r="R50" s="68"/>
      <c r="S50" s="72">
        <v>2</v>
      </c>
      <c r="T50" s="72">
        <v>59</v>
      </c>
      <c r="U50" s="41"/>
      <c r="V50" s="41"/>
      <c r="W50" s="41"/>
      <c r="X50" s="41"/>
      <c r="Y50" s="41"/>
      <c r="Z50" s="41"/>
      <c r="AA50" s="41"/>
      <c r="AB50" s="41"/>
      <c r="AC50" s="41"/>
      <c r="AD50" s="41"/>
      <c r="AE50" s="41"/>
      <c r="AF50" s="41"/>
      <c r="AG50" s="41"/>
      <c r="AH50" s="41"/>
      <c r="AI50" s="41"/>
      <c r="AJ50" s="41"/>
      <c r="AK50" s="41"/>
      <c r="AL50" s="41"/>
      <c r="AM50" s="41"/>
    </row>
    <row r="51" spans="1:39" ht="18">
      <c r="A51" s="286" t="s">
        <v>665</v>
      </c>
      <c r="B51" s="76"/>
      <c r="C51" s="76"/>
      <c r="D51" s="119" t="s">
        <v>7</v>
      </c>
      <c r="E51" s="119" t="s">
        <v>8</v>
      </c>
      <c r="F51" s="119" t="s">
        <v>279</v>
      </c>
      <c r="G51" s="50">
        <v>95.8</v>
      </c>
      <c r="H51" s="57">
        <v>3</v>
      </c>
      <c r="I51" s="50">
        <v>0.99034256825463873</v>
      </c>
      <c r="J51" s="57">
        <v>4</v>
      </c>
      <c r="K51" s="50">
        <v>1</v>
      </c>
      <c r="L51" s="57">
        <v>1</v>
      </c>
      <c r="M51" s="58">
        <v>48.793859649122808</v>
      </c>
      <c r="N51" s="58">
        <v>49.09413017744042</v>
      </c>
      <c r="O51" s="58">
        <v>50</v>
      </c>
      <c r="P51" s="58">
        <v>97.887989826563228</v>
      </c>
      <c r="Q51" s="60">
        <v>2</v>
      </c>
      <c r="R51" s="55"/>
      <c r="S51" s="61">
        <v>1</v>
      </c>
      <c r="T51" s="61">
        <v>2</v>
      </c>
      <c r="U51" s="41"/>
      <c r="V51" s="41"/>
      <c r="W51" s="41"/>
      <c r="X51" s="41"/>
      <c r="Y51" s="41"/>
      <c r="Z51" s="41"/>
      <c r="AA51" s="41"/>
      <c r="AB51" s="41"/>
      <c r="AC51" s="41"/>
      <c r="AD51" s="41"/>
      <c r="AE51" s="41"/>
      <c r="AF51" s="41"/>
      <c r="AG51" s="41"/>
      <c r="AH51" s="41"/>
      <c r="AI51" s="41"/>
      <c r="AJ51" s="41"/>
      <c r="AK51" s="41"/>
      <c r="AL51" s="41"/>
      <c r="AM51" s="41"/>
    </row>
    <row r="52" spans="1:39" ht="18">
      <c r="A52" s="286" t="s">
        <v>660</v>
      </c>
      <c r="B52" s="286" t="s">
        <v>661</v>
      </c>
      <c r="C52" s="76"/>
      <c r="D52" s="119" t="s">
        <v>5</v>
      </c>
      <c r="E52" s="119" t="s">
        <v>8</v>
      </c>
      <c r="F52" s="119" t="s">
        <v>267</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8">
      <c r="A53" s="286" t="s">
        <v>663</v>
      </c>
      <c r="B53" s="76"/>
      <c r="C53" s="76"/>
      <c r="D53" s="119" t="s">
        <v>13</v>
      </c>
      <c r="E53" s="119" t="s">
        <v>8</v>
      </c>
      <c r="F53" s="119" t="s">
        <v>273</v>
      </c>
      <c r="G53" s="50">
        <v>87.6</v>
      </c>
      <c r="H53" s="57">
        <v>25</v>
      </c>
      <c r="I53" s="50">
        <v>0.51809971503734198</v>
      </c>
      <c r="J53" s="57">
        <v>18</v>
      </c>
      <c r="K53" s="50">
        <v>0.81666666666666665</v>
      </c>
      <c r="L53" s="57">
        <v>8</v>
      </c>
      <c r="M53" s="58">
        <v>44.298245614035082</v>
      </c>
      <c r="N53" s="58">
        <v>44.685482774510056</v>
      </c>
      <c r="O53" s="58">
        <v>45.416666666666671</v>
      </c>
      <c r="P53" s="58">
        <v>84.400395055211789</v>
      </c>
      <c r="Q53" s="60">
        <v>15</v>
      </c>
      <c r="R53" s="55"/>
      <c r="S53" s="61">
        <v>3</v>
      </c>
      <c r="T53" s="61">
        <v>15</v>
      </c>
      <c r="U53" s="41"/>
      <c r="V53" s="41"/>
      <c r="W53" s="41"/>
      <c r="X53" s="41"/>
      <c r="Y53" s="41"/>
      <c r="Z53" s="41"/>
      <c r="AA53" s="41"/>
      <c r="AB53" s="41"/>
      <c r="AC53" s="41"/>
      <c r="AD53" s="41"/>
      <c r="AE53" s="41"/>
      <c r="AF53" s="41"/>
      <c r="AG53" s="41"/>
      <c r="AH53" s="41"/>
      <c r="AI53" s="41"/>
      <c r="AJ53" s="41"/>
      <c r="AK53" s="41"/>
      <c r="AL53" s="41"/>
      <c r="AM53" s="41"/>
    </row>
    <row r="54" spans="1:39" ht="18">
      <c r="A54" s="286" t="s">
        <v>666</v>
      </c>
      <c r="B54" s="76"/>
      <c r="C54" s="76"/>
      <c r="D54" s="119" t="s">
        <v>7</v>
      </c>
      <c r="E54" s="119" t="s">
        <v>8</v>
      </c>
      <c r="F54" s="119" t="s">
        <v>282</v>
      </c>
      <c r="G54" s="50">
        <v>89.8</v>
      </c>
      <c r="H54" s="57">
        <v>16</v>
      </c>
      <c r="I54" s="50">
        <v>0.33689082636935186</v>
      </c>
      <c r="J54" s="57">
        <v>23</v>
      </c>
      <c r="K54" s="50">
        <v>0.66666666666666663</v>
      </c>
      <c r="L54" s="57">
        <v>23</v>
      </c>
      <c r="M54" s="58">
        <v>45.504385964912281</v>
      </c>
      <c r="N54" s="58">
        <v>42.993797890405659</v>
      </c>
      <c r="O54" s="58">
        <v>41.666666666666664</v>
      </c>
      <c r="P54" s="58">
        <v>80.16485052198459</v>
      </c>
      <c r="Q54" s="60">
        <v>22</v>
      </c>
      <c r="R54" s="55"/>
      <c r="S54" s="61">
        <v>4</v>
      </c>
      <c r="T54" s="61">
        <v>22</v>
      </c>
      <c r="U54" s="41"/>
      <c r="V54" s="41"/>
      <c r="W54" s="41"/>
      <c r="X54" s="41"/>
      <c r="Y54" s="41"/>
      <c r="Z54" s="41"/>
      <c r="AA54" s="41"/>
      <c r="AB54" s="41"/>
      <c r="AC54" s="41"/>
      <c r="AD54" s="41"/>
      <c r="AE54" s="41"/>
      <c r="AF54" s="41"/>
      <c r="AG54" s="41"/>
      <c r="AH54" s="41"/>
      <c r="AI54" s="41"/>
      <c r="AJ54" s="41"/>
      <c r="AK54" s="41"/>
      <c r="AL54" s="41"/>
      <c r="AM54" s="41"/>
    </row>
    <row r="55" spans="1:39" ht="18">
      <c r="A55" s="286" t="s">
        <v>659</v>
      </c>
      <c r="B55" s="76"/>
      <c r="C55" s="76"/>
      <c r="D55" s="119" t="s">
        <v>5</v>
      </c>
      <c r="E55" s="119" t="s">
        <v>8</v>
      </c>
      <c r="F55" s="119" t="s">
        <v>264</v>
      </c>
      <c r="G55" s="50">
        <v>84</v>
      </c>
      <c r="H55" s="57">
        <v>38</v>
      </c>
      <c r="I55" s="50">
        <v>1.3202908110895284E-2</v>
      </c>
      <c r="J55" s="57">
        <v>37</v>
      </c>
      <c r="K55" s="50">
        <v>0.43333333333333329</v>
      </c>
      <c r="L55" s="57">
        <v>39</v>
      </c>
      <c r="M55" s="58">
        <v>42.324561403508774</v>
      </c>
      <c r="N55" s="58">
        <v>39.971992710151412</v>
      </c>
      <c r="O55" s="58">
        <v>35.833333333333329</v>
      </c>
      <c r="P55" s="58">
        <v>68.129887446993521</v>
      </c>
      <c r="Q55" s="60">
        <v>38</v>
      </c>
      <c r="R55" s="55"/>
      <c r="S55" s="61">
        <v>5</v>
      </c>
      <c r="T55" s="61">
        <v>38</v>
      </c>
      <c r="U55" s="41"/>
      <c r="V55" s="41"/>
      <c r="W55" s="41"/>
      <c r="X55" s="41"/>
      <c r="Y55" s="41"/>
      <c r="Z55" s="41"/>
      <c r="AA55" s="41"/>
      <c r="AB55" s="41"/>
      <c r="AC55" s="41"/>
      <c r="AD55" s="41"/>
      <c r="AE55" s="41"/>
      <c r="AF55" s="41"/>
      <c r="AG55" s="41"/>
      <c r="AH55" s="41"/>
      <c r="AI55" s="41"/>
      <c r="AJ55" s="41"/>
      <c r="AK55" s="41"/>
      <c r="AL55" s="41"/>
      <c r="AM55" s="41"/>
    </row>
    <row r="56" spans="1:39" ht="18">
      <c r="A56" s="286" t="s">
        <v>664</v>
      </c>
      <c r="B56" s="76"/>
      <c r="C56" s="76"/>
      <c r="D56" s="119" t="s">
        <v>13</v>
      </c>
      <c r="E56" s="119" t="s">
        <v>8</v>
      </c>
      <c r="F56" s="119" t="s">
        <v>276</v>
      </c>
      <c r="G56" s="50">
        <v>78.400000000000006</v>
      </c>
      <c r="H56" s="57">
        <v>45</v>
      </c>
      <c r="I56" s="50">
        <v>-0.69600588788905571</v>
      </c>
      <c r="J56" s="57">
        <v>49</v>
      </c>
      <c r="K56" s="50">
        <v>0.25</v>
      </c>
      <c r="L56" s="57">
        <v>47</v>
      </c>
      <c r="M56" s="58">
        <v>39.254385964912281</v>
      </c>
      <c r="N56" s="58">
        <v>33.351137581652814</v>
      </c>
      <c r="O56" s="58">
        <v>31.25</v>
      </c>
      <c r="P56" s="58">
        <v>53.855523546565095</v>
      </c>
      <c r="Q56" s="60">
        <v>48</v>
      </c>
      <c r="R56" s="55"/>
      <c r="S56" s="61">
        <v>6</v>
      </c>
      <c r="T56" s="61">
        <v>48</v>
      </c>
      <c r="U56" s="41"/>
      <c r="V56" s="41"/>
      <c r="W56" s="41"/>
      <c r="X56" s="41"/>
      <c r="Y56" s="41"/>
      <c r="Z56" s="41"/>
      <c r="AA56" s="41"/>
      <c r="AB56" s="41"/>
      <c r="AC56" s="41"/>
      <c r="AD56" s="41"/>
      <c r="AE56" s="41"/>
      <c r="AF56" s="41"/>
      <c r="AG56" s="41"/>
      <c r="AH56" s="41"/>
      <c r="AI56" s="41"/>
      <c r="AJ56" s="41"/>
      <c r="AK56" s="41"/>
      <c r="AL56" s="41"/>
      <c r="AM56" s="41"/>
    </row>
    <row r="57" spans="1:39" ht="18">
      <c r="A57" s="286" t="s">
        <v>662</v>
      </c>
      <c r="B57" s="76"/>
      <c r="C57" s="76"/>
      <c r="D57" s="119" t="s">
        <v>13</v>
      </c>
      <c r="E57" s="119" t="s">
        <v>8</v>
      </c>
      <c r="F57" s="119" t="s">
        <v>270</v>
      </c>
      <c r="G57" s="50">
        <v>77.8</v>
      </c>
      <c r="H57" s="57">
        <v>46</v>
      </c>
      <c r="I57" s="50">
        <v>-0.65755784197293732</v>
      </c>
      <c r="J57" s="57">
        <v>47</v>
      </c>
      <c r="K57" s="50">
        <v>0.21666666666666665</v>
      </c>
      <c r="L57" s="57">
        <v>50</v>
      </c>
      <c r="M57" s="58">
        <v>38.925438596491226</v>
      </c>
      <c r="N57" s="58">
        <v>33.710071288369697</v>
      </c>
      <c r="O57" s="58">
        <v>30.416666666666664</v>
      </c>
      <c r="P57" s="58">
        <v>53.052176551527594</v>
      </c>
      <c r="Q57" s="60">
        <v>49</v>
      </c>
      <c r="R57" s="55"/>
      <c r="S57" s="61">
        <v>7</v>
      </c>
      <c r="T57" s="61">
        <v>49</v>
      </c>
      <c r="U57" s="41"/>
      <c r="V57" s="41"/>
      <c r="W57" s="41"/>
      <c r="X57" s="41"/>
      <c r="Y57" s="41"/>
      <c r="Z57" s="41"/>
      <c r="AA57" s="41"/>
      <c r="AB57" s="41"/>
      <c r="AC57" s="41"/>
      <c r="AD57" s="41"/>
      <c r="AE57" s="41"/>
      <c r="AF57" s="41"/>
      <c r="AG57" s="41"/>
      <c r="AH57" s="41"/>
      <c r="AI57" s="41"/>
      <c r="AJ57" s="41"/>
      <c r="AK57" s="41"/>
      <c r="AL57" s="41"/>
      <c r="AM57" s="41"/>
    </row>
    <row r="58" spans="1:39" ht="18">
      <c r="A58" s="290" t="s">
        <v>667</v>
      </c>
      <c r="B58" s="290" t="s">
        <v>668</v>
      </c>
      <c r="C58" s="277"/>
      <c r="D58" s="277" t="s">
        <v>129</v>
      </c>
      <c r="E58" s="277" t="s">
        <v>8</v>
      </c>
      <c r="F58" s="277" t="s">
        <v>284</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8">
      <c r="A59" s="290" t="s">
        <v>669</v>
      </c>
      <c r="B59" s="290" t="s">
        <v>670</v>
      </c>
      <c r="C59" s="277"/>
      <c r="D59" s="277" t="s">
        <v>129</v>
      </c>
      <c r="E59" s="277" t="s">
        <v>8</v>
      </c>
      <c r="F59" s="277" t="s">
        <v>287</v>
      </c>
      <c r="G59" s="106" t="s">
        <v>93</v>
      </c>
      <c r="H59" s="108" t="s">
        <v>93</v>
      </c>
      <c r="I59" s="106" t="s">
        <v>93</v>
      </c>
      <c r="J59" s="108" t="s">
        <v>93</v>
      </c>
      <c r="K59" s="106" t="s">
        <v>93</v>
      </c>
      <c r="L59" s="108" t="s">
        <v>93</v>
      </c>
      <c r="M59" s="109" t="s">
        <v>93</v>
      </c>
      <c r="N59" s="109" t="s">
        <v>93</v>
      </c>
      <c r="O59" s="109" t="s">
        <v>93</v>
      </c>
      <c r="P59" s="109" t="s">
        <v>93</v>
      </c>
      <c r="Q59" s="111" t="s">
        <v>93</v>
      </c>
      <c r="R59" s="64"/>
      <c r="S59" s="61" t="s">
        <v>93</v>
      </c>
      <c r="T59" s="113" t="s">
        <v>93</v>
      </c>
      <c r="U59" s="41"/>
      <c r="V59" s="41"/>
      <c r="W59" s="41"/>
      <c r="X59" s="41"/>
      <c r="Y59" s="41"/>
      <c r="Z59" s="41"/>
      <c r="AA59" s="41"/>
      <c r="AB59" s="41"/>
      <c r="AC59" s="41"/>
      <c r="AD59" s="41"/>
      <c r="AE59" s="41"/>
      <c r="AF59" s="41"/>
      <c r="AG59" s="41"/>
      <c r="AH59" s="41"/>
      <c r="AI59" s="41"/>
      <c r="AJ59" s="41"/>
      <c r="AK59" s="41"/>
      <c r="AL59" s="41"/>
      <c r="AM59" s="41"/>
    </row>
    <row r="60" spans="1:39" ht="18">
      <c r="A60" s="120" t="s">
        <v>673</v>
      </c>
      <c r="B60" s="120"/>
      <c r="C60" s="120"/>
      <c r="D60" s="120" t="s">
        <v>11</v>
      </c>
      <c r="E60" s="120" t="s">
        <v>12</v>
      </c>
      <c r="F60" s="120" t="s">
        <v>296</v>
      </c>
      <c r="G60" s="65">
        <v>95.6</v>
      </c>
      <c r="H60" s="115">
        <v>4</v>
      </c>
      <c r="I60" s="65">
        <v>0.55714751684626795</v>
      </c>
      <c r="J60" s="115">
        <v>16</v>
      </c>
      <c r="K60" s="65">
        <v>0.7533333333333333</v>
      </c>
      <c r="L60" s="115">
        <v>14</v>
      </c>
      <c r="M60" s="69">
        <v>48.68421052631578</v>
      </c>
      <c r="N60" s="69">
        <v>45.050015533157968</v>
      </c>
      <c r="O60" s="69">
        <v>43.833333333333329</v>
      </c>
      <c r="P60" s="69">
        <v>87.567559392807084</v>
      </c>
      <c r="Q60" s="71">
        <v>10</v>
      </c>
      <c r="R60" s="68"/>
      <c r="S60" s="72">
        <v>1</v>
      </c>
      <c r="T60" s="73">
        <v>10</v>
      </c>
      <c r="U60" s="41"/>
      <c r="V60" s="41"/>
      <c r="W60" s="41"/>
      <c r="X60" s="41"/>
      <c r="Y60" s="41"/>
      <c r="Z60" s="41"/>
      <c r="AA60" s="41"/>
      <c r="AB60" s="41"/>
      <c r="AC60" s="41"/>
      <c r="AD60" s="41"/>
      <c r="AE60" s="41"/>
      <c r="AF60" s="41"/>
      <c r="AG60" s="41"/>
      <c r="AH60" s="41"/>
      <c r="AI60" s="41"/>
      <c r="AJ60" s="41"/>
      <c r="AK60" s="41"/>
      <c r="AL60" s="41"/>
      <c r="AM60" s="41"/>
    </row>
    <row r="61" spans="1:39" ht="18">
      <c r="A61" s="120" t="s">
        <v>674</v>
      </c>
      <c r="B61" s="120"/>
      <c r="C61" s="120"/>
      <c r="D61" s="120" t="s">
        <v>11</v>
      </c>
      <c r="E61" s="120" t="s">
        <v>12</v>
      </c>
      <c r="F61" s="120" t="s">
        <v>299</v>
      </c>
      <c r="G61" s="65">
        <v>93</v>
      </c>
      <c r="H61" s="115">
        <v>9</v>
      </c>
      <c r="I61" s="65">
        <v>9.1625555242356105E-2</v>
      </c>
      <c r="J61" s="115">
        <v>33</v>
      </c>
      <c r="K61" s="65">
        <v>0.625</v>
      </c>
      <c r="L61" s="115">
        <v>28</v>
      </c>
      <c r="M61" s="69">
        <v>47.258771929824562</v>
      </c>
      <c r="N61" s="69">
        <v>40.704111358960162</v>
      </c>
      <c r="O61" s="69">
        <v>40.625</v>
      </c>
      <c r="P61" s="69">
        <v>78.587883288784724</v>
      </c>
      <c r="Q61" s="71">
        <v>24</v>
      </c>
      <c r="R61" s="68"/>
      <c r="S61" s="72">
        <v>2</v>
      </c>
      <c r="T61" s="72">
        <v>24</v>
      </c>
      <c r="U61" s="41"/>
      <c r="V61" s="41"/>
      <c r="W61" s="41"/>
      <c r="X61" s="41"/>
      <c r="Y61" s="41"/>
      <c r="Z61" s="41"/>
      <c r="AA61" s="41"/>
      <c r="AB61" s="41"/>
      <c r="AC61" s="41"/>
      <c r="AD61" s="41"/>
      <c r="AE61" s="41"/>
      <c r="AF61" s="41"/>
      <c r="AG61" s="41"/>
      <c r="AH61" s="41"/>
      <c r="AI61" s="41"/>
      <c r="AJ61" s="41"/>
      <c r="AK61" s="41"/>
      <c r="AL61" s="41"/>
      <c r="AM61" s="41"/>
    </row>
    <row r="62" spans="1:39" ht="18">
      <c r="A62" s="120" t="s">
        <v>672</v>
      </c>
      <c r="B62" s="120"/>
      <c r="C62" s="120"/>
      <c r="D62" s="120" t="s">
        <v>7</v>
      </c>
      <c r="E62" s="120" t="s">
        <v>12</v>
      </c>
      <c r="F62" s="120" t="s">
        <v>293</v>
      </c>
      <c r="G62" s="65">
        <v>91.5</v>
      </c>
      <c r="H62" s="115">
        <v>12</v>
      </c>
      <c r="I62" s="65">
        <v>-0.23685254507274106</v>
      </c>
      <c r="J62" s="115">
        <v>41</v>
      </c>
      <c r="K62" s="65">
        <v>0.40833333333333333</v>
      </c>
      <c r="L62" s="115">
        <v>41</v>
      </c>
      <c r="M62" s="69">
        <v>46.436403508771932</v>
      </c>
      <c r="N62" s="69">
        <v>37.637587188170215</v>
      </c>
      <c r="O62" s="69">
        <v>35.208333333333336</v>
      </c>
      <c r="P62" s="69">
        <v>69.282324030275475</v>
      </c>
      <c r="Q62" s="71">
        <v>37</v>
      </c>
      <c r="R62" s="68"/>
      <c r="S62" s="72">
        <v>3</v>
      </c>
      <c r="T62" s="73">
        <v>37</v>
      </c>
      <c r="U62" s="41"/>
      <c r="V62" s="41"/>
      <c r="W62" s="41"/>
      <c r="X62" s="41"/>
      <c r="Y62" s="41"/>
      <c r="Z62" s="41"/>
      <c r="AA62" s="41"/>
      <c r="AB62" s="41"/>
      <c r="AC62" s="41"/>
      <c r="AD62" s="41"/>
      <c r="AE62" s="41"/>
      <c r="AF62" s="41"/>
      <c r="AG62" s="41"/>
      <c r="AH62" s="41"/>
      <c r="AI62" s="41"/>
      <c r="AJ62" s="41"/>
      <c r="AK62" s="41"/>
      <c r="AL62" s="41"/>
      <c r="AM62" s="41"/>
    </row>
    <row r="63" spans="1:39" ht="18">
      <c r="A63" s="120" t="s">
        <v>671</v>
      </c>
      <c r="B63" s="120" t="s">
        <v>671</v>
      </c>
      <c r="C63" s="120"/>
      <c r="D63" s="120" t="s">
        <v>5</v>
      </c>
      <c r="E63" s="120" t="s">
        <v>12</v>
      </c>
      <c r="F63" s="120" t="s">
        <v>290</v>
      </c>
      <c r="G63" s="65">
        <v>87.2</v>
      </c>
      <c r="H63" s="115">
        <v>27</v>
      </c>
      <c r="I63" s="65">
        <v>-0.79296546736864071</v>
      </c>
      <c r="J63" s="115">
        <v>50</v>
      </c>
      <c r="K63" s="65">
        <v>0.13999999999999999</v>
      </c>
      <c r="L63" s="115">
        <v>54</v>
      </c>
      <c r="M63" s="69">
        <v>44.078947368421055</v>
      </c>
      <c r="N63" s="69">
        <v>32.445966449152472</v>
      </c>
      <c r="O63" s="69">
        <v>28.5</v>
      </c>
      <c r="P63" s="69">
        <v>55.02491381757352</v>
      </c>
      <c r="Q63" s="71">
        <v>47</v>
      </c>
      <c r="R63" s="68"/>
      <c r="S63" s="72">
        <v>4</v>
      </c>
      <c r="T63" s="73">
        <v>47</v>
      </c>
      <c r="U63" s="41"/>
      <c r="V63" s="41"/>
      <c r="W63" s="41"/>
      <c r="X63" s="41"/>
      <c r="Y63" s="41"/>
      <c r="Z63" s="41"/>
      <c r="AA63" s="41"/>
      <c r="AB63" s="41"/>
      <c r="AC63" s="41"/>
      <c r="AD63" s="41"/>
      <c r="AE63" s="41"/>
      <c r="AF63" s="41"/>
      <c r="AG63" s="41"/>
      <c r="AH63" s="41"/>
      <c r="AI63" s="41"/>
      <c r="AJ63" s="41"/>
      <c r="AK63" s="41"/>
      <c r="AL63" s="41"/>
      <c r="AM63" s="41"/>
    </row>
    <row r="64" spans="1:39" ht="18">
      <c r="A64" s="286" t="s">
        <v>678</v>
      </c>
      <c r="B64" s="286" t="s">
        <v>679</v>
      </c>
      <c r="C64" s="76"/>
      <c r="D64" s="119" t="s">
        <v>11</v>
      </c>
      <c r="E64" s="119" t="s">
        <v>10</v>
      </c>
      <c r="F64" s="119" t="s">
        <v>308</v>
      </c>
      <c r="G64" s="106">
        <v>95.333333333333329</v>
      </c>
      <c r="H64" s="108">
        <v>7</v>
      </c>
      <c r="I64" s="106">
        <v>1.0484122799411983</v>
      </c>
      <c r="J64" s="108">
        <v>2</v>
      </c>
      <c r="K64" s="106">
        <v>0.93333333333333324</v>
      </c>
      <c r="L64" s="108">
        <v>3</v>
      </c>
      <c r="M64" s="109">
        <v>48.538011695906434</v>
      </c>
      <c r="N64" s="109">
        <v>49.636242952407201</v>
      </c>
      <c r="O64" s="109">
        <v>48.333333333333329</v>
      </c>
      <c r="P64" s="109">
        <v>96.507587981646964</v>
      </c>
      <c r="Q64" s="111">
        <v>3</v>
      </c>
      <c r="R64" s="64"/>
      <c r="S64" s="61">
        <v>1</v>
      </c>
      <c r="T64" s="113">
        <v>3</v>
      </c>
      <c r="U64" s="41"/>
      <c r="V64" s="41"/>
      <c r="W64" s="41"/>
      <c r="X64" s="41"/>
      <c r="Y64" s="41"/>
      <c r="Z64" s="41"/>
      <c r="AA64" s="41"/>
      <c r="AB64" s="41"/>
      <c r="AC64" s="41"/>
      <c r="AD64" s="41"/>
      <c r="AE64" s="41"/>
      <c r="AF64" s="41"/>
      <c r="AG64" s="41"/>
      <c r="AH64" s="41"/>
      <c r="AI64" s="41"/>
      <c r="AJ64" s="41"/>
      <c r="AK64" s="41"/>
      <c r="AL64" s="41"/>
      <c r="AM64" s="41"/>
    </row>
    <row r="65" spans="1:39" ht="18">
      <c r="A65" s="286" t="s">
        <v>677</v>
      </c>
      <c r="B65" s="76"/>
      <c r="C65" s="76"/>
      <c r="D65" s="119" t="s">
        <v>7</v>
      </c>
      <c r="E65" s="119" t="s">
        <v>10</v>
      </c>
      <c r="F65" s="119" t="s">
        <v>305</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18">
      <c r="A66" s="286" t="s">
        <v>675</v>
      </c>
      <c r="B66" s="286" t="s">
        <v>676</v>
      </c>
      <c r="C66" s="76"/>
      <c r="D66" s="119" t="s">
        <v>5</v>
      </c>
      <c r="E66" s="119" t="s">
        <v>10</v>
      </c>
      <c r="F66" s="119" t="s">
        <v>302</v>
      </c>
      <c r="G66" s="50">
        <v>81</v>
      </c>
      <c r="H66" s="57">
        <v>42</v>
      </c>
      <c r="I66" s="50">
        <v>-0.53442001664260641</v>
      </c>
      <c r="J66" s="57">
        <v>45</v>
      </c>
      <c r="K66" s="50">
        <v>0.26666666666666666</v>
      </c>
      <c r="L66" s="57">
        <v>46</v>
      </c>
      <c r="M66" s="58">
        <v>40.679824561403507</v>
      </c>
      <c r="N66" s="58">
        <v>34.859630779099056</v>
      </c>
      <c r="O66" s="58">
        <v>31.666666666666668</v>
      </c>
      <c r="P66" s="58">
        <v>57.206122007169242</v>
      </c>
      <c r="Q66" s="60">
        <v>45</v>
      </c>
      <c r="R66" s="55"/>
      <c r="S66" s="61">
        <v>3</v>
      </c>
      <c r="T66" s="61">
        <v>45</v>
      </c>
      <c r="U66" s="41"/>
      <c r="V66" s="41"/>
      <c r="W66" s="41"/>
      <c r="X66" s="41"/>
      <c r="Y66" s="41"/>
      <c r="Z66" s="41"/>
      <c r="AA66" s="41"/>
      <c r="AB66" s="41"/>
      <c r="AC66" s="41"/>
      <c r="AD66" s="41"/>
      <c r="AE66" s="41"/>
      <c r="AF66" s="41"/>
      <c r="AG66" s="41"/>
      <c r="AH66" s="41"/>
      <c r="AI66" s="41"/>
      <c r="AJ66" s="41"/>
      <c r="AK66" s="41"/>
      <c r="AL66" s="41"/>
      <c r="AM66" s="41"/>
    </row>
    <row r="67" spans="1:39" ht="18">
      <c r="A67" s="257" t="s">
        <v>680</v>
      </c>
      <c r="B67" s="257"/>
      <c r="C67" s="257"/>
      <c r="D67" s="257" t="s">
        <v>320</v>
      </c>
      <c r="E67" s="257" t="s">
        <v>322</v>
      </c>
      <c r="F67" s="257" t="s">
        <v>321</v>
      </c>
      <c r="G67" s="254" t="s">
        <v>93</v>
      </c>
      <c r="H67" s="57" t="s">
        <v>93</v>
      </c>
      <c r="I67" s="254" t="s">
        <v>93</v>
      </c>
      <c r="J67" s="57" t="s">
        <v>93</v>
      </c>
      <c r="K67" s="254" t="s">
        <v>93</v>
      </c>
      <c r="L67" s="57" t="s">
        <v>93</v>
      </c>
      <c r="M67" s="261" t="s">
        <v>93</v>
      </c>
      <c r="N67" s="261" t="s">
        <v>93</v>
      </c>
      <c r="O67" s="261" t="s">
        <v>93</v>
      </c>
      <c r="P67" s="261" t="s">
        <v>93</v>
      </c>
      <c r="Q67" s="263" t="s">
        <v>93</v>
      </c>
      <c r="R67" s="264"/>
      <c r="S67" s="265" t="s">
        <v>93</v>
      </c>
      <c r="T67" s="266" t="s">
        <v>93</v>
      </c>
      <c r="U67" s="41"/>
      <c r="V67" s="41"/>
      <c r="W67" s="41"/>
      <c r="X67" s="41"/>
      <c r="Y67" s="41"/>
      <c r="Z67" s="41"/>
      <c r="AA67" s="41"/>
      <c r="AB67" s="41"/>
      <c r="AC67" s="41"/>
      <c r="AD67" s="41"/>
      <c r="AE67" s="41"/>
      <c r="AF67" s="41"/>
      <c r="AG67" s="41"/>
      <c r="AH67" s="41"/>
      <c r="AI67" s="41"/>
      <c r="AJ67" s="41"/>
      <c r="AK67" s="41"/>
      <c r="AL67" s="41"/>
      <c r="AM67" s="41"/>
    </row>
    <row r="68" spans="1:39" ht="18">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09" t="s">
        <v>93</v>
      </c>
      <c r="Q68" s="111" t="s">
        <v>93</v>
      </c>
      <c r="R68" s="64"/>
      <c r="S68" s="112" t="s">
        <v>93</v>
      </c>
      <c r="T68" s="113" t="s">
        <v>93</v>
      </c>
      <c r="U68" s="41"/>
      <c r="V68" s="41"/>
      <c r="W68" s="41"/>
      <c r="X68" s="41"/>
      <c r="Y68" s="41"/>
      <c r="Z68" s="41"/>
      <c r="AA68" s="41"/>
      <c r="AB68" s="41"/>
      <c r="AC68" s="41"/>
      <c r="AD68" s="41"/>
      <c r="AE68" s="41"/>
      <c r="AF68" s="41"/>
      <c r="AG68" s="41"/>
      <c r="AH68" s="41"/>
      <c r="AI68" s="41"/>
      <c r="AJ68" s="41"/>
      <c r="AK68" s="41"/>
      <c r="AL68" s="41"/>
      <c r="AM68" s="41"/>
    </row>
    <row r="69" spans="1:39" ht="18">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09" t="s">
        <v>93</v>
      </c>
      <c r="Q69" s="111" t="s">
        <v>93</v>
      </c>
      <c r="R69" s="64"/>
      <c r="S69" s="112" t="s">
        <v>93</v>
      </c>
      <c r="T69" s="113" t="s">
        <v>93</v>
      </c>
      <c r="U69" s="41"/>
      <c r="V69" s="41"/>
      <c r="W69" s="41"/>
      <c r="X69" s="41"/>
      <c r="Y69" s="41"/>
      <c r="Z69" s="41"/>
      <c r="AA69" s="41"/>
      <c r="AB69" s="41"/>
      <c r="AC69" s="41"/>
      <c r="AD69" s="41"/>
      <c r="AE69" s="41"/>
      <c r="AF69" s="41"/>
      <c r="AG69" s="41"/>
      <c r="AH69" s="41"/>
      <c r="AI69" s="41"/>
      <c r="AJ69" s="41"/>
      <c r="AK69" s="41"/>
      <c r="AL69" s="41"/>
      <c r="AM69" s="41"/>
    </row>
    <row r="70" spans="1:39" ht="18">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09" t="s">
        <v>93</v>
      </c>
      <c r="Q70" s="111" t="s">
        <v>93</v>
      </c>
      <c r="R70" s="64"/>
      <c r="S70" s="112" t="s">
        <v>93</v>
      </c>
      <c r="T70" s="113" t="s">
        <v>93</v>
      </c>
      <c r="U70" s="41"/>
      <c r="V70" s="41"/>
      <c r="W70" s="41"/>
      <c r="X70" s="41"/>
      <c r="Y70" s="41"/>
      <c r="Z70" s="41"/>
      <c r="AA70" s="41"/>
      <c r="AB70" s="41"/>
      <c r="AC70" s="41"/>
      <c r="AD70" s="41"/>
      <c r="AE70" s="41"/>
      <c r="AF70" s="41"/>
      <c r="AG70" s="41"/>
      <c r="AH70" s="41"/>
      <c r="AI70" s="41"/>
      <c r="AJ70" s="41"/>
      <c r="AK70" s="41"/>
      <c r="AL70" s="41"/>
      <c r="AM70" s="41"/>
    </row>
    <row r="71" spans="1:39" ht="45" customHeight="1">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09" t="s">
        <v>93</v>
      </c>
      <c r="Q71" s="111" t="s">
        <v>93</v>
      </c>
      <c r="R71" s="64"/>
      <c r="S71" s="112" t="s">
        <v>93</v>
      </c>
      <c r="T71" s="113" t="s">
        <v>93</v>
      </c>
      <c r="U71" s="41"/>
      <c r="V71" s="41"/>
      <c r="W71" s="41"/>
      <c r="X71" s="41"/>
      <c r="Y71" s="41"/>
      <c r="Z71" s="41"/>
      <c r="AA71" s="41"/>
      <c r="AB71" s="41"/>
      <c r="AC71" s="41"/>
      <c r="AD71" s="41"/>
      <c r="AE71" s="41"/>
      <c r="AF71" s="41"/>
      <c r="AG71" s="41"/>
      <c r="AH71" s="41"/>
      <c r="AI71" s="41"/>
      <c r="AJ71" s="41"/>
      <c r="AK71" s="41"/>
      <c r="AL71" s="41"/>
      <c r="AM71" s="41"/>
    </row>
    <row r="72" spans="1:39" ht="18">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09" t="s">
        <v>93</v>
      </c>
      <c r="Q72" s="111" t="s">
        <v>93</v>
      </c>
      <c r="R72" s="64"/>
      <c r="S72" s="112" t="s">
        <v>93</v>
      </c>
      <c r="T72" s="113" t="s">
        <v>93</v>
      </c>
      <c r="U72" s="41"/>
      <c r="V72" s="41"/>
      <c r="W72" s="41"/>
      <c r="X72" s="41"/>
      <c r="Y72" s="41"/>
      <c r="Z72" s="41"/>
      <c r="AA72" s="41"/>
      <c r="AB72" s="41"/>
      <c r="AC72" s="41"/>
      <c r="AD72" s="41"/>
      <c r="AE72" s="41"/>
      <c r="AF72" s="41"/>
      <c r="AG72" s="41"/>
      <c r="AH72" s="41"/>
      <c r="AI72" s="41"/>
      <c r="AJ72" s="41"/>
      <c r="AK72" s="41"/>
      <c r="AL72" s="41"/>
      <c r="AM72" s="41"/>
    </row>
    <row r="73" spans="1:39" ht="18">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09" t="s">
        <v>93</v>
      </c>
      <c r="Q73" s="111" t="s">
        <v>93</v>
      </c>
      <c r="R73" s="64"/>
      <c r="S73" s="112" t="s">
        <v>93</v>
      </c>
      <c r="T73" s="113" t="s">
        <v>93</v>
      </c>
      <c r="U73" s="41"/>
      <c r="V73" s="41"/>
      <c r="W73" s="41"/>
      <c r="X73" s="41"/>
      <c r="Y73" s="41"/>
      <c r="Z73" s="41"/>
      <c r="AA73" s="41"/>
      <c r="AB73" s="41"/>
      <c r="AC73" s="41"/>
      <c r="AD73" s="41"/>
      <c r="AE73" s="41"/>
      <c r="AF73" s="41"/>
      <c r="AG73" s="41"/>
      <c r="AH73" s="41"/>
      <c r="AI73" s="41"/>
      <c r="AJ73" s="41"/>
      <c r="AK73" s="41"/>
      <c r="AL73" s="41"/>
      <c r="AM73" s="41"/>
    </row>
    <row r="74" spans="1:39" ht="18">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09" t="s">
        <v>93</v>
      </c>
      <c r="Q74" s="111" t="s">
        <v>93</v>
      </c>
      <c r="R74" s="64"/>
      <c r="S74" s="112" t="s">
        <v>93</v>
      </c>
      <c r="T74" s="113" t="s">
        <v>93</v>
      </c>
      <c r="U74" s="41"/>
      <c r="V74" s="41"/>
      <c r="W74" s="41"/>
      <c r="X74" s="41"/>
      <c r="Y74" s="41"/>
      <c r="Z74" s="41"/>
      <c r="AA74" s="41"/>
      <c r="AB74" s="41"/>
      <c r="AC74" s="41"/>
      <c r="AD74" s="41"/>
      <c r="AE74" s="41"/>
      <c r="AF74" s="41"/>
      <c r="AG74" s="41"/>
      <c r="AH74" s="41"/>
      <c r="AI74" s="41"/>
      <c r="AJ74" s="41"/>
      <c r="AK74" s="41"/>
      <c r="AL74" s="41"/>
      <c r="AM74" s="41"/>
    </row>
    <row r="75" spans="1:39" ht="18">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09" t="s">
        <v>93</v>
      </c>
      <c r="Q75" s="111" t="s">
        <v>93</v>
      </c>
      <c r="R75" s="64"/>
      <c r="S75" s="112" t="s">
        <v>93</v>
      </c>
      <c r="T75" s="113" t="s">
        <v>93</v>
      </c>
      <c r="U75" s="41"/>
      <c r="V75" s="41"/>
      <c r="W75" s="41"/>
      <c r="X75" s="41"/>
      <c r="Y75" s="41"/>
      <c r="Z75" s="41"/>
      <c r="AA75" s="41"/>
      <c r="AB75" s="41"/>
      <c r="AC75" s="41"/>
      <c r="AD75" s="41"/>
      <c r="AE75" s="41"/>
      <c r="AF75" s="41"/>
      <c r="AG75" s="41"/>
      <c r="AH75" s="41"/>
      <c r="AI75" s="41"/>
      <c r="AJ75" s="41"/>
      <c r="AK75" s="41"/>
      <c r="AL75" s="41"/>
      <c r="AM75" s="41"/>
    </row>
    <row r="76" spans="1:39" ht="18">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09" t="s">
        <v>93</v>
      </c>
      <c r="Q76" s="111" t="s">
        <v>93</v>
      </c>
      <c r="R76" s="64"/>
      <c r="S76" s="112" t="s">
        <v>93</v>
      </c>
      <c r="T76" s="113" t="s">
        <v>93</v>
      </c>
      <c r="U76" s="41"/>
      <c r="V76" s="41"/>
      <c r="W76" s="41"/>
      <c r="X76" s="41"/>
      <c r="Y76" s="41"/>
      <c r="Z76" s="41"/>
      <c r="AA76" s="41"/>
      <c r="AB76" s="41"/>
      <c r="AC76" s="41"/>
      <c r="AD76" s="41"/>
      <c r="AE76" s="41"/>
      <c r="AF76" s="41"/>
      <c r="AG76" s="41"/>
      <c r="AH76" s="41"/>
      <c r="AI76" s="41"/>
      <c r="AJ76" s="41"/>
      <c r="AK76" s="41"/>
      <c r="AL76" s="41"/>
      <c r="AM76" s="41"/>
    </row>
    <row r="77" spans="1:39" ht="18">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09" t="s">
        <v>93</v>
      </c>
      <c r="Q77" s="111" t="s">
        <v>93</v>
      </c>
      <c r="R77" s="64"/>
      <c r="S77" s="112" t="s">
        <v>93</v>
      </c>
      <c r="T77" s="113" t="s">
        <v>93</v>
      </c>
      <c r="U77" s="41"/>
      <c r="V77" s="41"/>
      <c r="W77" s="41"/>
      <c r="X77" s="41"/>
      <c r="Y77" s="41"/>
      <c r="Z77" s="41"/>
      <c r="AA77" s="41"/>
      <c r="AB77" s="41"/>
      <c r="AC77" s="41"/>
      <c r="AD77" s="41"/>
      <c r="AE77" s="41"/>
      <c r="AF77" s="41"/>
      <c r="AG77" s="41"/>
      <c r="AH77" s="41"/>
      <c r="AI77" s="41"/>
      <c r="AJ77" s="41"/>
      <c r="AK77" s="41"/>
      <c r="AL77" s="41"/>
      <c r="AM77" s="41"/>
    </row>
    <row r="78" spans="1:39" ht="18">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09" t="s">
        <v>93</v>
      </c>
      <c r="Q78" s="111" t="s">
        <v>93</v>
      </c>
      <c r="R78" s="64"/>
      <c r="S78" s="112" t="s">
        <v>93</v>
      </c>
      <c r="T78" s="113" t="s">
        <v>93</v>
      </c>
      <c r="U78" s="41"/>
      <c r="V78" s="41"/>
      <c r="W78" s="41"/>
      <c r="X78" s="41"/>
      <c r="Y78" s="41"/>
      <c r="Z78" s="41"/>
      <c r="AA78" s="41"/>
      <c r="AB78" s="41"/>
      <c r="AC78" s="41"/>
      <c r="AD78" s="41"/>
      <c r="AE78" s="41"/>
      <c r="AF78" s="41"/>
      <c r="AG78" s="41"/>
      <c r="AH78" s="41"/>
      <c r="AI78" s="41"/>
      <c r="AJ78" s="41"/>
      <c r="AK78" s="41"/>
      <c r="AL78" s="41"/>
      <c r="AM78" s="41"/>
    </row>
    <row r="79" spans="1:39" ht="18">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09" t="s">
        <v>93</v>
      </c>
      <c r="Q79" s="111" t="s">
        <v>93</v>
      </c>
      <c r="R79" s="64"/>
      <c r="S79" s="112" t="s">
        <v>93</v>
      </c>
      <c r="T79" s="112" t="s">
        <v>93</v>
      </c>
      <c r="U79" s="41"/>
      <c r="V79" s="41"/>
      <c r="W79" s="41"/>
      <c r="X79" s="41"/>
      <c r="Y79" s="41"/>
      <c r="Z79" s="41"/>
      <c r="AA79" s="41"/>
      <c r="AB79" s="41"/>
      <c r="AC79" s="41"/>
      <c r="AD79" s="41"/>
      <c r="AE79" s="41"/>
      <c r="AF79" s="41"/>
      <c r="AG79" s="41"/>
      <c r="AH79" s="41"/>
      <c r="AI79" s="41"/>
      <c r="AJ79" s="41"/>
      <c r="AK79" s="41"/>
      <c r="AL79" s="41"/>
      <c r="AM79" s="41"/>
    </row>
    <row r="80" spans="1:39" ht="18">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09" t="s">
        <v>93</v>
      </c>
      <c r="Q80" s="111" t="s">
        <v>93</v>
      </c>
      <c r="R80" s="64"/>
      <c r="S80" s="112" t="s">
        <v>93</v>
      </c>
      <c r="T80" s="112" t="s">
        <v>93</v>
      </c>
      <c r="U80" s="41"/>
      <c r="V80" s="41"/>
      <c r="W80" s="41"/>
      <c r="X80" s="41"/>
      <c r="Y80" s="41"/>
      <c r="Z80" s="41"/>
      <c r="AA80" s="41"/>
      <c r="AB80" s="41"/>
      <c r="AC80" s="41"/>
      <c r="AD80" s="41"/>
      <c r="AE80" s="41"/>
      <c r="AF80" s="41"/>
      <c r="AG80" s="41"/>
      <c r="AH80" s="41"/>
      <c r="AI80" s="41"/>
      <c r="AJ80" s="41"/>
      <c r="AK80" s="41"/>
      <c r="AL80" s="41"/>
      <c r="AM80" s="41"/>
    </row>
    <row r="81" spans="1:39" ht="18">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09" t="s">
        <v>93</v>
      </c>
      <c r="Q81" s="111" t="s">
        <v>93</v>
      </c>
      <c r="R81" s="64"/>
      <c r="S81" s="112" t="s">
        <v>93</v>
      </c>
      <c r="T81" s="113" t="s">
        <v>93</v>
      </c>
      <c r="U81" s="41"/>
      <c r="V81" s="41"/>
      <c r="W81" s="41"/>
      <c r="X81" s="41"/>
      <c r="Y81" s="41"/>
      <c r="Z81" s="41"/>
      <c r="AA81" s="41"/>
      <c r="AB81" s="41"/>
      <c r="AC81" s="41"/>
      <c r="AD81" s="41"/>
      <c r="AE81" s="41"/>
      <c r="AF81" s="41"/>
      <c r="AG81" s="41"/>
      <c r="AH81" s="41"/>
      <c r="AI81" s="41"/>
      <c r="AJ81" s="41"/>
      <c r="AK81" s="41"/>
      <c r="AL81" s="41"/>
      <c r="AM81" s="41"/>
    </row>
    <row r="82" spans="1:39" ht="18">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09" t="s">
        <v>93</v>
      </c>
      <c r="Q82" s="111" t="s">
        <v>93</v>
      </c>
      <c r="R82" s="64"/>
      <c r="S82" s="112" t="s">
        <v>93</v>
      </c>
      <c r="T82" s="113" t="s">
        <v>93</v>
      </c>
      <c r="U82" s="41"/>
      <c r="V82" s="41"/>
      <c r="W82" s="41"/>
      <c r="X82" s="41"/>
      <c r="Y82" s="41"/>
      <c r="Z82" s="41"/>
      <c r="AA82" s="41"/>
      <c r="AB82" s="41"/>
      <c r="AC82" s="41"/>
      <c r="AD82" s="41"/>
      <c r="AE82" s="41"/>
      <c r="AF82" s="41"/>
      <c r="AG82" s="41"/>
      <c r="AH82" s="41"/>
      <c r="AI82" s="41"/>
      <c r="AJ82" s="41"/>
      <c r="AK82" s="41"/>
      <c r="AL82" s="41"/>
      <c r="AM82" s="41"/>
    </row>
    <row r="83" spans="1:39" ht="18">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09" t="s">
        <v>93</v>
      </c>
      <c r="Q83" s="111" t="s">
        <v>93</v>
      </c>
      <c r="R83" s="64"/>
      <c r="S83" s="112" t="s">
        <v>93</v>
      </c>
      <c r="T83" s="113" t="s">
        <v>93</v>
      </c>
      <c r="U83" s="41"/>
      <c r="V83" s="41"/>
      <c r="W83" s="41"/>
      <c r="X83" s="41"/>
      <c r="Y83" s="41"/>
      <c r="Z83" s="41"/>
      <c r="AA83" s="41"/>
      <c r="AB83" s="41"/>
      <c r="AC83" s="41"/>
      <c r="AD83" s="41"/>
      <c r="AE83" s="41"/>
      <c r="AF83" s="41"/>
      <c r="AG83" s="41"/>
      <c r="AH83" s="41"/>
      <c r="AI83" s="41"/>
      <c r="AJ83" s="41"/>
      <c r="AK83" s="41"/>
      <c r="AL83" s="41"/>
      <c r="AM83" s="41"/>
    </row>
    <row r="84" spans="1:39" ht="18">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8">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8">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8">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8">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8">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8">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8">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8">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8">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8">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8">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8">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8">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8">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8">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8">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8">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sortState xmlns:xlrd2="http://schemas.microsoft.com/office/spreadsheetml/2017/richdata2" ref="A64:AM66">
    <sortCondition ref="S64:S6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E7BFA-BC06-4111-95A7-353B8441D08F}">
  <sheetPr codeName="Sheet5"/>
  <dimension ref="A1:AO53"/>
  <sheetViews>
    <sheetView zoomScale="85" zoomScaleNormal="85" workbookViewId="0">
      <selection activeCell="C26" sqref="C26"/>
    </sheetView>
  </sheetViews>
  <sheetFormatPr defaultRowHeight="14.4"/>
  <cols>
    <col min="1" max="3" width="20.5546875" customWidth="1"/>
    <col min="4" max="4" width="25.5546875" customWidth="1"/>
    <col min="5" max="5" width="20.5546875" customWidth="1"/>
    <col min="6" max="6" width="50.6640625" style="43" customWidth="1"/>
    <col min="16" max="17" width="9.6640625" customWidth="1"/>
  </cols>
  <sheetData>
    <row r="1" spans="1:41" ht="52.2">
      <c r="A1" s="1" t="s">
        <v>42</v>
      </c>
      <c r="B1" s="1" t="s">
        <v>43</v>
      </c>
      <c r="C1" s="1" t="s">
        <v>44</v>
      </c>
      <c r="D1" s="1" t="s">
        <v>0</v>
      </c>
      <c r="E1" s="1" t="s">
        <v>1</v>
      </c>
      <c r="F1" s="1" t="s">
        <v>15</v>
      </c>
      <c r="G1" s="13" t="s">
        <v>23</v>
      </c>
      <c r="H1" s="14"/>
      <c r="I1" s="15" t="s">
        <v>24</v>
      </c>
      <c r="J1" s="16"/>
      <c r="K1" s="17" t="s">
        <v>25</v>
      </c>
      <c r="L1" s="18"/>
      <c r="M1" s="19" t="s">
        <v>26</v>
      </c>
      <c r="N1" s="20" t="s">
        <v>27</v>
      </c>
      <c r="O1" s="19" t="s">
        <v>30</v>
      </c>
      <c r="P1" s="20" t="s">
        <v>28</v>
      </c>
      <c r="Q1" s="20" t="s">
        <v>29</v>
      </c>
      <c r="R1" s="20" t="s">
        <v>31</v>
      </c>
      <c r="S1" s="20" t="s">
        <v>32</v>
      </c>
      <c r="T1" s="2"/>
      <c r="U1" s="42" t="s">
        <v>39</v>
      </c>
      <c r="V1" s="42" t="s">
        <v>40</v>
      </c>
    </row>
    <row r="2" spans="1:41" ht="18">
      <c r="A2" s="286" t="s">
        <v>600</v>
      </c>
      <c r="B2" s="293" t="s">
        <v>601</v>
      </c>
      <c r="C2" s="293" t="s">
        <v>602</v>
      </c>
      <c r="D2" s="119" t="s">
        <v>7</v>
      </c>
      <c r="E2" s="119" t="s">
        <v>9</v>
      </c>
      <c r="F2" s="119" t="s">
        <v>124</v>
      </c>
      <c r="G2" s="50">
        <v>95.6</v>
      </c>
      <c r="H2" s="57">
        <v>4</v>
      </c>
      <c r="I2" s="50">
        <v>1.0317930553091217</v>
      </c>
      <c r="J2" s="57">
        <v>3</v>
      </c>
      <c r="K2" s="50">
        <v>0.93333333333333324</v>
      </c>
      <c r="L2" s="57">
        <v>3</v>
      </c>
      <c r="M2" s="58">
        <v>48.68421052631578</v>
      </c>
      <c r="N2" s="58">
        <v>49.481093327561098</v>
      </c>
      <c r="O2" s="58">
        <v>48.333333333333329</v>
      </c>
      <c r="P2" s="59">
        <v>98.165303853876878</v>
      </c>
      <c r="Q2" s="60">
        <v>3</v>
      </c>
      <c r="R2" s="58">
        <v>96.498637187210193</v>
      </c>
      <c r="S2" s="60">
        <v>4</v>
      </c>
      <c r="T2" s="55"/>
      <c r="U2" s="61">
        <v>1</v>
      </c>
      <c r="V2" s="61"/>
    </row>
    <row r="3" spans="1:41" ht="18">
      <c r="A3" s="286" t="s">
        <v>603</v>
      </c>
      <c r="B3" s="286"/>
      <c r="C3" s="289"/>
      <c r="D3" s="119" t="s">
        <v>7</v>
      </c>
      <c r="E3" s="119" t="s">
        <v>9</v>
      </c>
      <c r="F3" s="119" t="s">
        <v>127</v>
      </c>
      <c r="G3" s="50">
        <v>95.4</v>
      </c>
      <c r="H3" s="57">
        <v>6</v>
      </c>
      <c r="I3" s="50">
        <v>0.92017287060125441</v>
      </c>
      <c r="J3" s="57">
        <v>6</v>
      </c>
      <c r="K3" s="50">
        <v>0.88333333333333319</v>
      </c>
      <c r="L3" s="57">
        <v>6</v>
      </c>
      <c r="M3" s="58">
        <v>48.574561403508774</v>
      </c>
      <c r="N3" s="58">
        <v>48.439057362221632</v>
      </c>
      <c r="O3" s="58">
        <v>47.083333333333329</v>
      </c>
      <c r="P3" s="59">
        <v>97.013618765730399</v>
      </c>
      <c r="Q3" s="60">
        <v>6</v>
      </c>
      <c r="R3" s="58">
        <v>94.096952099063742</v>
      </c>
      <c r="S3" s="60">
        <v>6</v>
      </c>
      <c r="T3" s="55"/>
      <c r="U3" s="61">
        <v>2</v>
      </c>
      <c r="V3" s="61"/>
    </row>
    <row r="4" spans="1:41" ht="18">
      <c r="A4" s="120" t="s">
        <v>613</v>
      </c>
      <c r="B4" s="120"/>
      <c r="C4" s="120"/>
      <c r="D4" s="120" t="s">
        <v>111</v>
      </c>
      <c r="E4" s="120" t="s">
        <v>4</v>
      </c>
      <c r="F4" s="120" t="s">
        <v>143</v>
      </c>
      <c r="G4" s="65">
        <v>89</v>
      </c>
      <c r="H4" s="115">
        <v>19</v>
      </c>
      <c r="I4" s="65">
        <v>0.63952352407683044</v>
      </c>
      <c r="J4" s="115">
        <v>12</v>
      </c>
      <c r="K4" s="65">
        <v>0.8125</v>
      </c>
      <c r="L4" s="115">
        <v>9</v>
      </c>
      <c r="M4" s="69">
        <v>45.065789473684212</v>
      </c>
      <c r="N4" s="69">
        <v>45.819040978152231</v>
      </c>
      <c r="O4" s="69">
        <v>45.3125</v>
      </c>
      <c r="P4" s="70">
        <v>90.88483045183645</v>
      </c>
      <c r="Q4" s="71">
        <v>14</v>
      </c>
      <c r="R4" s="69">
        <v>86.19733045183645</v>
      </c>
      <c r="S4" s="71">
        <v>12</v>
      </c>
      <c r="T4" s="68"/>
      <c r="U4" s="72">
        <v>1</v>
      </c>
      <c r="V4" s="72"/>
    </row>
    <row r="5" spans="1:41" ht="18">
      <c r="A5" s="120" t="s">
        <v>618</v>
      </c>
      <c r="B5" s="120"/>
      <c r="C5" s="120"/>
      <c r="D5" s="120" t="s">
        <v>13</v>
      </c>
      <c r="E5" s="120" t="s">
        <v>4</v>
      </c>
      <c r="F5" s="120" t="s">
        <v>158</v>
      </c>
      <c r="G5" s="65">
        <v>87.8</v>
      </c>
      <c r="H5" s="115">
        <v>23</v>
      </c>
      <c r="I5" s="65">
        <v>0.71906189572726575</v>
      </c>
      <c r="J5" s="115">
        <v>10</v>
      </c>
      <c r="K5" s="65">
        <v>0.8</v>
      </c>
      <c r="L5" s="115">
        <v>11</v>
      </c>
      <c r="M5" s="69">
        <v>44.40789473684211</v>
      </c>
      <c r="N5" s="69">
        <v>46.56157553049335</v>
      </c>
      <c r="O5" s="69">
        <v>45</v>
      </c>
      <c r="P5" s="70">
        <v>90.969470267335453</v>
      </c>
      <c r="Q5" s="71">
        <v>13</v>
      </c>
      <c r="R5" s="69">
        <v>85.969470267335453</v>
      </c>
      <c r="S5" s="71">
        <v>13</v>
      </c>
      <c r="T5" s="68"/>
      <c r="U5" s="72">
        <v>2</v>
      </c>
      <c r="V5" s="73"/>
    </row>
    <row r="6" spans="1:41" ht="18">
      <c r="A6" s="286" t="s">
        <v>625</v>
      </c>
      <c r="B6" s="295"/>
      <c r="C6" s="76"/>
      <c r="D6" s="119" t="s">
        <v>177</v>
      </c>
      <c r="E6" s="119" t="s">
        <v>2</v>
      </c>
      <c r="F6" s="119" t="s">
        <v>178</v>
      </c>
      <c r="G6" s="50">
        <v>97.75</v>
      </c>
      <c r="H6" s="57">
        <v>2</v>
      </c>
      <c r="I6" s="50">
        <v>1.0873769895977112</v>
      </c>
      <c r="J6" s="57">
        <v>1</v>
      </c>
      <c r="K6" s="50">
        <v>0.9375</v>
      </c>
      <c r="L6" s="57">
        <v>2</v>
      </c>
      <c r="M6" s="58">
        <v>49.862938596491226</v>
      </c>
      <c r="N6" s="58">
        <v>50</v>
      </c>
      <c r="O6" s="58">
        <v>48.4375</v>
      </c>
      <c r="P6" s="59">
        <v>99.862938596491233</v>
      </c>
      <c r="Q6" s="60">
        <v>1</v>
      </c>
      <c r="R6" s="58">
        <v>98.300438596491233</v>
      </c>
      <c r="S6" s="60">
        <v>1</v>
      </c>
      <c r="T6" s="55"/>
      <c r="U6" s="112">
        <v>1</v>
      </c>
      <c r="V6" s="61">
        <v>1</v>
      </c>
      <c r="W6" s="41"/>
      <c r="X6" s="41"/>
      <c r="Y6" s="41"/>
      <c r="Z6" s="41"/>
      <c r="AA6" s="41"/>
      <c r="AB6" s="41"/>
      <c r="AC6" s="41"/>
      <c r="AD6" s="41"/>
      <c r="AE6" s="41"/>
      <c r="AF6" s="41"/>
      <c r="AG6" s="41"/>
      <c r="AH6" s="41"/>
      <c r="AI6" s="41"/>
      <c r="AJ6" s="41"/>
      <c r="AK6" s="41"/>
      <c r="AL6" s="41"/>
      <c r="AM6" s="41"/>
      <c r="AN6" s="41"/>
      <c r="AO6" s="41"/>
    </row>
    <row r="7" spans="1:41" ht="27.6">
      <c r="A7" s="286" t="s">
        <v>631</v>
      </c>
      <c r="B7" s="76"/>
      <c r="C7" s="76"/>
      <c r="D7" s="119" t="s">
        <v>13</v>
      </c>
      <c r="E7" s="119" t="s">
        <v>2</v>
      </c>
      <c r="F7" s="119" t="s">
        <v>196</v>
      </c>
      <c r="G7" s="50">
        <v>92.5</v>
      </c>
      <c r="H7" s="57">
        <v>10</v>
      </c>
      <c r="I7" s="50">
        <v>0.81461207591901585</v>
      </c>
      <c r="J7" s="57">
        <v>7</v>
      </c>
      <c r="K7" s="50">
        <v>0.8125</v>
      </c>
      <c r="L7" s="57">
        <v>9</v>
      </c>
      <c r="M7" s="58">
        <v>46.984649122807014</v>
      </c>
      <c r="N7" s="58">
        <v>47.453589143578256</v>
      </c>
      <c r="O7" s="58">
        <v>45.3125</v>
      </c>
      <c r="P7" s="59">
        <v>94.43823826638527</v>
      </c>
      <c r="Q7" s="60">
        <v>7</v>
      </c>
      <c r="R7" s="58">
        <v>89.75073826638527</v>
      </c>
      <c r="S7" s="60">
        <v>7</v>
      </c>
      <c r="T7" s="55"/>
      <c r="U7" s="112">
        <v>2</v>
      </c>
      <c r="V7" s="61"/>
      <c r="W7" s="41"/>
      <c r="X7" s="41"/>
      <c r="Y7" s="41"/>
      <c r="Z7" s="41"/>
      <c r="AA7" s="41"/>
      <c r="AB7" s="41"/>
      <c r="AC7" s="41"/>
      <c r="AD7" s="41"/>
      <c r="AE7" s="41"/>
      <c r="AF7" s="41"/>
      <c r="AG7" s="41"/>
      <c r="AH7" s="41"/>
      <c r="AI7" s="41"/>
      <c r="AJ7" s="41"/>
      <c r="AK7" s="41"/>
      <c r="AL7" s="41"/>
      <c r="AM7" s="41"/>
      <c r="AN7" s="41"/>
      <c r="AO7" s="41"/>
    </row>
    <row r="8" spans="1:41" ht="18">
      <c r="A8" s="120" t="s">
        <v>654</v>
      </c>
      <c r="B8" s="120"/>
      <c r="C8" s="120"/>
      <c r="D8" s="120" t="s">
        <v>13</v>
      </c>
      <c r="E8" s="120" t="s">
        <v>6</v>
      </c>
      <c r="F8" s="120" t="s">
        <v>248</v>
      </c>
      <c r="G8" s="65">
        <v>89</v>
      </c>
      <c r="H8" s="115">
        <v>19</v>
      </c>
      <c r="I8" s="65">
        <v>0.49039853249447091</v>
      </c>
      <c r="J8" s="115">
        <v>19</v>
      </c>
      <c r="K8" s="65">
        <v>0.71666666666666656</v>
      </c>
      <c r="L8" s="115">
        <v>17</v>
      </c>
      <c r="M8" s="69">
        <v>45.065789473684212</v>
      </c>
      <c r="N8" s="69">
        <v>44.426876962598421</v>
      </c>
      <c r="O8" s="69">
        <v>42.916666666666664</v>
      </c>
      <c r="P8" s="70">
        <v>89.492666436282633</v>
      </c>
      <c r="Q8" s="71">
        <v>19</v>
      </c>
      <c r="R8" s="69">
        <v>82.40933310294929</v>
      </c>
      <c r="S8" s="71">
        <v>17</v>
      </c>
      <c r="T8" s="68"/>
      <c r="U8" s="72">
        <v>1</v>
      </c>
      <c r="V8" s="72"/>
      <c r="W8" s="41"/>
      <c r="X8" s="41"/>
      <c r="Y8" s="41"/>
      <c r="Z8" s="41"/>
      <c r="AA8" s="41"/>
      <c r="AB8" s="41"/>
      <c r="AC8" s="41"/>
      <c r="AD8" s="41"/>
      <c r="AE8" s="41"/>
      <c r="AF8" s="41"/>
      <c r="AG8" s="41"/>
      <c r="AH8" s="41"/>
      <c r="AI8" s="41"/>
      <c r="AJ8" s="41"/>
      <c r="AK8" s="41"/>
      <c r="AL8" s="41"/>
      <c r="AM8" s="41"/>
      <c r="AN8" s="41"/>
      <c r="AO8" s="41"/>
    </row>
    <row r="9" spans="1:41" ht="18">
      <c r="A9" s="120" t="s">
        <v>653</v>
      </c>
      <c r="B9" s="120" t="s">
        <v>653</v>
      </c>
      <c r="C9" s="120"/>
      <c r="D9" s="120" t="s">
        <v>173</v>
      </c>
      <c r="E9" s="120" t="s">
        <v>6</v>
      </c>
      <c r="F9" s="120" t="s">
        <v>245</v>
      </c>
      <c r="G9" s="65">
        <v>85.6</v>
      </c>
      <c r="H9" s="115">
        <v>36</v>
      </c>
      <c r="I9" s="65">
        <v>0.1501531886573905</v>
      </c>
      <c r="J9" s="115">
        <v>31</v>
      </c>
      <c r="K9" s="65">
        <v>0.4333333333333334</v>
      </c>
      <c r="L9" s="115">
        <v>38</v>
      </c>
      <c r="M9" s="69">
        <v>43.201754385964911</v>
      </c>
      <c r="N9" s="69">
        <v>41.250499085734553</v>
      </c>
      <c r="O9" s="69">
        <v>35.833333333333336</v>
      </c>
      <c r="P9" s="70">
        <v>84.452253471699464</v>
      </c>
      <c r="Q9" s="71">
        <v>34</v>
      </c>
      <c r="R9" s="69">
        <v>70.285586805032807</v>
      </c>
      <c r="S9" s="71">
        <v>36</v>
      </c>
      <c r="T9" s="68"/>
      <c r="U9" s="72">
        <v>2</v>
      </c>
      <c r="V9" s="72"/>
      <c r="W9" s="41"/>
      <c r="X9" s="41"/>
      <c r="Y9" s="41"/>
      <c r="Z9" s="41"/>
      <c r="AA9" s="41"/>
      <c r="AB9" s="41"/>
      <c r="AC9" s="41"/>
      <c r="AD9" s="41"/>
      <c r="AE9" s="41"/>
      <c r="AF9" s="41"/>
      <c r="AG9" s="41"/>
      <c r="AH9" s="41"/>
      <c r="AI9" s="41"/>
      <c r="AJ9" s="41"/>
      <c r="AK9" s="41"/>
      <c r="AL9" s="41"/>
      <c r="AM9" s="41"/>
      <c r="AN9" s="41"/>
      <c r="AO9" s="41"/>
    </row>
    <row r="10" spans="1:41" ht="18">
      <c r="A10" s="286" t="s">
        <v>656</v>
      </c>
      <c r="B10" s="76"/>
      <c r="C10" s="76"/>
      <c r="D10" s="119" t="s">
        <v>11</v>
      </c>
      <c r="E10" s="119" t="s">
        <v>255</v>
      </c>
      <c r="F10" s="119" t="s">
        <v>254</v>
      </c>
      <c r="G10" s="50">
        <v>98</v>
      </c>
      <c r="H10" s="57">
        <v>1</v>
      </c>
      <c r="I10" s="50">
        <v>0.77022655871526491</v>
      </c>
      <c r="J10" s="57">
        <v>8</v>
      </c>
      <c r="K10" s="50">
        <v>0.9</v>
      </c>
      <c r="L10" s="57">
        <v>5</v>
      </c>
      <c r="M10" s="58">
        <v>50</v>
      </c>
      <c r="N10" s="58">
        <v>47.039225868803626</v>
      </c>
      <c r="O10" s="58">
        <v>47.5</v>
      </c>
      <c r="P10" s="59">
        <v>97.039225868803626</v>
      </c>
      <c r="Q10" s="60">
        <v>5</v>
      </c>
      <c r="R10" s="58">
        <v>94.539225868803612</v>
      </c>
      <c r="S10" s="60">
        <v>5</v>
      </c>
      <c r="T10" s="55"/>
      <c r="U10" s="61">
        <v>1</v>
      </c>
      <c r="V10" s="61"/>
      <c r="W10" s="41"/>
      <c r="X10" s="41"/>
      <c r="Y10" s="41"/>
      <c r="Z10" s="41"/>
      <c r="AA10" s="41"/>
      <c r="AB10" s="41"/>
      <c r="AC10" s="41"/>
      <c r="AD10" s="41"/>
      <c r="AE10" s="41"/>
      <c r="AF10" s="41"/>
      <c r="AG10" s="41"/>
      <c r="AH10" s="41"/>
      <c r="AI10" s="41"/>
      <c r="AJ10" s="41"/>
      <c r="AK10" s="41"/>
      <c r="AL10" s="41"/>
      <c r="AM10" s="41"/>
      <c r="AN10" s="41"/>
      <c r="AO10" s="41"/>
    </row>
    <row r="11" spans="1:41" ht="18">
      <c r="A11" s="120" t="s">
        <v>658</v>
      </c>
      <c r="B11" s="120"/>
      <c r="C11" s="120"/>
      <c r="D11" s="120" t="s">
        <v>7</v>
      </c>
      <c r="E11" s="120" t="s">
        <v>3</v>
      </c>
      <c r="F11" s="120" t="s">
        <v>261</v>
      </c>
      <c r="G11" s="65">
        <v>91.4</v>
      </c>
      <c r="H11" s="115">
        <v>13</v>
      </c>
      <c r="I11" s="65">
        <v>0.39109572997676734</v>
      </c>
      <c r="J11" s="115">
        <v>21</v>
      </c>
      <c r="K11" s="65">
        <v>0.65</v>
      </c>
      <c r="L11" s="115">
        <v>25</v>
      </c>
      <c r="M11" s="69">
        <v>46.381578947368425</v>
      </c>
      <c r="N11" s="69">
        <v>43.499830551115863</v>
      </c>
      <c r="O11" s="69">
        <v>41.25</v>
      </c>
      <c r="P11" s="70">
        <v>89.881409498484288</v>
      </c>
      <c r="Q11" s="71">
        <v>17</v>
      </c>
      <c r="R11" s="69">
        <v>81.131409498484288</v>
      </c>
      <c r="S11" s="71">
        <v>21</v>
      </c>
      <c r="T11" s="68"/>
      <c r="U11" s="72">
        <v>1</v>
      </c>
      <c r="V11" s="72"/>
      <c r="W11" s="41"/>
      <c r="X11" s="41"/>
      <c r="Y11" s="41"/>
      <c r="Z11" s="41"/>
      <c r="AA11" s="41"/>
      <c r="AB11" s="41"/>
      <c r="AC11" s="41"/>
      <c r="AD11" s="41"/>
      <c r="AE11" s="41"/>
      <c r="AF11" s="41"/>
      <c r="AG11" s="41"/>
      <c r="AH11" s="41"/>
      <c r="AI11" s="41"/>
      <c r="AJ11" s="41"/>
      <c r="AK11" s="41"/>
      <c r="AL11" s="41"/>
      <c r="AM11" s="41"/>
      <c r="AN11" s="41"/>
      <c r="AO11" s="41"/>
    </row>
    <row r="12" spans="1:41" ht="18">
      <c r="A12" s="120" t="s">
        <v>657</v>
      </c>
      <c r="B12" s="120"/>
      <c r="C12" s="120"/>
      <c r="D12" s="120" t="s">
        <v>94</v>
      </c>
      <c r="E12" s="120" t="s">
        <v>3</v>
      </c>
      <c r="F12" s="120" t="s">
        <v>258</v>
      </c>
      <c r="G12" s="65">
        <v>75.2</v>
      </c>
      <c r="H12" s="115">
        <v>52</v>
      </c>
      <c r="I12" s="65">
        <v>-1.2347015549531917</v>
      </c>
      <c r="J12" s="115">
        <v>59</v>
      </c>
      <c r="K12" s="65">
        <v>0</v>
      </c>
      <c r="L12" s="115">
        <v>60</v>
      </c>
      <c r="M12" s="69">
        <v>37.5</v>
      </c>
      <c r="N12" s="69">
        <v>28.322116523118449</v>
      </c>
      <c r="O12" s="69">
        <v>25</v>
      </c>
      <c r="P12" s="70">
        <v>65.822116523118453</v>
      </c>
      <c r="Q12" s="71">
        <v>56</v>
      </c>
      <c r="R12" s="69">
        <v>40.822116523118453</v>
      </c>
      <c r="S12" s="71">
        <v>59</v>
      </c>
      <c r="T12" s="68"/>
      <c r="U12" s="72">
        <v>2</v>
      </c>
      <c r="V12" s="72"/>
      <c r="W12" s="41"/>
      <c r="X12" s="41"/>
      <c r="Y12" s="41"/>
      <c r="Z12" s="41"/>
      <c r="AA12" s="41"/>
      <c r="AB12" s="41"/>
      <c r="AC12" s="41"/>
      <c r="AD12" s="41"/>
      <c r="AE12" s="41"/>
      <c r="AF12" s="41"/>
      <c r="AG12" s="41"/>
      <c r="AH12" s="41"/>
      <c r="AI12" s="41"/>
      <c r="AJ12" s="41"/>
      <c r="AK12" s="41"/>
      <c r="AL12" s="41"/>
      <c r="AM12" s="41"/>
      <c r="AN12" s="41"/>
      <c r="AO12" s="41"/>
    </row>
    <row r="13" spans="1:41" ht="18">
      <c r="A13" s="286" t="s">
        <v>665</v>
      </c>
      <c r="B13" s="76"/>
      <c r="C13" s="76"/>
      <c r="D13" s="119" t="s">
        <v>7</v>
      </c>
      <c r="E13" s="119" t="s">
        <v>8</v>
      </c>
      <c r="F13" s="119" t="s">
        <v>279</v>
      </c>
      <c r="G13" s="50">
        <v>95.8</v>
      </c>
      <c r="H13" s="57">
        <v>3</v>
      </c>
      <c r="I13" s="50">
        <v>0.99034256825463873</v>
      </c>
      <c r="J13" s="57">
        <v>4</v>
      </c>
      <c r="K13" s="50">
        <v>1</v>
      </c>
      <c r="L13" s="57">
        <v>1</v>
      </c>
      <c r="M13" s="58">
        <v>48.793859649122808</v>
      </c>
      <c r="N13" s="58">
        <v>49.09413017744042</v>
      </c>
      <c r="O13" s="58">
        <v>50</v>
      </c>
      <c r="P13" s="59">
        <v>97.887989826563228</v>
      </c>
      <c r="Q13" s="60">
        <v>4</v>
      </c>
      <c r="R13" s="58">
        <v>97.887989826563228</v>
      </c>
      <c r="S13" s="60">
        <v>2</v>
      </c>
      <c r="T13" s="55"/>
      <c r="U13" s="61">
        <v>1</v>
      </c>
      <c r="V13" s="61">
        <v>2</v>
      </c>
      <c r="W13" s="41"/>
      <c r="X13" s="41"/>
      <c r="Y13" s="41"/>
      <c r="Z13" s="41"/>
      <c r="AA13" s="41"/>
      <c r="AB13" s="41"/>
      <c r="AC13" s="41"/>
      <c r="AD13" s="41"/>
      <c r="AE13" s="41"/>
      <c r="AF13" s="41"/>
      <c r="AG13" s="41"/>
      <c r="AH13" s="41"/>
      <c r="AI13" s="41"/>
      <c r="AJ13" s="41"/>
      <c r="AK13" s="41"/>
      <c r="AL13" s="41"/>
      <c r="AM13" s="41"/>
      <c r="AN13" s="41"/>
      <c r="AO13" s="41"/>
    </row>
    <row r="14" spans="1:41" ht="18">
      <c r="A14" s="286" t="s">
        <v>660</v>
      </c>
      <c r="B14" s="286" t="s">
        <v>661</v>
      </c>
      <c r="C14" s="76"/>
      <c r="D14" s="119" t="s">
        <v>5</v>
      </c>
      <c r="E14" s="119" t="s">
        <v>8</v>
      </c>
      <c r="F14" s="119" t="s">
        <v>267</v>
      </c>
      <c r="G14" s="50">
        <v>91.8</v>
      </c>
      <c r="H14" s="57">
        <v>11</v>
      </c>
      <c r="I14" s="50">
        <v>0.57451969360199495</v>
      </c>
      <c r="J14" s="57">
        <v>13</v>
      </c>
      <c r="K14" s="50">
        <v>0.71</v>
      </c>
      <c r="L14" s="57">
        <v>18</v>
      </c>
      <c r="M14" s="58">
        <v>46.600877192982452</v>
      </c>
      <c r="N14" s="58">
        <v>45.212194381213806</v>
      </c>
      <c r="O14" s="58">
        <v>42.75</v>
      </c>
      <c r="P14" s="59">
        <v>91.813071574196258</v>
      </c>
      <c r="Q14" s="60">
        <v>12</v>
      </c>
      <c r="R14" s="58">
        <v>84.563071574196272</v>
      </c>
      <c r="S14" s="60">
        <v>14</v>
      </c>
      <c r="T14" s="55"/>
      <c r="U14" s="61">
        <v>2</v>
      </c>
      <c r="V14" s="61"/>
      <c r="W14" s="41"/>
      <c r="X14" s="41"/>
      <c r="Y14" s="41"/>
      <c r="Z14" s="41"/>
      <c r="AA14" s="41"/>
      <c r="AB14" s="41"/>
      <c r="AC14" s="41"/>
      <c r="AD14" s="41"/>
      <c r="AE14" s="41"/>
      <c r="AF14" s="41"/>
      <c r="AG14" s="41"/>
      <c r="AH14" s="41"/>
      <c r="AI14" s="41"/>
      <c r="AJ14" s="41"/>
      <c r="AK14" s="41"/>
      <c r="AL14" s="41"/>
      <c r="AM14" s="41"/>
      <c r="AN14" s="41"/>
      <c r="AO14" s="41"/>
    </row>
    <row r="15" spans="1:41" ht="18">
      <c r="A15" s="120" t="s">
        <v>673</v>
      </c>
      <c r="B15" s="120"/>
      <c r="C15" s="120"/>
      <c r="D15" s="120" t="s">
        <v>11</v>
      </c>
      <c r="E15" s="120" t="s">
        <v>12</v>
      </c>
      <c r="F15" s="120" t="s">
        <v>296</v>
      </c>
      <c r="G15" s="65">
        <v>95.6</v>
      </c>
      <c r="H15" s="115">
        <v>4</v>
      </c>
      <c r="I15" s="65">
        <v>0.55714751684626795</v>
      </c>
      <c r="J15" s="115">
        <v>16</v>
      </c>
      <c r="K15" s="65">
        <v>0.7533333333333333</v>
      </c>
      <c r="L15" s="115">
        <v>14</v>
      </c>
      <c r="M15" s="69">
        <v>48.68421052631578</v>
      </c>
      <c r="N15" s="69">
        <v>45.050015533157968</v>
      </c>
      <c r="O15" s="69">
        <v>43.833333333333329</v>
      </c>
      <c r="P15" s="70">
        <v>93.734226059473741</v>
      </c>
      <c r="Q15" s="71">
        <v>9</v>
      </c>
      <c r="R15" s="69">
        <v>87.567559392807084</v>
      </c>
      <c r="S15" s="71">
        <v>10</v>
      </c>
      <c r="T15" s="68"/>
      <c r="U15" s="72">
        <v>1</v>
      </c>
      <c r="V15" s="73"/>
      <c r="W15" s="41"/>
      <c r="X15" s="41"/>
      <c r="Y15" s="41"/>
      <c r="Z15" s="41"/>
      <c r="AA15" s="41"/>
      <c r="AB15" s="41"/>
      <c r="AC15" s="41"/>
      <c r="AD15" s="41"/>
      <c r="AE15" s="41"/>
      <c r="AF15" s="41"/>
      <c r="AG15" s="41"/>
      <c r="AH15" s="41"/>
      <c r="AI15" s="41"/>
      <c r="AJ15" s="41"/>
      <c r="AK15" s="41"/>
      <c r="AL15" s="41"/>
      <c r="AM15" s="41"/>
      <c r="AN15" s="41"/>
      <c r="AO15" s="41"/>
    </row>
    <row r="16" spans="1:41" ht="18">
      <c r="A16" s="120" t="s">
        <v>674</v>
      </c>
      <c r="B16" s="120"/>
      <c r="C16" s="120"/>
      <c r="D16" s="120" t="s">
        <v>11</v>
      </c>
      <c r="E16" s="120" t="s">
        <v>12</v>
      </c>
      <c r="F16" s="120" t="s">
        <v>299</v>
      </c>
      <c r="G16" s="65">
        <v>93</v>
      </c>
      <c r="H16" s="115">
        <v>9</v>
      </c>
      <c r="I16" s="65">
        <v>9.1625555242356105E-2</v>
      </c>
      <c r="J16" s="115">
        <v>33</v>
      </c>
      <c r="K16" s="65">
        <v>0.625</v>
      </c>
      <c r="L16" s="115">
        <v>28</v>
      </c>
      <c r="M16" s="69">
        <v>47.258771929824562</v>
      </c>
      <c r="N16" s="69">
        <v>40.704111358960162</v>
      </c>
      <c r="O16" s="69">
        <v>40.625</v>
      </c>
      <c r="P16" s="70">
        <v>87.962883288784724</v>
      </c>
      <c r="Q16" s="71">
        <v>22</v>
      </c>
      <c r="R16" s="69">
        <v>78.587883288784724</v>
      </c>
      <c r="S16" s="71">
        <v>24</v>
      </c>
      <c r="T16" s="68"/>
      <c r="U16" s="72">
        <v>2</v>
      </c>
      <c r="V16" s="72"/>
      <c r="W16" s="41"/>
      <c r="X16" s="41"/>
      <c r="Y16" s="41"/>
      <c r="Z16" s="41"/>
      <c r="AA16" s="41"/>
      <c r="AB16" s="41"/>
      <c r="AC16" s="41"/>
      <c r="AD16" s="41"/>
      <c r="AE16" s="41"/>
      <c r="AF16" s="41"/>
      <c r="AG16" s="41"/>
      <c r="AH16" s="41"/>
      <c r="AI16" s="41"/>
      <c r="AJ16" s="41"/>
      <c r="AK16" s="41"/>
      <c r="AL16" s="41"/>
      <c r="AM16" s="41"/>
      <c r="AN16" s="41"/>
      <c r="AO16" s="41"/>
    </row>
    <row r="17" spans="1:41" ht="18">
      <c r="A17" s="286" t="s">
        <v>678</v>
      </c>
      <c r="B17" s="286" t="s">
        <v>679</v>
      </c>
      <c r="C17" s="76"/>
      <c r="D17" s="119" t="s">
        <v>11</v>
      </c>
      <c r="E17" s="119" t="s">
        <v>10</v>
      </c>
      <c r="F17" s="119" t="s">
        <v>308</v>
      </c>
      <c r="G17" s="106">
        <v>95.333333333333329</v>
      </c>
      <c r="H17" s="108">
        <v>7</v>
      </c>
      <c r="I17" s="106">
        <v>1.0484122799411983</v>
      </c>
      <c r="J17" s="108">
        <v>2</v>
      </c>
      <c r="K17" s="106">
        <v>0.93333333333333324</v>
      </c>
      <c r="L17" s="108">
        <v>3</v>
      </c>
      <c r="M17" s="109">
        <v>48.538011695906434</v>
      </c>
      <c r="N17" s="109">
        <v>49.636242952407201</v>
      </c>
      <c r="O17" s="109">
        <v>48.333333333333329</v>
      </c>
      <c r="P17" s="110">
        <v>98.174254648313635</v>
      </c>
      <c r="Q17" s="111">
        <v>2</v>
      </c>
      <c r="R17" s="109">
        <v>96.507587981646964</v>
      </c>
      <c r="S17" s="111">
        <v>3</v>
      </c>
      <c r="T17" s="64"/>
      <c r="U17" s="61">
        <v>1</v>
      </c>
      <c r="V17" s="113">
        <v>3</v>
      </c>
      <c r="W17" s="41"/>
      <c r="X17" s="41"/>
      <c r="Y17" s="41"/>
      <c r="Z17" s="41"/>
      <c r="AA17" s="41"/>
      <c r="AB17" s="41"/>
      <c r="AC17" s="41"/>
      <c r="AD17" s="41"/>
      <c r="AE17" s="41"/>
      <c r="AF17" s="41"/>
      <c r="AG17" s="41"/>
      <c r="AH17" s="41"/>
      <c r="AI17" s="41"/>
      <c r="AJ17" s="41"/>
      <c r="AK17" s="41"/>
      <c r="AL17" s="41"/>
      <c r="AM17" s="41"/>
      <c r="AN17" s="41"/>
      <c r="AO17" s="41"/>
    </row>
    <row r="18" spans="1:41" ht="18">
      <c r="A18" s="286" t="s">
        <v>677</v>
      </c>
      <c r="B18" s="76"/>
      <c r="C18" s="76"/>
      <c r="D18" s="119" t="s">
        <v>7</v>
      </c>
      <c r="E18" s="119" t="s">
        <v>10</v>
      </c>
      <c r="F18" s="119" t="s">
        <v>305</v>
      </c>
      <c r="G18" s="50">
        <v>89.6</v>
      </c>
      <c r="H18" s="57">
        <v>17</v>
      </c>
      <c r="I18" s="50">
        <v>0.22275223082864457</v>
      </c>
      <c r="J18" s="57">
        <v>28</v>
      </c>
      <c r="K18" s="50">
        <v>0.6333333333333333</v>
      </c>
      <c r="L18" s="57">
        <v>27</v>
      </c>
      <c r="M18" s="58">
        <v>45.39473684210526</v>
      </c>
      <c r="N18" s="58">
        <v>41.928251171431562</v>
      </c>
      <c r="O18" s="58">
        <v>40.833333333333329</v>
      </c>
      <c r="P18" s="59">
        <v>87.322988013536815</v>
      </c>
      <c r="Q18" s="60">
        <v>24</v>
      </c>
      <c r="R18" s="58">
        <v>78.156321346870129</v>
      </c>
      <c r="S18" s="60">
        <v>26</v>
      </c>
      <c r="T18" s="55"/>
      <c r="U18" s="61">
        <v>2</v>
      </c>
      <c r="V18" s="61"/>
      <c r="W18" s="41"/>
      <c r="X18" s="41"/>
      <c r="Y18" s="41"/>
      <c r="Z18" s="41"/>
      <c r="AA18" s="41"/>
      <c r="AB18" s="41"/>
      <c r="AC18" s="41"/>
      <c r="AD18" s="41"/>
      <c r="AE18" s="41"/>
      <c r="AF18" s="41"/>
      <c r="AG18" s="41"/>
      <c r="AH18" s="41"/>
      <c r="AI18" s="41"/>
      <c r="AJ18" s="41"/>
      <c r="AK18" s="41"/>
      <c r="AL18" s="41"/>
      <c r="AM18" s="41"/>
      <c r="AN18" s="41"/>
      <c r="AO18" s="41"/>
    </row>
    <row r="19" spans="1:41" ht="18">
      <c r="A19" s="257" t="s">
        <v>680</v>
      </c>
      <c r="B19" s="257"/>
      <c r="C19" s="257"/>
      <c r="D19" s="257" t="s">
        <v>320</v>
      </c>
      <c r="E19" s="257" t="s">
        <v>322</v>
      </c>
      <c r="F19" s="257" t="s">
        <v>321</v>
      </c>
      <c r="G19" s="254" t="s">
        <v>93</v>
      </c>
      <c r="H19" s="57" t="s">
        <v>93</v>
      </c>
      <c r="I19" s="254" t="s">
        <v>93</v>
      </c>
      <c r="J19" s="57" t="s">
        <v>93</v>
      </c>
      <c r="K19" s="254" t="s">
        <v>93</v>
      </c>
      <c r="L19" s="57" t="s">
        <v>93</v>
      </c>
      <c r="M19" s="261" t="s">
        <v>93</v>
      </c>
      <c r="N19" s="261" t="s">
        <v>93</v>
      </c>
      <c r="O19" s="261" t="s">
        <v>93</v>
      </c>
      <c r="P19" s="262" t="s">
        <v>93</v>
      </c>
      <c r="Q19" s="263" t="s">
        <v>93</v>
      </c>
      <c r="R19" s="261" t="s">
        <v>93</v>
      </c>
      <c r="S19" s="263" t="s">
        <v>93</v>
      </c>
      <c r="T19" s="264"/>
      <c r="U19" s="265" t="s">
        <v>93</v>
      </c>
      <c r="V19" s="266" t="s">
        <v>93</v>
      </c>
      <c r="W19" s="41"/>
      <c r="X19" s="41"/>
      <c r="Y19" s="41"/>
      <c r="Z19" s="41"/>
      <c r="AA19" s="41"/>
      <c r="AB19" s="41"/>
      <c r="AC19" s="41"/>
      <c r="AD19" s="41"/>
      <c r="AE19" s="41"/>
      <c r="AF19" s="41"/>
      <c r="AG19" s="41"/>
      <c r="AH19" s="41"/>
      <c r="AI19" s="41"/>
      <c r="AJ19" s="41"/>
      <c r="AK19" s="41"/>
      <c r="AL19" s="41"/>
      <c r="AM19" s="41"/>
      <c r="AN19" s="41"/>
      <c r="AO19" s="41"/>
    </row>
    <row r="20" spans="1:41" ht="18">
      <c r="A20" s="119"/>
      <c r="B20" s="119"/>
      <c r="C20" s="119"/>
      <c r="D20" s="119"/>
      <c r="E20" s="119"/>
      <c r="F20" s="119"/>
      <c r="G20" s="106" t="s">
        <v>93</v>
      </c>
      <c r="H20" s="108" t="s">
        <v>93</v>
      </c>
      <c r="I20" s="106" t="s">
        <v>93</v>
      </c>
      <c r="J20" s="108" t="s">
        <v>93</v>
      </c>
      <c r="K20" s="106" t="s">
        <v>93</v>
      </c>
      <c r="L20" s="108" t="s">
        <v>93</v>
      </c>
      <c r="M20" s="109" t="s">
        <v>93</v>
      </c>
      <c r="N20" s="109" t="s">
        <v>93</v>
      </c>
      <c r="O20" s="109" t="s">
        <v>93</v>
      </c>
      <c r="P20" s="110" t="s">
        <v>93</v>
      </c>
      <c r="Q20" s="111" t="s">
        <v>93</v>
      </c>
      <c r="R20" s="109" t="s">
        <v>93</v>
      </c>
      <c r="S20" s="111" t="s">
        <v>93</v>
      </c>
      <c r="T20" s="64"/>
      <c r="U20" s="112" t="s">
        <v>93</v>
      </c>
      <c r="V20" s="113" t="s">
        <v>93</v>
      </c>
      <c r="W20" s="41"/>
      <c r="X20" s="41"/>
      <c r="Y20" s="41"/>
      <c r="Z20" s="41"/>
      <c r="AA20" s="41"/>
      <c r="AB20" s="41"/>
      <c r="AC20" s="41"/>
      <c r="AD20" s="41"/>
      <c r="AE20" s="41"/>
      <c r="AF20" s="41"/>
      <c r="AG20" s="41"/>
      <c r="AH20" s="41"/>
      <c r="AI20" s="41"/>
      <c r="AJ20" s="41"/>
      <c r="AK20" s="41"/>
      <c r="AL20" s="41"/>
      <c r="AM20" s="41"/>
      <c r="AN20" s="41"/>
      <c r="AO20" s="41"/>
    </row>
    <row r="21" spans="1:41" ht="18">
      <c r="A21" s="119"/>
      <c r="B21" s="119"/>
      <c r="C21" s="119"/>
      <c r="D21" s="119"/>
      <c r="E21" s="119"/>
      <c r="F21" s="119"/>
      <c r="G21" s="106" t="s">
        <v>93</v>
      </c>
      <c r="H21" s="108" t="s">
        <v>93</v>
      </c>
      <c r="I21" s="106" t="s">
        <v>93</v>
      </c>
      <c r="J21" s="108" t="s">
        <v>93</v>
      </c>
      <c r="K21" s="106" t="s">
        <v>93</v>
      </c>
      <c r="L21" s="108" t="s">
        <v>93</v>
      </c>
      <c r="M21" s="109" t="s">
        <v>93</v>
      </c>
      <c r="N21" s="109" t="s">
        <v>93</v>
      </c>
      <c r="O21" s="109" t="s">
        <v>93</v>
      </c>
      <c r="P21" s="110" t="s">
        <v>93</v>
      </c>
      <c r="Q21" s="111" t="s">
        <v>93</v>
      </c>
      <c r="R21" s="109" t="s">
        <v>93</v>
      </c>
      <c r="S21" s="111" t="s">
        <v>93</v>
      </c>
      <c r="T21" s="64"/>
      <c r="U21" s="112" t="s">
        <v>93</v>
      </c>
      <c r="V21" s="113" t="s">
        <v>93</v>
      </c>
      <c r="W21" s="41"/>
      <c r="X21" s="41"/>
      <c r="Y21" s="41"/>
      <c r="Z21" s="41"/>
      <c r="AA21" s="41"/>
      <c r="AB21" s="41"/>
      <c r="AC21" s="41"/>
      <c r="AD21" s="41"/>
      <c r="AE21" s="41"/>
      <c r="AF21" s="41"/>
      <c r="AG21" s="41"/>
      <c r="AH21" s="41"/>
      <c r="AI21" s="41"/>
      <c r="AJ21" s="41"/>
      <c r="AK21" s="41"/>
      <c r="AL21" s="41"/>
      <c r="AM21" s="41"/>
      <c r="AN21" s="41"/>
      <c r="AO21" s="41"/>
    </row>
    <row r="22" spans="1:41" ht="18">
      <c r="A22" s="119"/>
      <c r="B22" s="119"/>
      <c r="C22" s="119"/>
      <c r="D22" s="119"/>
      <c r="E22" s="119"/>
      <c r="F22" s="119"/>
      <c r="G22" s="106" t="s">
        <v>93</v>
      </c>
      <c r="H22" s="108" t="s">
        <v>93</v>
      </c>
      <c r="I22" s="106" t="s">
        <v>93</v>
      </c>
      <c r="J22" s="108" t="s">
        <v>93</v>
      </c>
      <c r="K22" s="106" t="s">
        <v>93</v>
      </c>
      <c r="L22" s="108" t="s">
        <v>93</v>
      </c>
      <c r="M22" s="109" t="s">
        <v>93</v>
      </c>
      <c r="N22" s="109" t="s">
        <v>93</v>
      </c>
      <c r="O22" s="109" t="s">
        <v>93</v>
      </c>
      <c r="P22" s="110" t="s">
        <v>93</v>
      </c>
      <c r="Q22" s="111" t="s">
        <v>93</v>
      </c>
      <c r="R22" s="109" t="s">
        <v>93</v>
      </c>
      <c r="S22" s="111" t="s">
        <v>93</v>
      </c>
      <c r="T22" s="64"/>
      <c r="U22" s="112" t="s">
        <v>93</v>
      </c>
      <c r="V22" s="113" t="s">
        <v>93</v>
      </c>
      <c r="W22" s="41"/>
      <c r="X22" s="41"/>
      <c r="Y22" s="41"/>
      <c r="Z22" s="41"/>
      <c r="AA22" s="41"/>
      <c r="AB22" s="41"/>
      <c r="AC22" s="41"/>
      <c r="AD22" s="41"/>
      <c r="AE22" s="41"/>
      <c r="AF22" s="41"/>
      <c r="AG22" s="41"/>
      <c r="AH22" s="41"/>
      <c r="AI22" s="41"/>
      <c r="AJ22" s="41"/>
      <c r="AK22" s="41"/>
      <c r="AL22" s="41"/>
      <c r="AM22" s="41"/>
      <c r="AN22" s="41"/>
      <c r="AO22" s="41"/>
    </row>
    <row r="23" spans="1:41" ht="45" customHeight="1">
      <c r="A23" s="119"/>
      <c r="B23" s="119"/>
      <c r="C23" s="119"/>
      <c r="D23" s="119"/>
      <c r="E23" s="119"/>
      <c r="F23" s="119"/>
      <c r="G23" s="106" t="s">
        <v>93</v>
      </c>
      <c r="H23" s="108" t="s">
        <v>93</v>
      </c>
      <c r="I23" s="106" t="s">
        <v>93</v>
      </c>
      <c r="J23" s="108" t="s">
        <v>93</v>
      </c>
      <c r="K23" s="106" t="s">
        <v>93</v>
      </c>
      <c r="L23" s="108" t="s">
        <v>93</v>
      </c>
      <c r="M23" s="109" t="s">
        <v>93</v>
      </c>
      <c r="N23" s="109" t="s">
        <v>93</v>
      </c>
      <c r="O23" s="109" t="s">
        <v>93</v>
      </c>
      <c r="P23" s="110" t="s">
        <v>93</v>
      </c>
      <c r="Q23" s="111" t="s">
        <v>93</v>
      </c>
      <c r="R23" s="109" t="s">
        <v>93</v>
      </c>
      <c r="S23" s="111" t="s">
        <v>93</v>
      </c>
      <c r="T23" s="64"/>
      <c r="U23" s="112" t="s">
        <v>93</v>
      </c>
      <c r="V23" s="113" t="s">
        <v>93</v>
      </c>
      <c r="W23" s="41"/>
      <c r="X23" s="41"/>
      <c r="Y23" s="41"/>
      <c r="Z23" s="41"/>
      <c r="AA23" s="41"/>
      <c r="AB23" s="41"/>
      <c r="AC23" s="41"/>
      <c r="AD23" s="41"/>
      <c r="AE23" s="41"/>
      <c r="AF23" s="41"/>
      <c r="AG23" s="41"/>
      <c r="AH23" s="41"/>
      <c r="AI23" s="41"/>
      <c r="AJ23" s="41"/>
      <c r="AK23" s="41"/>
      <c r="AL23" s="41"/>
      <c r="AM23" s="41"/>
      <c r="AN23" s="41"/>
      <c r="AO23" s="41"/>
    </row>
    <row r="24" spans="1:41" ht="18">
      <c r="A24" s="119"/>
      <c r="B24" s="119"/>
      <c r="C24" s="119"/>
      <c r="D24" s="119"/>
      <c r="E24" s="119"/>
      <c r="F24" s="119"/>
      <c r="G24" s="106" t="s">
        <v>93</v>
      </c>
      <c r="H24" s="108" t="s">
        <v>93</v>
      </c>
      <c r="I24" s="106" t="s">
        <v>93</v>
      </c>
      <c r="J24" s="108" t="s">
        <v>93</v>
      </c>
      <c r="K24" s="106" t="s">
        <v>93</v>
      </c>
      <c r="L24" s="108" t="s">
        <v>93</v>
      </c>
      <c r="M24" s="109" t="s">
        <v>93</v>
      </c>
      <c r="N24" s="109" t="s">
        <v>93</v>
      </c>
      <c r="O24" s="109" t="s">
        <v>93</v>
      </c>
      <c r="P24" s="110" t="s">
        <v>93</v>
      </c>
      <c r="Q24" s="111" t="s">
        <v>93</v>
      </c>
      <c r="R24" s="109" t="s">
        <v>93</v>
      </c>
      <c r="S24" s="111" t="s">
        <v>93</v>
      </c>
      <c r="T24" s="64"/>
      <c r="U24" s="112" t="s">
        <v>93</v>
      </c>
      <c r="V24" s="113" t="s">
        <v>93</v>
      </c>
      <c r="W24" s="41"/>
      <c r="X24" s="41"/>
      <c r="Y24" s="41"/>
      <c r="Z24" s="41"/>
      <c r="AA24" s="41"/>
      <c r="AB24" s="41"/>
      <c r="AC24" s="41"/>
      <c r="AD24" s="41"/>
      <c r="AE24" s="41"/>
      <c r="AF24" s="41"/>
      <c r="AG24" s="41"/>
      <c r="AH24" s="41"/>
      <c r="AI24" s="41"/>
      <c r="AJ24" s="41"/>
      <c r="AK24" s="41"/>
      <c r="AL24" s="41"/>
      <c r="AM24" s="41"/>
      <c r="AN24" s="41"/>
      <c r="AO24" s="41"/>
    </row>
    <row r="25" spans="1:41" ht="18">
      <c r="A25" s="119"/>
      <c r="B25" s="119"/>
      <c r="C25" s="119"/>
      <c r="D25" s="119"/>
      <c r="E25" s="119"/>
      <c r="F25" s="119"/>
      <c r="G25" s="106" t="s">
        <v>93</v>
      </c>
      <c r="H25" s="108" t="s">
        <v>93</v>
      </c>
      <c r="I25" s="106" t="s">
        <v>93</v>
      </c>
      <c r="J25" s="108" t="s">
        <v>93</v>
      </c>
      <c r="K25" s="106" t="s">
        <v>93</v>
      </c>
      <c r="L25" s="108" t="s">
        <v>93</v>
      </c>
      <c r="M25" s="109" t="s">
        <v>93</v>
      </c>
      <c r="N25" s="109" t="s">
        <v>93</v>
      </c>
      <c r="O25" s="109" t="s">
        <v>93</v>
      </c>
      <c r="P25" s="110" t="s">
        <v>93</v>
      </c>
      <c r="Q25" s="111" t="s">
        <v>93</v>
      </c>
      <c r="R25" s="109" t="s">
        <v>93</v>
      </c>
      <c r="S25" s="111" t="s">
        <v>93</v>
      </c>
      <c r="T25" s="64"/>
      <c r="U25" s="112" t="s">
        <v>93</v>
      </c>
      <c r="V25" s="113" t="s">
        <v>93</v>
      </c>
      <c r="W25" s="41"/>
      <c r="X25" s="41"/>
      <c r="Y25" s="41"/>
      <c r="Z25" s="41"/>
      <c r="AA25" s="41"/>
      <c r="AB25" s="41"/>
      <c r="AC25" s="41"/>
      <c r="AD25" s="41"/>
      <c r="AE25" s="41"/>
      <c r="AF25" s="41"/>
      <c r="AG25" s="41"/>
      <c r="AH25" s="41"/>
      <c r="AI25" s="41"/>
      <c r="AJ25" s="41"/>
      <c r="AK25" s="41"/>
      <c r="AL25" s="41"/>
      <c r="AM25" s="41"/>
      <c r="AN25" s="41"/>
      <c r="AO25" s="41"/>
    </row>
    <row r="26" spans="1:41" ht="18">
      <c r="A26" s="119"/>
      <c r="B26" s="119"/>
      <c r="C26" s="119"/>
      <c r="D26" s="119"/>
      <c r="E26" s="119"/>
      <c r="F26" s="119"/>
      <c r="G26" s="106" t="s">
        <v>93</v>
      </c>
      <c r="H26" s="108" t="s">
        <v>93</v>
      </c>
      <c r="I26" s="106" t="s">
        <v>93</v>
      </c>
      <c r="J26" s="108" t="s">
        <v>93</v>
      </c>
      <c r="K26" s="106" t="s">
        <v>93</v>
      </c>
      <c r="L26" s="108" t="s">
        <v>93</v>
      </c>
      <c r="M26" s="109" t="s">
        <v>93</v>
      </c>
      <c r="N26" s="109" t="s">
        <v>93</v>
      </c>
      <c r="O26" s="109" t="s">
        <v>93</v>
      </c>
      <c r="P26" s="110" t="s">
        <v>93</v>
      </c>
      <c r="Q26" s="111" t="s">
        <v>93</v>
      </c>
      <c r="R26" s="109" t="s">
        <v>93</v>
      </c>
      <c r="S26" s="111" t="s">
        <v>93</v>
      </c>
      <c r="T26" s="64"/>
      <c r="U26" s="112" t="s">
        <v>93</v>
      </c>
      <c r="V26" s="113" t="s">
        <v>93</v>
      </c>
      <c r="W26" s="41"/>
      <c r="X26" s="41"/>
      <c r="Y26" s="41"/>
      <c r="Z26" s="41"/>
      <c r="AA26" s="41"/>
      <c r="AB26" s="41"/>
      <c r="AC26" s="41"/>
      <c r="AD26" s="41"/>
      <c r="AE26" s="41"/>
      <c r="AF26" s="41"/>
      <c r="AG26" s="41"/>
      <c r="AH26" s="41"/>
      <c r="AI26" s="41"/>
      <c r="AJ26" s="41"/>
      <c r="AK26" s="41"/>
      <c r="AL26" s="41"/>
      <c r="AM26" s="41"/>
      <c r="AN26" s="41"/>
      <c r="AO26" s="41"/>
    </row>
    <row r="27" spans="1:41" ht="18">
      <c r="A27" s="119"/>
      <c r="B27" s="119"/>
      <c r="C27" s="119"/>
      <c r="D27" s="119"/>
      <c r="E27" s="119"/>
      <c r="F27" s="119"/>
      <c r="G27" s="106" t="s">
        <v>93</v>
      </c>
      <c r="H27" s="108" t="s">
        <v>93</v>
      </c>
      <c r="I27" s="106" t="s">
        <v>93</v>
      </c>
      <c r="J27" s="108" t="s">
        <v>93</v>
      </c>
      <c r="K27" s="106" t="s">
        <v>93</v>
      </c>
      <c r="L27" s="108" t="s">
        <v>93</v>
      </c>
      <c r="M27" s="109" t="s">
        <v>93</v>
      </c>
      <c r="N27" s="109" t="s">
        <v>93</v>
      </c>
      <c r="O27" s="109" t="s">
        <v>93</v>
      </c>
      <c r="P27" s="110" t="s">
        <v>93</v>
      </c>
      <c r="Q27" s="111" t="s">
        <v>93</v>
      </c>
      <c r="R27" s="109" t="s">
        <v>93</v>
      </c>
      <c r="S27" s="111" t="s">
        <v>93</v>
      </c>
      <c r="T27" s="64"/>
      <c r="U27" s="112" t="s">
        <v>93</v>
      </c>
      <c r="V27" s="113" t="s">
        <v>93</v>
      </c>
      <c r="W27" s="41"/>
      <c r="X27" s="41"/>
      <c r="Y27" s="41"/>
      <c r="Z27" s="41"/>
      <c r="AA27" s="41"/>
      <c r="AB27" s="41"/>
      <c r="AC27" s="41"/>
      <c r="AD27" s="41"/>
      <c r="AE27" s="41"/>
      <c r="AF27" s="41"/>
      <c r="AG27" s="41"/>
      <c r="AH27" s="41"/>
      <c r="AI27" s="41"/>
      <c r="AJ27" s="41"/>
      <c r="AK27" s="41"/>
      <c r="AL27" s="41"/>
      <c r="AM27" s="41"/>
      <c r="AN27" s="41"/>
      <c r="AO27" s="41"/>
    </row>
    <row r="28" spans="1:41" ht="18">
      <c r="A28" s="119"/>
      <c r="B28" s="119"/>
      <c r="C28" s="119"/>
      <c r="D28" s="119"/>
      <c r="E28" s="119"/>
      <c r="F28" s="119"/>
      <c r="G28" s="106" t="s">
        <v>93</v>
      </c>
      <c r="H28" s="108" t="s">
        <v>93</v>
      </c>
      <c r="I28" s="106" t="s">
        <v>93</v>
      </c>
      <c r="J28" s="108" t="s">
        <v>93</v>
      </c>
      <c r="K28" s="106" t="s">
        <v>93</v>
      </c>
      <c r="L28" s="108" t="s">
        <v>93</v>
      </c>
      <c r="M28" s="109" t="s">
        <v>93</v>
      </c>
      <c r="N28" s="109" t="s">
        <v>93</v>
      </c>
      <c r="O28" s="109" t="s">
        <v>93</v>
      </c>
      <c r="P28" s="110" t="s">
        <v>93</v>
      </c>
      <c r="Q28" s="111" t="s">
        <v>93</v>
      </c>
      <c r="R28" s="109" t="s">
        <v>93</v>
      </c>
      <c r="S28" s="111" t="s">
        <v>93</v>
      </c>
      <c r="T28" s="64"/>
      <c r="U28" s="112" t="s">
        <v>93</v>
      </c>
      <c r="V28" s="113" t="s">
        <v>93</v>
      </c>
      <c r="W28" s="41"/>
      <c r="X28" s="41"/>
      <c r="Y28" s="41"/>
      <c r="Z28" s="41"/>
      <c r="AA28" s="41"/>
      <c r="AB28" s="41"/>
      <c r="AC28" s="41"/>
      <c r="AD28" s="41"/>
      <c r="AE28" s="41"/>
      <c r="AF28" s="41"/>
      <c r="AG28" s="41"/>
      <c r="AH28" s="41"/>
      <c r="AI28" s="41"/>
      <c r="AJ28" s="41"/>
      <c r="AK28" s="41"/>
      <c r="AL28" s="41"/>
      <c r="AM28" s="41"/>
      <c r="AN28" s="41"/>
      <c r="AO28" s="41"/>
    </row>
    <row r="29" spans="1:41" ht="18">
      <c r="A29" s="119"/>
      <c r="B29" s="119"/>
      <c r="C29" s="119"/>
      <c r="D29" s="119"/>
      <c r="E29" s="119"/>
      <c r="F29" s="119"/>
      <c r="G29" s="106" t="s">
        <v>93</v>
      </c>
      <c r="H29" s="108" t="s">
        <v>93</v>
      </c>
      <c r="I29" s="106" t="s">
        <v>93</v>
      </c>
      <c r="J29" s="108" t="s">
        <v>93</v>
      </c>
      <c r="K29" s="106" t="s">
        <v>93</v>
      </c>
      <c r="L29" s="108" t="s">
        <v>93</v>
      </c>
      <c r="M29" s="109" t="s">
        <v>93</v>
      </c>
      <c r="N29" s="109" t="s">
        <v>93</v>
      </c>
      <c r="O29" s="109" t="s">
        <v>93</v>
      </c>
      <c r="P29" s="110" t="s">
        <v>93</v>
      </c>
      <c r="Q29" s="111" t="s">
        <v>93</v>
      </c>
      <c r="R29" s="109" t="s">
        <v>93</v>
      </c>
      <c r="S29" s="111" t="s">
        <v>93</v>
      </c>
      <c r="T29" s="64"/>
      <c r="U29" s="112" t="s">
        <v>93</v>
      </c>
      <c r="V29" s="113" t="s">
        <v>93</v>
      </c>
      <c r="W29" s="41"/>
      <c r="X29" s="41"/>
      <c r="Y29" s="41"/>
      <c r="Z29" s="41"/>
      <c r="AA29" s="41"/>
      <c r="AB29" s="41"/>
      <c r="AC29" s="41"/>
      <c r="AD29" s="41"/>
      <c r="AE29" s="41"/>
      <c r="AF29" s="41"/>
      <c r="AG29" s="41"/>
      <c r="AH29" s="41"/>
      <c r="AI29" s="41"/>
      <c r="AJ29" s="41"/>
      <c r="AK29" s="41"/>
      <c r="AL29" s="41"/>
      <c r="AM29" s="41"/>
      <c r="AN29" s="41"/>
      <c r="AO29" s="41"/>
    </row>
    <row r="30" spans="1:41" ht="18">
      <c r="A30" s="119"/>
      <c r="B30" s="119"/>
      <c r="C30" s="119"/>
      <c r="D30" s="119"/>
      <c r="E30" s="119"/>
      <c r="F30" s="119"/>
      <c r="G30" s="106" t="s">
        <v>93</v>
      </c>
      <c r="H30" s="108" t="s">
        <v>93</v>
      </c>
      <c r="I30" s="106" t="s">
        <v>93</v>
      </c>
      <c r="J30" s="108" t="s">
        <v>93</v>
      </c>
      <c r="K30" s="106" t="s">
        <v>93</v>
      </c>
      <c r="L30" s="108" t="s">
        <v>93</v>
      </c>
      <c r="M30" s="109" t="s">
        <v>93</v>
      </c>
      <c r="N30" s="109" t="s">
        <v>93</v>
      </c>
      <c r="O30" s="109" t="s">
        <v>93</v>
      </c>
      <c r="P30" s="110" t="s">
        <v>93</v>
      </c>
      <c r="Q30" s="111" t="s">
        <v>93</v>
      </c>
      <c r="R30" s="109" t="s">
        <v>93</v>
      </c>
      <c r="S30" s="111" t="s">
        <v>93</v>
      </c>
      <c r="T30" s="64"/>
      <c r="U30" s="112" t="s">
        <v>93</v>
      </c>
      <c r="V30" s="113" t="s">
        <v>93</v>
      </c>
      <c r="W30" s="41"/>
      <c r="X30" s="41"/>
      <c r="Y30" s="41"/>
      <c r="Z30" s="41"/>
      <c r="AA30" s="41"/>
      <c r="AB30" s="41"/>
      <c r="AC30" s="41"/>
      <c r="AD30" s="41"/>
      <c r="AE30" s="41"/>
      <c r="AF30" s="41"/>
      <c r="AG30" s="41"/>
      <c r="AH30" s="41"/>
      <c r="AI30" s="41"/>
      <c r="AJ30" s="41"/>
      <c r="AK30" s="41"/>
      <c r="AL30" s="41"/>
      <c r="AM30" s="41"/>
      <c r="AN30" s="41"/>
      <c r="AO30" s="41"/>
    </row>
    <row r="31" spans="1:41" ht="18">
      <c r="A31" s="119"/>
      <c r="B31" s="119"/>
      <c r="C31" s="119"/>
      <c r="D31" s="119"/>
      <c r="E31" s="119"/>
      <c r="F31" s="119"/>
      <c r="G31" s="106" t="s">
        <v>93</v>
      </c>
      <c r="H31" s="108" t="s">
        <v>93</v>
      </c>
      <c r="I31" s="106" t="s">
        <v>93</v>
      </c>
      <c r="J31" s="108" t="s">
        <v>93</v>
      </c>
      <c r="K31" s="106" t="s">
        <v>93</v>
      </c>
      <c r="L31" s="108" t="s">
        <v>93</v>
      </c>
      <c r="M31" s="109" t="s">
        <v>93</v>
      </c>
      <c r="N31" s="109" t="s">
        <v>93</v>
      </c>
      <c r="O31" s="109" t="s">
        <v>93</v>
      </c>
      <c r="P31" s="110" t="s">
        <v>93</v>
      </c>
      <c r="Q31" s="111" t="s">
        <v>93</v>
      </c>
      <c r="R31" s="109" t="s">
        <v>93</v>
      </c>
      <c r="S31" s="111" t="s">
        <v>93</v>
      </c>
      <c r="T31" s="64"/>
      <c r="U31" s="112" t="s">
        <v>93</v>
      </c>
      <c r="V31" s="112" t="s">
        <v>93</v>
      </c>
      <c r="W31" s="41"/>
      <c r="X31" s="41"/>
      <c r="Y31" s="41"/>
      <c r="Z31" s="41"/>
      <c r="AA31" s="41"/>
      <c r="AB31" s="41"/>
      <c r="AC31" s="41"/>
      <c r="AD31" s="41"/>
      <c r="AE31" s="41"/>
      <c r="AF31" s="41"/>
      <c r="AG31" s="41"/>
      <c r="AH31" s="41"/>
      <c r="AI31" s="41"/>
      <c r="AJ31" s="41"/>
      <c r="AK31" s="41"/>
      <c r="AL31" s="41"/>
      <c r="AM31" s="41"/>
      <c r="AN31" s="41"/>
      <c r="AO31" s="41"/>
    </row>
    <row r="32" spans="1:41" ht="18">
      <c r="A32" s="119"/>
      <c r="B32" s="119"/>
      <c r="C32" s="119"/>
      <c r="D32" s="119"/>
      <c r="E32" s="119"/>
      <c r="F32" s="119"/>
      <c r="G32" s="106" t="s">
        <v>93</v>
      </c>
      <c r="H32" s="108" t="s">
        <v>93</v>
      </c>
      <c r="I32" s="106" t="s">
        <v>93</v>
      </c>
      <c r="J32" s="108" t="s">
        <v>93</v>
      </c>
      <c r="K32" s="106" t="s">
        <v>93</v>
      </c>
      <c r="L32" s="108" t="s">
        <v>93</v>
      </c>
      <c r="M32" s="109" t="s">
        <v>93</v>
      </c>
      <c r="N32" s="109" t="s">
        <v>93</v>
      </c>
      <c r="O32" s="109" t="s">
        <v>93</v>
      </c>
      <c r="P32" s="110" t="s">
        <v>93</v>
      </c>
      <c r="Q32" s="111" t="s">
        <v>93</v>
      </c>
      <c r="R32" s="109" t="s">
        <v>93</v>
      </c>
      <c r="S32" s="111" t="s">
        <v>93</v>
      </c>
      <c r="T32" s="64"/>
      <c r="U32" s="112" t="s">
        <v>93</v>
      </c>
      <c r="V32" s="112" t="s">
        <v>93</v>
      </c>
      <c r="W32" s="41"/>
      <c r="X32" s="41"/>
      <c r="Y32" s="41"/>
      <c r="Z32" s="41"/>
      <c r="AA32" s="41"/>
      <c r="AB32" s="41"/>
      <c r="AC32" s="41"/>
      <c r="AD32" s="41"/>
      <c r="AE32" s="41"/>
      <c r="AF32" s="41"/>
      <c r="AG32" s="41"/>
      <c r="AH32" s="41"/>
      <c r="AI32" s="41"/>
      <c r="AJ32" s="41"/>
      <c r="AK32" s="41"/>
      <c r="AL32" s="41"/>
      <c r="AM32" s="41"/>
      <c r="AN32" s="41"/>
      <c r="AO32" s="41"/>
    </row>
    <row r="33" spans="1:41" ht="18">
      <c r="A33" s="119"/>
      <c r="B33" s="119"/>
      <c r="C33" s="119"/>
      <c r="D33" s="119"/>
      <c r="E33" s="119"/>
      <c r="F33" s="119"/>
      <c r="G33" s="106" t="s">
        <v>93</v>
      </c>
      <c r="H33" s="108" t="s">
        <v>93</v>
      </c>
      <c r="I33" s="106" t="s">
        <v>93</v>
      </c>
      <c r="J33" s="108" t="s">
        <v>93</v>
      </c>
      <c r="K33" s="106" t="s">
        <v>93</v>
      </c>
      <c r="L33" s="108" t="s">
        <v>93</v>
      </c>
      <c r="M33" s="109" t="s">
        <v>93</v>
      </c>
      <c r="N33" s="109" t="s">
        <v>93</v>
      </c>
      <c r="O33" s="109" t="s">
        <v>93</v>
      </c>
      <c r="P33" s="110" t="s">
        <v>93</v>
      </c>
      <c r="Q33" s="111" t="s">
        <v>93</v>
      </c>
      <c r="R33" s="109" t="s">
        <v>93</v>
      </c>
      <c r="S33" s="111" t="s">
        <v>93</v>
      </c>
      <c r="T33" s="64"/>
      <c r="U33" s="112" t="s">
        <v>93</v>
      </c>
      <c r="V33" s="113" t="s">
        <v>93</v>
      </c>
      <c r="W33" s="41"/>
      <c r="X33" s="41"/>
      <c r="Y33" s="41"/>
      <c r="Z33" s="41"/>
      <c r="AA33" s="41"/>
      <c r="AB33" s="41"/>
      <c r="AC33" s="41"/>
      <c r="AD33" s="41"/>
      <c r="AE33" s="41"/>
      <c r="AF33" s="41"/>
      <c r="AG33" s="41"/>
      <c r="AH33" s="41"/>
      <c r="AI33" s="41"/>
      <c r="AJ33" s="41"/>
      <c r="AK33" s="41"/>
      <c r="AL33" s="41"/>
      <c r="AM33" s="41"/>
      <c r="AN33" s="41"/>
      <c r="AO33" s="41"/>
    </row>
    <row r="34" spans="1:41" ht="18">
      <c r="A34" s="119"/>
      <c r="B34" s="119"/>
      <c r="C34" s="119"/>
      <c r="D34" s="119"/>
      <c r="E34" s="119"/>
      <c r="F34" s="119"/>
      <c r="G34" s="106" t="s">
        <v>93</v>
      </c>
      <c r="H34" s="108" t="s">
        <v>93</v>
      </c>
      <c r="I34" s="106" t="s">
        <v>93</v>
      </c>
      <c r="J34" s="108" t="s">
        <v>93</v>
      </c>
      <c r="K34" s="106" t="s">
        <v>93</v>
      </c>
      <c r="L34" s="108" t="s">
        <v>93</v>
      </c>
      <c r="M34" s="109" t="s">
        <v>93</v>
      </c>
      <c r="N34" s="109" t="s">
        <v>93</v>
      </c>
      <c r="O34" s="109" t="s">
        <v>93</v>
      </c>
      <c r="P34" s="110" t="s">
        <v>93</v>
      </c>
      <c r="Q34" s="111" t="s">
        <v>93</v>
      </c>
      <c r="R34" s="109" t="s">
        <v>93</v>
      </c>
      <c r="S34" s="111" t="s">
        <v>93</v>
      </c>
      <c r="T34" s="64"/>
      <c r="U34" s="112" t="s">
        <v>93</v>
      </c>
      <c r="V34" s="113" t="s">
        <v>93</v>
      </c>
      <c r="W34" s="41"/>
      <c r="X34" s="41"/>
      <c r="Y34" s="41"/>
      <c r="Z34" s="41"/>
      <c r="AA34" s="41"/>
      <c r="AB34" s="41"/>
      <c r="AC34" s="41"/>
      <c r="AD34" s="41"/>
      <c r="AE34" s="41"/>
      <c r="AF34" s="41"/>
      <c r="AG34" s="41"/>
      <c r="AH34" s="41"/>
      <c r="AI34" s="41"/>
      <c r="AJ34" s="41"/>
      <c r="AK34" s="41"/>
      <c r="AL34" s="41"/>
      <c r="AM34" s="41"/>
      <c r="AN34" s="41"/>
      <c r="AO34" s="41"/>
    </row>
    <row r="35" spans="1:41" ht="18">
      <c r="A35" s="119"/>
      <c r="B35" s="119"/>
      <c r="C35" s="119"/>
      <c r="D35" s="119"/>
      <c r="E35" s="119"/>
      <c r="F35" s="119"/>
      <c r="G35" s="106" t="s">
        <v>93</v>
      </c>
      <c r="H35" s="108" t="s">
        <v>93</v>
      </c>
      <c r="I35" s="106" t="s">
        <v>93</v>
      </c>
      <c r="J35" s="108" t="s">
        <v>93</v>
      </c>
      <c r="K35" s="106" t="s">
        <v>93</v>
      </c>
      <c r="L35" s="108" t="s">
        <v>93</v>
      </c>
      <c r="M35" s="109" t="s">
        <v>93</v>
      </c>
      <c r="N35" s="109" t="s">
        <v>93</v>
      </c>
      <c r="O35" s="109" t="s">
        <v>93</v>
      </c>
      <c r="P35" s="110" t="s">
        <v>93</v>
      </c>
      <c r="Q35" s="111" t="s">
        <v>93</v>
      </c>
      <c r="R35" s="109" t="s">
        <v>93</v>
      </c>
      <c r="S35" s="111" t="s">
        <v>93</v>
      </c>
      <c r="T35" s="64"/>
      <c r="U35" s="112" t="s">
        <v>93</v>
      </c>
      <c r="V35" s="113" t="s">
        <v>93</v>
      </c>
      <c r="W35" s="41"/>
      <c r="X35" s="41"/>
      <c r="Y35" s="41"/>
      <c r="Z35" s="41"/>
      <c r="AA35" s="41"/>
      <c r="AB35" s="41"/>
      <c r="AC35" s="41"/>
      <c r="AD35" s="41"/>
      <c r="AE35" s="41"/>
      <c r="AF35" s="41"/>
      <c r="AG35" s="41"/>
      <c r="AH35" s="41"/>
      <c r="AI35" s="41"/>
      <c r="AJ35" s="41"/>
      <c r="AK35" s="41"/>
      <c r="AL35" s="41"/>
      <c r="AM35" s="41"/>
      <c r="AN35" s="41"/>
      <c r="AO35" s="41"/>
    </row>
    <row r="36" spans="1:41" ht="18">
      <c r="A36" s="63"/>
      <c r="B36" s="63"/>
      <c r="C36" s="63"/>
      <c r="D36" s="63"/>
      <c r="E36" s="63"/>
      <c r="F36" s="63"/>
      <c r="G36" s="50" t="s">
        <v>93</v>
      </c>
      <c r="H36" s="57" t="s">
        <v>93</v>
      </c>
      <c r="I36" s="50" t="s">
        <v>93</v>
      </c>
      <c r="J36" s="57" t="s">
        <v>93</v>
      </c>
      <c r="K36" s="50" t="s">
        <v>93</v>
      </c>
      <c r="L36" s="57" t="s">
        <v>93</v>
      </c>
      <c r="M36" s="58" t="s">
        <v>93</v>
      </c>
      <c r="N36" s="58" t="s">
        <v>93</v>
      </c>
      <c r="O36" s="58" t="s">
        <v>93</v>
      </c>
      <c r="P36" s="59" t="s">
        <v>93</v>
      </c>
      <c r="Q36" s="60" t="s">
        <v>93</v>
      </c>
      <c r="R36" s="58" t="s">
        <v>93</v>
      </c>
      <c r="S36" s="60" t="s">
        <v>93</v>
      </c>
      <c r="T36" s="55"/>
      <c r="U36" s="61" t="s">
        <v>93</v>
      </c>
      <c r="V36" s="61" t="s">
        <v>93</v>
      </c>
    </row>
    <row r="37" spans="1:41" ht="18">
      <c r="A37" s="63"/>
      <c r="B37" s="63"/>
      <c r="C37" s="63"/>
      <c r="D37" s="63"/>
      <c r="E37" s="63"/>
      <c r="F37" s="63"/>
      <c r="G37" s="50" t="s">
        <v>93</v>
      </c>
      <c r="H37" s="57" t="s">
        <v>93</v>
      </c>
      <c r="I37" s="50" t="s">
        <v>93</v>
      </c>
      <c r="J37" s="57" t="s">
        <v>93</v>
      </c>
      <c r="K37" s="50" t="s">
        <v>93</v>
      </c>
      <c r="L37" s="57" t="s">
        <v>93</v>
      </c>
      <c r="M37" s="58" t="s">
        <v>93</v>
      </c>
      <c r="N37" s="58" t="s">
        <v>93</v>
      </c>
      <c r="O37" s="58" t="s">
        <v>93</v>
      </c>
      <c r="P37" s="59" t="s">
        <v>93</v>
      </c>
      <c r="Q37" s="60" t="s">
        <v>93</v>
      </c>
      <c r="R37" s="58" t="s">
        <v>93</v>
      </c>
      <c r="S37" s="60" t="s">
        <v>93</v>
      </c>
      <c r="T37" s="55"/>
      <c r="U37" s="61" t="s">
        <v>93</v>
      </c>
      <c r="V37" s="61" t="s">
        <v>93</v>
      </c>
    </row>
    <row r="38" spans="1:41" ht="18">
      <c r="A38" s="63"/>
      <c r="B38" s="63"/>
      <c r="C38" s="63"/>
      <c r="D38" s="63"/>
      <c r="E38" s="63"/>
      <c r="F38" s="63"/>
      <c r="G38" s="50" t="s">
        <v>93</v>
      </c>
      <c r="H38" s="57" t="s">
        <v>93</v>
      </c>
      <c r="I38" s="50" t="s">
        <v>93</v>
      </c>
      <c r="J38" s="57" t="s">
        <v>93</v>
      </c>
      <c r="K38" s="50" t="s">
        <v>93</v>
      </c>
      <c r="L38" s="57" t="s">
        <v>93</v>
      </c>
      <c r="M38" s="58" t="s">
        <v>93</v>
      </c>
      <c r="N38" s="58" t="s">
        <v>93</v>
      </c>
      <c r="O38" s="58" t="s">
        <v>93</v>
      </c>
      <c r="P38" s="59" t="s">
        <v>93</v>
      </c>
      <c r="Q38" s="60" t="s">
        <v>93</v>
      </c>
      <c r="R38" s="58" t="s">
        <v>93</v>
      </c>
      <c r="S38" s="60" t="s">
        <v>93</v>
      </c>
      <c r="T38" s="55"/>
      <c r="U38" s="61" t="s">
        <v>93</v>
      </c>
      <c r="V38" s="61" t="s">
        <v>93</v>
      </c>
    </row>
    <row r="39" spans="1:41" ht="18">
      <c r="A39" s="63"/>
      <c r="B39" s="63"/>
      <c r="C39" s="63"/>
      <c r="D39" s="63"/>
      <c r="E39" s="63"/>
      <c r="F39" s="63"/>
      <c r="G39" s="50" t="s">
        <v>93</v>
      </c>
      <c r="H39" s="57" t="s">
        <v>93</v>
      </c>
      <c r="I39" s="50" t="s">
        <v>93</v>
      </c>
      <c r="J39" s="57" t="s">
        <v>93</v>
      </c>
      <c r="K39" s="50" t="s">
        <v>93</v>
      </c>
      <c r="L39" s="57" t="s">
        <v>93</v>
      </c>
      <c r="M39" s="58" t="s">
        <v>93</v>
      </c>
      <c r="N39" s="58" t="s">
        <v>93</v>
      </c>
      <c r="O39" s="58" t="s">
        <v>93</v>
      </c>
      <c r="P39" s="59" t="s">
        <v>93</v>
      </c>
      <c r="Q39" s="60" t="s">
        <v>93</v>
      </c>
      <c r="R39" s="58" t="s">
        <v>93</v>
      </c>
      <c r="S39" s="60" t="s">
        <v>93</v>
      </c>
      <c r="T39" s="55"/>
      <c r="U39" s="61" t="s">
        <v>93</v>
      </c>
      <c r="V39" s="61" t="s">
        <v>93</v>
      </c>
    </row>
    <row r="40" spans="1:41" ht="18">
      <c r="A40" s="63"/>
      <c r="B40" s="63"/>
      <c r="C40" s="63"/>
      <c r="D40" s="63"/>
      <c r="E40" s="63"/>
      <c r="F40" s="63"/>
      <c r="G40" s="50" t="s">
        <v>93</v>
      </c>
      <c r="H40" s="57" t="s">
        <v>93</v>
      </c>
      <c r="I40" s="50" t="s">
        <v>93</v>
      </c>
      <c r="J40" s="57" t="s">
        <v>93</v>
      </c>
      <c r="K40" s="50" t="s">
        <v>93</v>
      </c>
      <c r="L40" s="57" t="s">
        <v>93</v>
      </c>
      <c r="M40" s="58" t="s">
        <v>93</v>
      </c>
      <c r="N40" s="58" t="s">
        <v>93</v>
      </c>
      <c r="O40" s="58" t="s">
        <v>93</v>
      </c>
      <c r="P40" s="59" t="s">
        <v>93</v>
      </c>
      <c r="Q40" s="60" t="s">
        <v>93</v>
      </c>
      <c r="R40" s="58" t="s">
        <v>93</v>
      </c>
      <c r="S40" s="60" t="s">
        <v>93</v>
      </c>
      <c r="T40" s="55"/>
      <c r="U40" s="61" t="s">
        <v>93</v>
      </c>
      <c r="V40" s="61" t="s">
        <v>93</v>
      </c>
    </row>
    <row r="41" spans="1:41" ht="18">
      <c r="A41" s="63"/>
      <c r="B41" s="63"/>
      <c r="C41" s="63"/>
      <c r="D41" s="63"/>
      <c r="E41" s="63"/>
      <c r="F41" s="63"/>
      <c r="G41" s="50" t="s">
        <v>93</v>
      </c>
      <c r="H41" s="57" t="s">
        <v>93</v>
      </c>
      <c r="I41" s="50" t="s">
        <v>93</v>
      </c>
      <c r="J41" s="57" t="s">
        <v>93</v>
      </c>
      <c r="K41" s="50" t="s">
        <v>93</v>
      </c>
      <c r="L41" s="57" t="s">
        <v>93</v>
      </c>
      <c r="M41" s="58" t="s">
        <v>93</v>
      </c>
      <c r="N41" s="58" t="s">
        <v>93</v>
      </c>
      <c r="O41" s="58" t="s">
        <v>93</v>
      </c>
      <c r="P41" s="59" t="s">
        <v>93</v>
      </c>
      <c r="Q41" s="60" t="s">
        <v>93</v>
      </c>
      <c r="R41" s="58" t="s">
        <v>93</v>
      </c>
      <c r="S41" s="60" t="s">
        <v>93</v>
      </c>
      <c r="T41" s="55"/>
      <c r="U41" s="61" t="s">
        <v>93</v>
      </c>
      <c r="V41" s="61" t="s">
        <v>93</v>
      </c>
    </row>
    <row r="42" spans="1:41" ht="18">
      <c r="A42" s="63"/>
      <c r="B42" s="63"/>
      <c r="C42" s="63"/>
      <c r="D42" s="63"/>
      <c r="E42" s="63"/>
      <c r="F42" s="63"/>
      <c r="G42" s="50" t="s">
        <v>93</v>
      </c>
      <c r="H42" s="57" t="s">
        <v>93</v>
      </c>
      <c r="I42" s="50" t="s">
        <v>93</v>
      </c>
      <c r="J42" s="57" t="s">
        <v>93</v>
      </c>
      <c r="K42" s="50" t="s">
        <v>93</v>
      </c>
      <c r="L42" s="57" t="s">
        <v>93</v>
      </c>
      <c r="M42" s="58" t="s">
        <v>93</v>
      </c>
      <c r="N42" s="58" t="s">
        <v>93</v>
      </c>
      <c r="O42" s="58" t="s">
        <v>93</v>
      </c>
      <c r="P42" s="59" t="s">
        <v>93</v>
      </c>
      <c r="Q42" s="60" t="s">
        <v>93</v>
      </c>
      <c r="R42" s="58" t="s">
        <v>93</v>
      </c>
      <c r="S42" s="60" t="s">
        <v>93</v>
      </c>
      <c r="T42" s="55"/>
      <c r="U42" s="61" t="s">
        <v>93</v>
      </c>
      <c r="V42" s="61" t="s">
        <v>93</v>
      </c>
    </row>
    <row r="43" spans="1:41" ht="18">
      <c r="A43" s="63"/>
      <c r="B43" s="63"/>
      <c r="C43" s="63"/>
      <c r="D43" s="63"/>
      <c r="E43" s="63"/>
      <c r="F43" s="63"/>
      <c r="G43" s="50" t="s">
        <v>93</v>
      </c>
      <c r="H43" s="57" t="s">
        <v>93</v>
      </c>
      <c r="I43" s="50" t="s">
        <v>93</v>
      </c>
      <c r="J43" s="57" t="s">
        <v>93</v>
      </c>
      <c r="K43" s="50" t="s">
        <v>93</v>
      </c>
      <c r="L43" s="57" t="s">
        <v>93</v>
      </c>
      <c r="M43" s="58" t="s">
        <v>93</v>
      </c>
      <c r="N43" s="58" t="s">
        <v>93</v>
      </c>
      <c r="O43" s="58" t="s">
        <v>93</v>
      </c>
      <c r="P43" s="59" t="s">
        <v>93</v>
      </c>
      <c r="Q43" s="60" t="s">
        <v>93</v>
      </c>
      <c r="R43" s="58" t="s">
        <v>93</v>
      </c>
      <c r="S43" s="60" t="s">
        <v>93</v>
      </c>
      <c r="T43" s="55"/>
      <c r="U43" s="61" t="s">
        <v>93</v>
      </c>
      <c r="V43" s="61" t="s">
        <v>93</v>
      </c>
    </row>
    <row r="44" spans="1:41" ht="18">
      <c r="A44" s="63"/>
      <c r="B44" s="63"/>
      <c r="C44" s="63"/>
      <c r="D44" s="63"/>
      <c r="E44" s="63"/>
      <c r="F44" s="63"/>
      <c r="G44" s="50" t="s">
        <v>93</v>
      </c>
      <c r="H44" s="57" t="s">
        <v>93</v>
      </c>
      <c r="I44" s="50" t="s">
        <v>93</v>
      </c>
      <c r="J44" s="57" t="s">
        <v>93</v>
      </c>
      <c r="K44" s="50" t="s">
        <v>93</v>
      </c>
      <c r="L44" s="57" t="s">
        <v>93</v>
      </c>
      <c r="M44" s="58" t="s">
        <v>93</v>
      </c>
      <c r="N44" s="58" t="s">
        <v>93</v>
      </c>
      <c r="O44" s="58" t="s">
        <v>93</v>
      </c>
      <c r="P44" s="59" t="s">
        <v>93</v>
      </c>
      <c r="Q44" s="60" t="s">
        <v>93</v>
      </c>
      <c r="R44" s="58" t="s">
        <v>93</v>
      </c>
      <c r="S44" s="60" t="s">
        <v>93</v>
      </c>
      <c r="T44" s="55"/>
      <c r="U44" s="61" t="s">
        <v>93</v>
      </c>
      <c r="V44" s="61" t="s">
        <v>93</v>
      </c>
    </row>
    <row r="45" spans="1:41" ht="18">
      <c r="A45" s="63"/>
      <c r="B45" s="63"/>
      <c r="C45" s="63"/>
      <c r="D45" s="63"/>
      <c r="E45" s="63"/>
      <c r="F45" s="63"/>
      <c r="G45" s="50" t="s">
        <v>93</v>
      </c>
      <c r="H45" s="57" t="s">
        <v>93</v>
      </c>
      <c r="I45" s="50" t="s">
        <v>93</v>
      </c>
      <c r="J45" s="57" t="s">
        <v>93</v>
      </c>
      <c r="K45" s="50" t="s">
        <v>93</v>
      </c>
      <c r="L45" s="57" t="s">
        <v>93</v>
      </c>
      <c r="M45" s="58" t="s">
        <v>93</v>
      </c>
      <c r="N45" s="58" t="s">
        <v>93</v>
      </c>
      <c r="O45" s="58" t="s">
        <v>93</v>
      </c>
      <c r="P45" s="59" t="s">
        <v>93</v>
      </c>
      <c r="Q45" s="60" t="s">
        <v>93</v>
      </c>
      <c r="R45" s="58" t="s">
        <v>93</v>
      </c>
      <c r="S45" s="60" t="s">
        <v>93</v>
      </c>
      <c r="T45" s="55"/>
      <c r="U45" s="61" t="s">
        <v>93</v>
      </c>
      <c r="V45" s="61" t="s">
        <v>93</v>
      </c>
    </row>
    <row r="46" spans="1:41" ht="18">
      <c r="A46" s="63"/>
      <c r="B46" s="63"/>
      <c r="C46" s="63"/>
      <c r="D46" s="63"/>
      <c r="E46" s="63"/>
      <c r="F46" s="63"/>
      <c r="G46" s="50" t="s">
        <v>93</v>
      </c>
      <c r="H46" s="57" t="s">
        <v>93</v>
      </c>
      <c r="I46" s="50" t="s">
        <v>93</v>
      </c>
      <c r="J46" s="57" t="s">
        <v>93</v>
      </c>
      <c r="K46" s="50" t="s">
        <v>93</v>
      </c>
      <c r="L46" s="57" t="s">
        <v>93</v>
      </c>
      <c r="M46" s="58" t="s">
        <v>93</v>
      </c>
      <c r="N46" s="58" t="s">
        <v>93</v>
      </c>
      <c r="O46" s="58" t="s">
        <v>93</v>
      </c>
      <c r="P46" s="59" t="s">
        <v>93</v>
      </c>
      <c r="Q46" s="60" t="s">
        <v>93</v>
      </c>
      <c r="R46" s="58" t="s">
        <v>93</v>
      </c>
      <c r="S46" s="60" t="s">
        <v>93</v>
      </c>
      <c r="T46" s="55"/>
      <c r="U46" s="61" t="s">
        <v>93</v>
      </c>
      <c r="V46" s="61" t="s">
        <v>93</v>
      </c>
    </row>
    <row r="47" spans="1:41" ht="18">
      <c r="A47" s="63"/>
      <c r="B47" s="63"/>
      <c r="C47" s="63"/>
      <c r="D47" s="63"/>
      <c r="E47" s="63"/>
      <c r="F47" s="63"/>
      <c r="G47" s="50" t="s">
        <v>93</v>
      </c>
      <c r="H47" s="57" t="s">
        <v>93</v>
      </c>
      <c r="I47" s="50" t="s">
        <v>93</v>
      </c>
      <c r="J47" s="57" t="s">
        <v>93</v>
      </c>
      <c r="K47" s="50" t="s">
        <v>93</v>
      </c>
      <c r="L47" s="57" t="s">
        <v>93</v>
      </c>
      <c r="M47" s="58" t="s">
        <v>93</v>
      </c>
      <c r="N47" s="58" t="s">
        <v>93</v>
      </c>
      <c r="O47" s="58" t="s">
        <v>93</v>
      </c>
      <c r="P47" s="59" t="s">
        <v>93</v>
      </c>
      <c r="Q47" s="60" t="s">
        <v>93</v>
      </c>
      <c r="R47" s="58" t="s">
        <v>93</v>
      </c>
      <c r="S47" s="60" t="s">
        <v>93</v>
      </c>
      <c r="T47" s="55"/>
      <c r="U47" s="61" t="s">
        <v>93</v>
      </c>
      <c r="V47" s="61" t="s">
        <v>93</v>
      </c>
    </row>
    <row r="48" spans="1:41" ht="18">
      <c r="A48" s="63"/>
      <c r="B48" s="63"/>
      <c r="C48" s="63"/>
      <c r="D48" s="63"/>
      <c r="E48" s="63"/>
      <c r="F48" s="63"/>
      <c r="G48" s="50" t="s">
        <v>93</v>
      </c>
      <c r="H48" s="57" t="s">
        <v>93</v>
      </c>
      <c r="I48" s="50" t="s">
        <v>93</v>
      </c>
      <c r="J48" s="57" t="s">
        <v>93</v>
      </c>
      <c r="K48" s="50" t="s">
        <v>93</v>
      </c>
      <c r="L48" s="57" t="s">
        <v>93</v>
      </c>
      <c r="M48" s="58" t="s">
        <v>93</v>
      </c>
      <c r="N48" s="58" t="s">
        <v>93</v>
      </c>
      <c r="O48" s="58" t="s">
        <v>93</v>
      </c>
      <c r="P48" s="59" t="s">
        <v>93</v>
      </c>
      <c r="Q48" s="60" t="s">
        <v>93</v>
      </c>
      <c r="R48" s="58" t="s">
        <v>93</v>
      </c>
      <c r="S48" s="60" t="s">
        <v>93</v>
      </c>
      <c r="T48" s="55"/>
      <c r="U48" s="61" t="s">
        <v>93</v>
      </c>
      <c r="V48" s="61" t="s">
        <v>93</v>
      </c>
    </row>
    <row r="49" spans="1:22" ht="18">
      <c r="A49" s="63"/>
      <c r="B49" s="63"/>
      <c r="C49" s="63"/>
      <c r="D49" s="63"/>
      <c r="E49" s="63"/>
      <c r="F49" s="63"/>
      <c r="G49" s="50" t="s">
        <v>93</v>
      </c>
      <c r="H49" s="57" t="s">
        <v>93</v>
      </c>
      <c r="I49" s="50" t="s">
        <v>93</v>
      </c>
      <c r="J49" s="57" t="s">
        <v>93</v>
      </c>
      <c r="K49" s="50" t="s">
        <v>93</v>
      </c>
      <c r="L49" s="57" t="s">
        <v>93</v>
      </c>
      <c r="M49" s="58" t="s">
        <v>93</v>
      </c>
      <c r="N49" s="58" t="s">
        <v>93</v>
      </c>
      <c r="O49" s="58" t="s">
        <v>93</v>
      </c>
      <c r="P49" s="59" t="s">
        <v>93</v>
      </c>
      <c r="Q49" s="60" t="s">
        <v>93</v>
      </c>
      <c r="R49" s="58" t="s">
        <v>93</v>
      </c>
      <c r="S49" s="60" t="s">
        <v>93</v>
      </c>
      <c r="T49" s="55"/>
      <c r="U49" s="61" t="s">
        <v>93</v>
      </c>
      <c r="V49" s="61" t="s">
        <v>93</v>
      </c>
    </row>
    <row r="50" spans="1:22" ht="18">
      <c r="A50" s="63"/>
      <c r="B50" s="63"/>
      <c r="C50" s="63"/>
      <c r="D50" s="63"/>
      <c r="E50" s="63"/>
      <c r="F50" s="63"/>
      <c r="G50" s="50" t="s">
        <v>93</v>
      </c>
      <c r="H50" s="57" t="s">
        <v>93</v>
      </c>
      <c r="I50" s="50" t="s">
        <v>93</v>
      </c>
      <c r="J50" s="57" t="s">
        <v>93</v>
      </c>
      <c r="K50" s="50" t="s">
        <v>93</v>
      </c>
      <c r="L50" s="57" t="s">
        <v>93</v>
      </c>
      <c r="M50" s="58" t="s">
        <v>93</v>
      </c>
      <c r="N50" s="58" t="s">
        <v>93</v>
      </c>
      <c r="O50" s="58" t="s">
        <v>93</v>
      </c>
      <c r="P50" s="59" t="s">
        <v>93</v>
      </c>
      <c r="Q50" s="60" t="s">
        <v>93</v>
      </c>
      <c r="R50" s="58" t="s">
        <v>93</v>
      </c>
      <c r="S50" s="60" t="s">
        <v>93</v>
      </c>
      <c r="T50" s="55"/>
      <c r="U50" s="61" t="s">
        <v>93</v>
      </c>
      <c r="V50" s="61" t="s">
        <v>93</v>
      </c>
    </row>
    <row r="51" spans="1:22" ht="18">
      <c r="A51" s="63"/>
      <c r="B51" s="63"/>
      <c r="C51" s="63"/>
      <c r="D51" s="63"/>
      <c r="E51" s="63"/>
      <c r="F51" s="63"/>
      <c r="G51" s="50" t="s">
        <v>93</v>
      </c>
      <c r="H51" s="57" t="s">
        <v>93</v>
      </c>
      <c r="I51" s="50" t="s">
        <v>93</v>
      </c>
      <c r="J51" s="57" t="s">
        <v>93</v>
      </c>
      <c r="K51" s="50" t="s">
        <v>93</v>
      </c>
      <c r="L51" s="57" t="s">
        <v>93</v>
      </c>
      <c r="M51" s="58" t="s">
        <v>93</v>
      </c>
      <c r="N51" s="58" t="s">
        <v>93</v>
      </c>
      <c r="O51" s="58" t="s">
        <v>93</v>
      </c>
      <c r="P51" s="59" t="s">
        <v>93</v>
      </c>
      <c r="Q51" s="60" t="s">
        <v>93</v>
      </c>
      <c r="R51" s="58" t="s">
        <v>93</v>
      </c>
      <c r="S51" s="60" t="s">
        <v>93</v>
      </c>
      <c r="T51" s="55"/>
      <c r="U51" s="61" t="s">
        <v>93</v>
      </c>
      <c r="V51" s="61" t="s">
        <v>93</v>
      </c>
    </row>
    <row r="52" spans="1:22" ht="18">
      <c r="A52" s="63"/>
      <c r="B52" s="63"/>
      <c r="C52" s="63"/>
      <c r="D52" s="63"/>
      <c r="E52" s="63"/>
      <c r="F52" s="63"/>
      <c r="G52" s="50" t="s">
        <v>93</v>
      </c>
      <c r="H52" s="57" t="s">
        <v>93</v>
      </c>
      <c r="I52" s="50" t="s">
        <v>93</v>
      </c>
      <c r="J52" s="57" t="s">
        <v>93</v>
      </c>
      <c r="K52" s="50" t="s">
        <v>93</v>
      </c>
      <c r="L52" s="57" t="s">
        <v>93</v>
      </c>
      <c r="M52" s="58" t="s">
        <v>93</v>
      </c>
      <c r="N52" s="58" t="s">
        <v>93</v>
      </c>
      <c r="O52" s="58" t="s">
        <v>93</v>
      </c>
      <c r="P52" s="59" t="s">
        <v>93</v>
      </c>
      <c r="Q52" s="60" t="s">
        <v>93</v>
      </c>
      <c r="R52" s="58" t="s">
        <v>93</v>
      </c>
      <c r="S52" s="60" t="s">
        <v>93</v>
      </c>
      <c r="T52" s="55"/>
      <c r="U52" s="61" t="s">
        <v>93</v>
      </c>
      <c r="V52" s="61" t="s">
        <v>93</v>
      </c>
    </row>
    <row r="53" spans="1:22" ht="18">
      <c r="A53" s="12"/>
      <c r="B53" s="12"/>
      <c r="C53" s="12"/>
      <c r="D53" s="12"/>
      <c r="E53" s="11"/>
      <c r="F53" s="12"/>
      <c r="G53" s="12"/>
      <c r="H53" s="57" t="s">
        <v>93</v>
      </c>
      <c r="I53" s="58" t="s">
        <v>93</v>
      </c>
      <c r="J53" s="58" t="s">
        <v>93</v>
      </c>
      <c r="K53" s="58" t="s">
        <v>93</v>
      </c>
      <c r="L53" s="59" t="s">
        <v>93</v>
      </c>
      <c r="M53" s="60" t="s">
        <v>93</v>
      </c>
      <c r="N53" s="58" t="s">
        <v>93</v>
      </c>
      <c r="O53" s="60" t="s">
        <v>93</v>
      </c>
      <c r="P53" s="55"/>
      <c r="Q53" s="61" t="s">
        <v>93</v>
      </c>
      <c r="R53" s="61" t="s">
        <v>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145C-EF64-4B76-A351-F76F1F3CD6D6}">
  <sheetPr codeName="Sheet6">
    <pageSetUpPr fitToPage="1"/>
  </sheetPr>
  <dimension ref="A1:D87"/>
  <sheetViews>
    <sheetView workbookViewId="0">
      <selection activeCell="E28" sqref="E28"/>
    </sheetView>
  </sheetViews>
  <sheetFormatPr defaultRowHeight="21"/>
  <cols>
    <col min="1" max="1" width="40.6640625" style="44" customWidth="1"/>
    <col min="2" max="2" width="16.6640625" style="44" customWidth="1"/>
    <col min="3" max="3" width="110.6640625" style="44" customWidth="1"/>
    <col min="4" max="4" width="13" style="44" customWidth="1"/>
    <col min="5" max="5" width="21.88671875" bestFit="1" customWidth="1"/>
  </cols>
  <sheetData>
    <row r="1" spans="1:4">
      <c r="A1" s="45"/>
      <c r="B1" s="45"/>
      <c r="C1" s="45"/>
      <c r="D1" s="45"/>
    </row>
    <row r="2" spans="1:4">
      <c r="A2"/>
      <c r="B2"/>
      <c r="C2" s="45"/>
      <c r="D2" s="45"/>
    </row>
    <row r="3" spans="1:4" ht="19.5" customHeight="1">
      <c r="A3" s="45"/>
      <c r="B3" s="45"/>
      <c r="C3" s="45"/>
      <c r="D3" s="45"/>
    </row>
    <row r="4" spans="1:4" ht="42">
      <c r="A4" s="296" t="s">
        <v>1</v>
      </c>
      <c r="B4" s="297" t="s">
        <v>33</v>
      </c>
      <c r="C4" s="296" t="s">
        <v>15</v>
      </c>
      <c r="D4" s="296" t="s">
        <v>34</v>
      </c>
    </row>
    <row r="5" spans="1:4">
      <c r="A5" s="296">
        <v>67</v>
      </c>
      <c r="B5" s="296" t="s">
        <v>45</v>
      </c>
      <c r="C5" s="296" t="s">
        <v>324</v>
      </c>
      <c r="D5" s="296" t="s">
        <v>34</v>
      </c>
    </row>
    <row r="6" spans="1:4">
      <c r="A6" s="296" t="s">
        <v>9</v>
      </c>
      <c r="B6" s="296" t="s">
        <v>110</v>
      </c>
      <c r="C6" s="296" t="s">
        <v>112</v>
      </c>
      <c r="D6" s="296">
        <v>68</v>
      </c>
    </row>
    <row r="7" spans="1:4">
      <c r="A7" s="296"/>
      <c r="B7" s="296" t="s">
        <v>114</v>
      </c>
      <c r="C7" s="296" t="s">
        <v>115</v>
      </c>
      <c r="D7" s="296">
        <v>19</v>
      </c>
    </row>
    <row r="8" spans="1:4">
      <c r="A8" s="296"/>
      <c r="B8" s="296" t="s">
        <v>117</v>
      </c>
      <c r="C8" s="296" t="s">
        <v>118</v>
      </c>
      <c r="D8" s="296">
        <v>4</v>
      </c>
    </row>
    <row r="9" spans="1:4">
      <c r="A9" s="296"/>
      <c r="B9" s="296" t="s">
        <v>120</v>
      </c>
      <c r="C9" s="296" t="s">
        <v>121</v>
      </c>
      <c r="D9" s="296">
        <v>39</v>
      </c>
    </row>
    <row r="10" spans="1:4">
      <c r="A10" s="296"/>
      <c r="B10" s="296" t="s">
        <v>123</v>
      </c>
      <c r="C10" s="296" t="s">
        <v>124</v>
      </c>
      <c r="D10" s="296">
        <v>36</v>
      </c>
    </row>
    <row r="11" spans="1:4">
      <c r="A11" s="296"/>
      <c r="B11" s="296" t="s">
        <v>126</v>
      </c>
      <c r="C11" s="296" t="s">
        <v>127</v>
      </c>
      <c r="D11" s="296">
        <v>45</v>
      </c>
    </row>
    <row r="12" spans="1:4">
      <c r="A12" s="296"/>
      <c r="B12" s="296" t="s">
        <v>130</v>
      </c>
      <c r="C12" s="296" t="s">
        <v>131</v>
      </c>
      <c r="D12" s="296">
        <v>48</v>
      </c>
    </row>
    <row r="13" spans="1:4">
      <c r="A13" s="296"/>
      <c r="B13" s="296" t="s">
        <v>133</v>
      </c>
      <c r="C13" s="296" t="s">
        <v>134</v>
      </c>
      <c r="D13" s="296">
        <v>66</v>
      </c>
    </row>
    <row r="14" spans="1:4">
      <c r="A14" s="296"/>
      <c r="B14" s="296" t="s">
        <v>136</v>
      </c>
      <c r="C14" s="296" t="s">
        <v>137</v>
      </c>
      <c r="D14" s="296">
        <v>24</v>
      </c>
    </row>
    <row r="15" spans="1:4">
      <c r="A15" s="296"/>
      <c r="B15" s="296" t="s">
        <v>139</v>
      </c>
      <c r="C15" s="296" t="s">
        <v>140</v>
      </c>
      <c r="D15" s="296">
        <v>12</v>
      </c>
    </row>
    <row r="16" spans="1:4">
      <c r="A16" s="296" t="s">
        <v>4</v>
      </c>
      <c r="B16" s="296" t="s">
        <v>142</v>
      </c>
      <c r="C16" s="296" t="s">
        <v>143</v>
      </c>
      <c r="D16" s="296">
        <v>32</v>
      </c>
    </row>
    <row r="17" spans="1:4">
      <c r="A17" s="296"/>
      <c r="B17" s="296" t="s">
        <v>145</v>
      </c>
      <c r="C17" s="296" t="s">
        <v>146</v>
      </c>
      <c r="D17" s="296">
        <v>37</v>
      </c>
    </row>
    <row r="18" spans="1:4">
      <c r="A18" s="296"/>
      <c r="B18" s="296" t="s">
        <v>148</v>
      </c>
      <c r="C18" s="296" t="s">
        <v>149</v>
      </c>
      <c r="D18" s="296">
        <v>56</v>
      </c>
    </row>
    <row r="19" spans="1:4">
      <c r="A19" s="296"/>
      <c r="B19" s="296" t="s">
        <v>151</v>
      </c>
      <c r="C19" s="296" t="s">
        <v>152</v>
      </c>
      <c r="D19" s="296">
        <v>78</v>
      </c>
    </row>
    <row r="20" spans="1:4">
      <c r="A20" s="296"/>
      <c r="B20" s="296" t="s">
        <v>154</v>
      </c>
      <c r="C20" s="296" t="s">
        <v>155</v>
      </c>
      <c r="D20" s="296">
        <v>57</v>
      </c>
    </row>
    <row r="21" spans="1:4">
      <c r="A21" s="296"/>
      <c r="B21" s="296" t="s">
        <v>157</v>
      </c>
      <c r="C21" s="296" t="s">
        <v>158</v>
      </c>
      <c r="D21" s="296">
        <v>13</v>
      </c>
    </row>
    <row r="22" spans="1:4">
      <c r="A22" s="296"/>
      <c r="B22" s="296" t="s">
        <v>160</v>
      </c>
      <c r="C22" s="296" t="s">
        <v>161</v>
      </c>
      <c r="D22" s="296">
        <v>62</v>
      </c>
    </row>
    <row r="23" spans="1:4">
      <c r="A23" s="296" t="s">
        <v>2</v>
      </c>
      <c r="B23" s="296" t="s">
        <v>163</v>
      </c>
      <c r="C23" s="296" t="s">
        <v>164</v>
      </c>
      <c r="D23" s="296">
        <v>22</v>
      </c>
    </row>
    <row r="24" spans="1:4">
      <c r="A24" s="296"/>
      <c r="B24" s="296" t="s">
        <v>166</v>
      </c>
      <c r="C24" s="296" t="s">
        <v>167</v>
      </c>
      <c r="D24" s="296">
        <v>70</v>
      </c>
    </row>
    <row r="25" spans="1:4">
      <c r="A25" s="296"/>
      <c r="B25" s="296" t="s">
        <v>169</v>
      </c>
      <c r="C25" s="296" t="s">
        <v>170</v>
      </c>
      <c r="D25" s="296">
        <v>15</v>
      </c>
    </row>
    <row r="26" spans="1:4">
      <c r="A26" s="296"/>
      <c r="B26" s="296" t="s">
        <v>172</v>
      </c>
      <c r="C26" s="296" t="s">
        <v>174</v>
      </c>
      <c r="D26" s="296">
        <v>7</v>
      </c>
    </row>
    <row r="27" spans="1:4">
      <c r="A27" s="296"/>
      <c r="B27" s="296" t="s">
        <v>176</v>
      </c>
      <c r="C27" s="296" t="s">
        <v>178</v>
      </c>
      <c r="D27" s="296">
        <v>42</v>
      </c>
    </row>
    <row r="28" spans="1:4">
      <c r="A28" s="296"/>
      <c r="B28" s="296" t="s">
        <v>180</v>
      </c>
      <c r="C28" s="296" t="s">
        <v>181</v>
      </c>
      <c r="D28" s="296">
        <v>72</v>
      </c>
    </row>
    <row r="29" spans="1:4">
      <c r="A29" s="296"/>
      <c r="B29" s="296" t="s">
        <v>183</v>
      </c>
      <c r="C29" s="296" t="s">
        <v>184</v>
      </c>
      <c r="D29" s="296">
        <v>69</v>
      </c>
    </row>
    <row r="30" spans="1:4">
      <c r="A30" s="296"/>
      <c r="B30" s="296" t="s">
        <v>186</v>
      </c>
      <c r="C30" s="296" t="s">
        <v>187</v>
      </c>
      <c r="D30" s="296">
        <v>54</v>
      </c>
    </row>
    <row r="31" spans="1:4">
      <c r="A31" s="296"/>
      <c r="B31" s="296" t="s">
        <v>189</v>
      </c>
      <c r="C31" s="296" t="s">
        <v>190</v>
      </c>
      <c r="D31" s="296">
        <v>10</v>
      </c>
    </row>
    <row r="32" spans="1:4">
      <c r="A32" s="296"/>
      <c r="B32" s="296" t="s">
        <v>192</v>
      </c>
      <c r="C32" s="296" t="s">
        <v>193</v>
      </c>
      <c r="D32" s="296">
        <v>38</v>
      </c>
    </row>
    <row r="33" spans="1:4">
      <c r="A33" s="296"/>
      <c r="B33" s="296" t="s">
        <v>195</v>
      </c>
      <c r="C33" s="296" t="s">
        <v>196</v>
      </c>
      <c r="D33" s="296">
        <v>28</v>
      </c>
    </row>
    <row r="34" spans="1:4">
      <c r="A34" s="296"/>
      <c r="B34" s="296" t="s">
        <v>198</v>
      </c>
      <c r="C34" s="296" t="s">
        <v>199</v>
      </c>
      <c r="D34" s="296">
        <v>30</v>
      </c>
    </row>
    <row r="35" spans="1:4">
      <c r="A35" s="296"/>
      <c r="B35" s="296" t="s">
        <v>201</v>
      </c>
      <c r="C35" s="296" t="s">
        <v>202</v>
      </c>
      <c r="D35" s="296">
        <v>55</v>
      </c>
    </row>
    <row r="36" spans="1:4">
      <c r="A36" s="296"/>
      <c r="B36" s="296" t="s">
        <v>204</v>
      </c>
      <c r="C36" s="296" t="s">
        <v>205</v>
      </c>
      <c r="D36" s="296">
        <v>33</v>
      </c>
    </row>
    <row r="37" spans="1:4">
      <c r="A37" s="296"/>
      <c r="B37" s="296" t="s">
        <v>207</v>
      </c>
      <c r="C37" s="296" t="s">
        <v>208</v>
      </c>
      <c r="D37" s="296">
        <v>40</v>
      </c>
    </row>
    <row r="38" spans="1:4">
      <c r="A38" s="296"/>
      <c r="B38" s="296" t="s">
        <v>210</v>
      </c>
      <c r="C38" s="296" t="s">
        <v>211</v>
      </c>
      <c r="D38" s="296">
        <v>26</v>
      </c>
    </row>
    <row r="39" spans="1:4">
      <c r="A39" s="296"/>
      <c r="B39" s="296" t="s">
        <v>213</v>
      </c>
      <c r="C39" s="296" t="s">
        <v>214</v>
      </c>
      <c r="D39" s="296">
        <v>21</v>
      </c>
    </row>
    <row r="40" spans="1:4">
      <c r="A40" s="296"/>
      <c r="B40" s="296" t="s">
        <v>216</v>
      </c>
      <c r="C40" s="296" t="s">
        <v>217</v>
      </c>
      <c r="D40" s="296">
        <v>44</v>
      </c>
    </row>
    <row r="41" spans="1:4">
      <c r="A41" s="296"/>
      <c r="B41" s="296" t="s">
        <v>219</v>
      </c>
      <c r="C41" s="296" t="s">
        <v>220</v>
      </c>
      <c r="D41" s="296">
        <v>9</v>
      </c>
    </row>
    <row r="42" spans="1:4">
      <c r="A42" s="296"/>
      <c r="B42" s="296" t="s">
        <v>222</v>
      </c>
      <c r="C42" s="296" t="s">
        <v>223</v>
      </c>
      <c r="D42" s="296">
        <v>1</v>
      </c>
    </row>
    <row r="43" spans="1:4">
      <c r="A43" s="296"/>
      <c r="B43" s="296" t="s">
        <v>225</v>
      </c>
      <c r="C43" s="296" t="s">
        <v>227</v>
      </c>
      <c r="D43" s="296">
        <v>77</v>
      </c>
    </row>
    <row r="44" spans="1:4">
      <c r="A44" s="296"/>
      <c r="B44" s="296" t="s">
        <v>229</v>
      </c>
      <c r="C44" s="296" t="s">
        <v>230</v>
      </c>
      <c r="D44" s="296">
        <v>67</v>
      </c>
    </row>
    <row r="45" spans="1:4">
      <c r="A45" s="296"/>
      <c r="B45" s="296" t="s">
        <v>232</v>
      </c>
      <c r="C45" s="296" t="s">
        <v>233</v>
      </c>
      <c r="D45" s="296">
        <v>59</v>
      </c>
    </row>
    <row r="46" spans="1:4">
      <c r="A46" s="296"/>
      <c r="B46" s="296" t="s">
        <v>235</v>
      </c>
      <c r="C46" s="296" t="s">
        <v>236</v>
      </c>
      <c r="D46" s="296">
        <v>74</v>
      </c>
    </row>
    <row r="47" spans="1:4">
      <c r="A47" s="296"/>
      <c r="B47" s="296" t="s">
        <v>238</v>
      </c>
      <c r="C47" s="296" t="s">
        <v>239</v>
      </c>
      <c r="D47" s="296">
        <v>5</v>
      </c>
    </row>
    <row r="48" spans="1:4">
      <c r="A48" s="296" t="s">
        <v>6</v>
      </c>
      <c r="B48" s="296" t="s">
        <v>241</v>
      </c>
      <c r="C48" s="296" t="s">
        <v>242</v>
      </c>
      <c r="D48" s="296">
        <v>34</v>
      </c>
    </row>
    <row r="49" spans="1:4">
      <c r="A49" s="296"/>
      <c r="B49" s="296" t="s">
        <v>244</v>
      </c>
      <c r="C49" s="296" t="s">
        <v>245</v>
      </c>
      <c r="D49" s="296">
        <v>2</v>
      </c>
    </row>
    <row r="50" spans="1:4">
      <c r="A50" s="296"/>
      <c r="B50" s="296" t="s">
        <v>247</v>
      </c>
      <c r="C50" s="296" t="s">
        <v>248</v>
      </c>
      <c r="D50" s="296">
        <v>31</v>
      </c>
    </row>
    <row r="51" spans="1:4">
      <c r="A51" s="296"/>
      <c r="B51" s="296" t="s">
        <v>250</v>
      </c>
      <c r="C51" s="296" t="s">
        <v>251</v>
      </c>
      <c r="D51" s="296">
        <v>25</v>
      </c>
    </row>
    <row r="52" spans="1:4">
      <c r="A52" s="296" t="s">
        <v>255</v>
      </c>
      <c r="B52" s="296" t="s">
        <v>253</v>
      </c>
      <c r="C52" s="296" t="s">
        <v>254</v>
      </c>
      <c r="D52" s="296">
        <v>61</v>
      </c>
    </row>
    <row r="53" spans="1:4">
      <c r="A53" s="296" t="s">
        <v>3</v>
      </c>
      <c r="B53" s="296" t="s">
        <v>257</v>
      </c>
      <c r="C53" s="296" t="s">
        <v>258</v>
      </c>
      <c r="D53" s="296">
        <v>58</v>
      </c>
    </row>
    <row r="54" spans="1:4">
      <c r="A54" s="296"/>
      <c r="B54" s="296" t="s">
        <v>260</v>
      </c>
      <c r="C54" s="296" t="s">
        <v>261</v>
      </c>
      <c r="D54" s="296">
        <v>71</v>
      </c>
    </row>
    <row r="55" spans="1:4">
      <c r="A55" s="296" t="s">
        <v>8</v>
      </c>
      <c r="B55" s="296" t="s">
        <v>96</v>
      </c>
      <c r="C55" s="296" t="s">
        <v>284</v>
      </c>
      <c r="D55" s="296">
        <v>49</v>
      </c>
    </row>
    <row r="56" spans="1:4">
      <c r="A56" s="296"/>
      <c r="B56" s="296" t="s">
        <v>263</v>
      </c>
      <c r="C56" s="296" t="s">
        <v>264</v>
      </c>
      <c r="D56" s="296">
        <v>6</v>
      </c>
    </row>
    <row r="57" spans="1:4">
      <c r="A57" s="296"/>
      <c r="B57" s="296" t="s">
        <v>266</v>
      </c>
      <c r="C57" s="296" t="s">
        <v>267</v>
      </c>
      <c r="D57" s="296">
        <v>14</v>
      </c>
    </row>
    <row r="58" spans="1:4">
      <c r="A58" s="296"/>
      <c r="B58" s="296" t="s">
        <v>269</v>
      </c>
      <c r="C58" s="296" t="s">
        <v>270</v>
      </c>
      <c r="D58" s="296">
        <v>3</v>
      </c>
    </row>
    <row r="59" spans="1:4">
      <c r="A59" s="296"/>
      <c r="B59" s="296" t="s">
        <v>272</v>
      </c>
      <c r="C59" s="296" t="s">
        <v>273</v>
      </c>
      <c r="D59" s="296">
        <v>46</v>
      </c>
    </row>
    <row r="60" spans="1:4">
      <c r="A60" s="296"/>
      <c r="B60" s="296" t="s">
        <v>275</v>
      </c>
      <c r="C60" s="296" t="s">
        <v>276</v>
      </c>
      <c r="D60" s="296">
        <v>17</v>
      </c>
    </row>
    <row r="61" spans="1:4">
      <c r="A61" s="296"/>
      <c r="B61" s="296" t="s">
        <v>278</v>
      </c>
      <c r="C61" s="296" t="s">
        <v>279</v>
      </c>
      <c r="D61" s="296">
        <v>20</v>
      </c>
    </row>
    <row r="62" spans="1:4">
      <c r="A62" s="296"/>
      <c r="B62" s="296" t="s">
        <v>281</v>
      </c>
      <c r="C62" s="296" t="s">
        <v>282</v>
      </c>
      <c r="D62" s="296">
        <v>11</v>
      </c>
    </row>
    <row r="63" spans="1:4">
      <c r="A63" s="296"/>
      <c r="B63" s="296" t="s">
        <v>286</v>
      </c>
      <c r="C63" s="296" t="s">
        <v>287</v>
      </c>
      <c r="D63" s="296">
        <v>35</v>
      </c>
    </row>
    <row r="64" spans="1:4">
      <c r="A64" s="296" t="s">
        <v>12</v>
      </c>
      <c r="B64" s="296" t="s">
        <v>289</v>
      </c>
      <c r="C64" s="296" t="s">
        <v>290</v>
      </c>
      <c r="D64" s="296">
        <v>29</v>
      </c>
    </row>
    <row r="65" spans="1:4">
      <c r="A65" s="296"/>
      <c r="B65" s="296" t="s">
        <v>292</v>
      </c>
      <c r="C65" s="296" t="s">
        <v>293</v>
      </c>
      <c r="D65" s="296">
        <v>50</v>
      </c>
    </row>
    <row r="66" spans="1:4">
      <c r="A66" s="296"/>
      <c r="B66" s="296" t="s">
        <v>295</v>
      </c>
      <c r="C66" s="296" t="s">
        <v>296</v>
      </c>
      <c r="D66" s="296">
        <v>51</v>
      </c>
    </row>
    <row r="67" spans="1:4">
      <c r="A67" s="296"/>
      <c r="B67" s="296" t="s">
        <v>298</v>
      </c>
      <c r="C67" s="296" t="s">
        <v>299</v>
      </c>
      <c r="D67" s="296">
        <v>43</v>
      </c>
    </row>
    <row r="68" spans="1:4">
      <c r="A68" s="296" t="s">
        <v>10</v>
      </c>
      <c r="B68" s="296" t="s">
        <v>301</v>
      </c>
      <c r="C68" s="296" t="s">
        <v>302</v>
      </c>
      <c r="D68" s="296">
        <v>47</v>
      </c>
    </row>
    <row r="69" spans="1:4">
      <c r="A69" s="296"/>
      <c r="B69" s="296" t="s">
        <v>304</v>
      </c>
      <c r="C69" s="296" t="s">
        <v>305</v>
      </c>
      <c r="D69" s="296">
        <v>8</v>
      </c>
    </row>
    <row r="70" spans="1:4">
      <c r="A70" s="296"/>
      <c r="B70" s="296" t="s">
        <v>307</v>
      </c>
      <c r="C70" s="296" t="s">
        <v>308</v>
      </c>
      <c r="D70" s="296">
        <v>16</v>
      </c>
    </row>
    <row r="71" spans="1:4">
      <c r="A71" s="296" t="s">
        <v>322</v>
      </c>
      <c r="B71" s="296" t="s">
        <v>318</v>
      </c>
      <c r="C71" s="296" t="s">
        <v>321</v>
      </c>
      <c r="D71" s="296" t="s">
        <v>319</v>
      </c>
    </row>
    <row r="72" spans="1:4" ht="14.4">
      <c r="A72"/>
      <c r="B72"/>
      <c r="C72"/>
      <c r="D72"/>
    </row>
    <row r="73" spans="1:4" ht="14.4">
      <c r="A73"/>
      <c r="B73"/>
      <c r="C73"/>
      <c r="D73"/>
    </row>
    <row r="74" spans="1:4" ht="14.4">
      <c r="A74"/>
      <c r="B74"/>
      <c r="C74"/>
      <c r="D74"/>
    </row>
    <row r="75" spans="1:4" ht="14.4">
      <c r="A75"/>
      <c r="B75"/>
      <c r="C75"/>
      <c r="D75"/>
    </row>
    <row r="76" spans="1:4" ht="14.4">
      <c r="A76"/>
      <c r="B76"/>
      <c r="C76"/>
      <c r="D76"/>
    </row>
    <row r="77" spans="1:4" ht="14.4">
      <c r="A77"/>
      <c r="B77"/>
      <c r="C77"/>
      <c r="D77"/>
    </row>
    <row r="78" spans="1:4" ht="14.4">
      <c r="A78"/>
      <c r="B78"/>
      <c r="C78"/>
      <c r="D78"/>
    </row>
    <row r="79" spans="1:4" ht="14.4">
      <c r="A79"/>
      <c r="B79"/>
      <c r="C79"/>
      <c r="D79"/>
    </row>
    <row r="80" spans="1:4" ht="14.4">
      <c r="A80"/>
      <c r="B80"/>
      <c r="C80"/>
      <c r="D80"/>
    </row>
    <row r="81" spans="1:4" ht="14.4">
      <c r="A81"/>
      <c r="B81"/>
      <c r="C81"/>
      <c r="D81"/>
    </row>
    <row r="82" spans="1:4" ht="14.4">
      <c r="A82"/>
      <c r="B82"/>
      <c r="C82"/>
      <c r="D82"/>
    </row>
    <row r="83" spans="1:4" ht="14.4">
      <c r="A83"/>
      <c r="B83"/>
      <c r="C83"/>
      <c r="D83"/>
    </row>
    <row r="84" spans="1:4" ht="14.4">
      <c r="A84"/>
      <c r="B84"/>
      <c r="C84"/>
      <c r="D84"/>
    </row>
    <row r="85" spans="1:4" ht="14.4">
      <c r="A85"/>
      <c r="B85"/>
      <c r="C85"/>
      <c r="D85"/>
    </row>
    <row r="86" spans="1:4" ht="14.4">
      <c r="A86"/>
      <c r="B86"/>
      <c r="C86"/>
      <c r="D86"/>
    </row>
    <row r="87" spans="1:4" ht="14.4">
      <c r="A87"/>
      <c r="B87"/>
      <c r="C87"/>
      <c r="D87"/>
    </row>
  </sheetData>
  <pageMargins left="0.7" right="0.7" top="0.75" bottom="0.75" header="0.3" footer="0.3"/>
  <pageSetup scale="67"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Student Open Competition Regist</vt:lpstr>
      <vt:lpstr>Results</vt:lpstr>
      <vt:lpstr>Results Sorted</vt:lpstr>
      <vt:lpstr>Results Sorted Top 2</vt:lpstr>
      <vt:lpstr>PIVOT</vt:lpstr>
      <vt:lpstr>PIVOT!Print_Area</vt:lpstr>
      <vt:lpstr>'Student Open Competition Regist'!Student_Open_Competition_Registration</vt:lpstr>
      <vt:lpstr>'Student Open Competition Regist'!Student_Open_Competition_Registration_1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dc:creator>
  <cp:keywords>Non Technical</cp:keywords>
  <cp:lastModifiedBy>Julian Quách</cp:lastModifiedBy>
  <cp:lastPrinted>2018-03-15T17:30:28Z</cp:lastPrinted>
  <dcterms:created xsi:type="dcterms:W3CDTF">2014-03-07T02:40:37Z</dcterms:created>
  <dcterms:modified xsi:type="dcterms:W3CDTF">2019-11-03T18:49:29Z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f8f17264-5d55-4e70-9675-4aed1bd3be0a</vt:lpwstr>
  </property>
  <property fmtid="{D5CDD505-2E9C-101B-9397-08002B2CF9AE}" pid="3" name="UTCTechnicalData">
    <vt:lpwstr>No</vt:lpwstr>
  </property>
  <property fmtid="{D5CDD505-2E9C-101B-9397-08002B2CF9AE}" pid="4" name="UTCTechnicalDataKeyword">
    <vt:lpwstr>Non Technical</vt:lpwstr>
  </property>
</Properties>
</file>